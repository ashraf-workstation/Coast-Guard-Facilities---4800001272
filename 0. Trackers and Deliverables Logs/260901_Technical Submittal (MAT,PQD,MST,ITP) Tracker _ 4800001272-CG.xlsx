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4800001272 - Coast Guard Facilities\0. Deliverables Master Log\"/>
    </mc:Choice>
  </mc:AlternateContent>
  <xr:revisionPtr revIDLastSave="0" documentId="13_ncr:1_{690A917B-F4DA-4E40-83CC-3C16F1866022}" xr6:coauthVersionLast="47" xr6:coauthVersionMax="47" xr10:uidLastSave="{00000000-0000-0000-0000-000000000000}"/>
  <bookViews>
    <workbookView xWindow="-120" yWindow="-120" windowWidth="29040" windowHeight="15720" tabRatio="881" firstSheet="11" activeTab="21" xr2:uid="{00000000-000D-0000-FFFF-FFFF00000000}"/>
  </bookViews>
  <sheets>
    <sheet name="Overall - Summary " sheetId="135" r:id="rId1"/>
    <sheet name="CIV - MAT" sheetId="136" r:id="rId2"/>
    <sheet name="STR - MAT" sheetId="151" r:id="rId3"/>
    <sheet name="ELE - MAT" sheetId="138" r:id="rId4"/>
    <sheet name="ARC - MAT" sheetId="137" r:id="rId5"/>
    <sheet name="MEC- MAT" sheetId="142" r:id="rId6"/>
    <sheet name="SEC- MAT" sheetId="143" r:id="rId7"/>
    <sheet name="FPR - MAT" sheetId="161" r:id="rId8"/>
    <sheet name="ICT - MAT" sheetId="155" r:id="rId9"/>
    <sheet name="LAN - MAT" sheetId="108" r:id="rId10"/>
    <sheet name="ELV - MAT" sheetId="147" r:id="rId11"/>
    <sheet name="INF - MAT" sheetId="168" r:id="rId12"/>
    <sheet name="CIV - PQD" sheetId="110" r:id="rId13"/>
    <sheet name="ELE - PQD" sheetId="127" r:id="rId14"/>
    <sheet name="MEC - PQD" sheetId="128" r:id="rId15"/>
    <sheet name="STR - PQD" sheetId="126" r:id="rId16"/>
    <sheet name="ARC - PQD" sheetId="125" r:id="rId17"/>
    <sheet name="FLS - PQD" sheetId="129" r:id="rId18"/>
    <sheet name="SEC - PQD" sheetId="141" r:id="rId19"/>
    <sheet name="SUS - PQD" sheetId="144" r:id="rId20"/>
    <sheet name="CIV - MST" sheetId="111" r:id="rId21"/>
    <sheet name="STR - MST" sheetId="146" r:id="rId22"/>
    <sheet name="ARC- MST" sheetId="152" r:id="rId23"/>
    <sheet name="SRV - MST" sheetId="131" r:id="rId24"/>
    <sheet name="MEC - MST" sheetId="158" r:id="rId25"/>
    <sheet name="ELE - MST" sheetId="156" r:id="rId26"/>
    <sheet name="ELV - MST" sheetId="148" r:id="rId27"/>
    <sheet name="INF - MST " sheetId="162" r:id="rId28"/>
    <sheet name="GEO - MST" sheetId="140" r:id="rId29"/>
    <sheet name="CON - MST" sheetId="157" r:id="rId30"/>
    <sheet name="HSE - MST" sheetId="130" r:id="rId31"/>
    <sheet name="CIV - ITP" sheetId="132" r:id="rId32"/>
    <sheet name="STR - ITP" sheetId="150" r:id="rId33"/>
    <sheet name="ARC - ITP " sheetId="159" r:id="rId34"/>
    <sheet name="SRV - ITP" sheetId="104" r:id="rId35"/>
    <sheet name="INF - ITP" sheetId="166" r:id="rId36"/>
    <sheet name="MEC - ITP" sheetId="145" r:id="rId37"/>
    <sheet name="ELE - ITP" sheetId="149" r:id="rId38"/>
    <sheet name="ELV - ITP" sheetId="167" r:id="rId39"/>
    <sheet name="FAS - ITP" sheetId="164" r:id="rId40"/>
  </sheets>
  <definedNames>
    <definedName name="_xlnm._FilterDatabase" localSheetId="33" hidden="1">'ARC - ITP '!$A$11:$BF$11</definedName>
    <definedName name="_xlnm._FilterDatabase" localSheetId="4" hidden="1">'ARC - MAT'!$A$11:$BF$140</definedName>
    <definedName name="_xlnm._FilterDatabase" localSheetId="16" hidden="1">'ARC - PQD'!$A$11:$BF$11</definedName>
    <definedName name="_xlnm._FilterDatabase" localSheetId="22" hidden="1">'ARC- MST'!$A$11:$BF$11</definedName>
    <definedName name="_xlnm._FilterDatabase" localSheetId="31" hidden="1">'CIV - ITP'!$A$11:$BF$11</definedName>
    <definedName name="_xlnm._FilterDatabase" localSheetId="1" hidden="1">'CIV - MAT'!$A$11:$BG$100</definedName>
    <definedName name="_xlnm._FilterDatabase" localSheetId="20" hidden="1">'CIV - MST'!$A$11:$BF$11</definedName>
    <definedName name="_xlnm._FilterDatabase" localSheetId="12" hidden="1">'CIV - PQD'!$A$11:$BF$11</definedName>
    <definedName name="_xlnm._FilterDatabase" localSheetId="29" hidden="1">'CON - MST'!$A$11:$BF$11</definedName>
    <definedName name="_xlnm._FilterDatabase" localSheetId="37" hidden="1">'ELE - ITP'!$A$11:$BF$11</definedName>
    <definedName name="_xlnm._FilterDatabase" localSheetId="3" hidden="1">'ELE - MAT'!$A$11:$CA$69</definedName>
    <definedName name="_xlnm._FilterDatabase" localSheetId="25" hidden="1">'ELE - MST'!$A$11:$BF$11</definedName>
    <definedName name="_xlnm._FilterDatabase" localSheetId="13" hidden="1">'ELE - PQD'!$A$11:$BF$11</definedName>
    <definedName name="_xlnm._FilterDatabase" localSheetId="38" hidden="1">'ELV - ITP'!$A$11:$BF$11</definedName>
    <definedName name="_xlnm._FilterDatabase" localSheetId="10" hidden="1">'ELV - MAT'!$A$11:$BF$11</definedName>
    <definedName name="_xlnm._FilterDatabase" localSheetId="26" hidden="1">'ELV - MST'!$A$11:$BF$11</definedName>
    <definedName name="_xlnm._FilterDatabase" localSheetId="39" hidden="1">'FAS - ITP'!$A$11:$BF$11</definedName>
    <definedName name="_xlnm._FilterDatabase" localSheetId="17" hidden="1">'FLS - PQD'!$A$11:$BF$11</definedName>
    <definedName name="_xlnm._FilterDatabase" localSheetId="7" hidden="1">'FPR - MAT'!$A$11:$BF$11</definedName>
    <definedName name="_xlnm._FilterDatabase" localSheetId="28" hidden="1">'GEO - MST'!$A$11:$BF$11</definedName>
    <definedName name="_xlnm._FilterDatabase" localSheetId="30" hidden="1">'HSE - MST'!$A$11:$BF$11</definedName>
    <definedName name="_xlnm._FilterDatabase" localSheetId="8" hidden="1">'ICT - MAT'!$A$11:$BG$11</definedName>
    <definedName name="_xlnm._FilterDatabase" localSheetId="35" hidden="1">'INF - ITP'!$A$11:$BF$11</definedName>
    <definedName name="_xlnm._FilterDatabase" localSheetId="11" hidden="1">'INF - MAT'!$A$11:$BF$11</definedName>
    <definedName name="_xlnm._FilterDatabase" localSheetId="27" hidden="1">'INF - MST '!$A$11:$BF$11</definedName>
    <definedName name="_xlnm._FilterDatabase" localSheetId="9" hidden="1">'LAN - MAT'!$A$11:$BF$11</definedName>
    <definedName name="_xlnm._FilterDatabase" localSheetId="36" hidden="1">'MEC - ITP'!$A$11:$BF$11</definedName>
    <definedName name="_xlnm._FilterDatabase" localSheetId="24" hidden="1">'MEC - MST'!$A$11:$BF$11</definedName>
    <definedName name="_xlnm._FilterDatabase" localSheetId="14" hidden="1">'MEC - PQD'!$A$11:$BF$11</definedName>
    <definedName name="_xlnm._FilterDatabase" localSheetId="5" hidden="1">'MEC- MAT'!$A$11:$CA$140</definedName>
    <definedName name="_xlnm._FilterDatabase" localSheetId="18" hidden="1">'SEC - PQD'!$B$11:$BF$17</definedName>
    <definedName name="_xlnm._FilterDatabase" localSheetId="6" hidden="1">'SEC- MAT'!$A$11:$BF$11</definedName>
    <definedName name="_xlnm._FilterDatabase" localSheetId="34" hidden="1">'SRV - ITP'!$A$11:$BF$11</definedName>
    <definedName name="_xlnm._FilterDatabase" localSheetId="23" hidden="1">'SRV - MST'!$A$11:$BF$11</definedName>
    <definedName name="_xlnm._FilterDatabase" localSheetId="32" hidden="1">'STR - ITP'!$A$11:$BF$11</definedName>
    <definedName name="_xlnm._FilterDatabase" localSheetId="2" hidden="1">'STR - MAT'!$A$11:$BF$11</definedName>
    <definedName name="_xlnm._FilterDatabase" localSheetId="21" hidden="1">'STR - MST'!$A$11:$BF$11</definedName>
    <definedName name="_xlnm._FilterDatabase" localSheetId="15" hidden="1">'STR - PQD'!$A$11:$BF$11</definedName>
    <definedName name="_xlnm._FilterDatabase" localSheetId="19" hidden="1">'SUS - PQD'!$A$11:$BG$11</definedName>
    <definedName name="_xlnm.Print_Area" localSheetId="33">'ARC - ITP '!$A$1:$BE$29</definedName>
    <definedName name="_xlnm.Print_Area" localSheetId="4">'ARC - MAT'!$A$1:$BE$184</definedName>
    <definedName name="_xlnm.Print_Area" localSheetId="16">'ARC - PQD'!$B$1:$BE$41</definedName>
    <definedName name="_xlnm.Print_Area" localSheetId="22">'ARC- MST'!$B$1:$BE$32</definedName>
    <definedName name="_xlnm.Print_Area" localSheetId="31">'CIV - ITP'!$A$1:$BE$31</definedName>
    <definedName name="_xlnm.Print_Area" localSheetId="1">'CIV - MAT'!$B$1:$BE$102</definedName>
    <definedName name="_xlnm.Print_Area" localSheetId="20">'CIV - MST'!$B$1:$BE$55</definedName>
    <definedName name="_xlnm.Print_Area" localSheetId="12">'CIV - PQD'!$B$1:$BE$36</definedName>
    <definedName name="_xlnm.Print_Area" localSheetId="29">'CON - MST'!$B$1:$BE$13</definedName>
    <definedName name="_xlnm.Print_Area" localSheetId="37">'ELE - ITP'!$B$1:$BE$38</definedName>
    <definedName name="_xlnm.Print_Area" localSheetId="3">'ELE - MAT'!$A$1:$BE$72</definedName>
    <definedName name="_xlnm.Print_Area" localSheetId="25">'ELE - MST'!$B$1:$BE$29</definedName>
    <definedName name="_xlnm.Print_Area" localSheetId="13">'ELE - PQD'!$B$1:$BE$51</definedName>
    <definedName name="_xlnm.Print_Area" localSheetId="38">'ELV - ITP'!$B$1:$BE$19</definedName>
    <definedName name="_xlnm.Print_Area" localSheetId="10">'ELV - MAT'!$B$1:$BE$25</definedName>
    <definedName name="_xlnm.Print_Area" localSheetId="26">'ELV - MST'!$B$1:$BE$20</definedName>
    <definedName name="_xlnm.Print_Area" localSheetId="39">'FAS - ITP'!$A$1:$BE$12</definedName>
    <definedName name="_xlnm.Print_Area" localSheetId="17">'FLS - PQD'!$B$1:$BE$15</definedName>
    <definedName name="_xlnm.Print_Area" localSheetId="7">'FPR - MAT'!$B$1:$BE$13</definedName>
    <definedName name="_xlnm.Print_Area" localSheetId="28">'GEO - MST'!$B$1:$BE$14</definedName>
    <definedName name="_xlnm.Print_Area" localSheetId="30">'HSE - MST'!$B$1:$BE$19</definedName>
    <definedName name="_xlnm.Print_Area" localSheetId="8">'ICT - MAT'!$B$1:$BE$14</definedName>
    <definedName name="_xlnm.Print_Area" localSheetId="35">'INF - ITP'!$A$1:$BE$13</definedName>
    <definedName name="_xlnm.Print_Area" localSheetId="11">'INF - MAT'!$B$1:$BE$13</definedName>
    <definedName name="_xlnm.Print_Area" localSheetId="27">'INF - MST '!$B$1:$BE$17</definedName>
    <definedName name="_xlnm.Print_Area" localSheetId="9">'LAN - MAT'!$B$1:$BE$25</definedName>
    <definedName name="_xlnm.Print_Area" localSheetId="36">'MEC - ITP'!$A$1:$BE$53</definedName>
    <definedName name="_xlnm.Print_Area" localSheetId="24">'MEC - MST'!$A$1:$BE$35</definedName>
    <definedName name="_xlnm.Print_Area" localSheetId="14">'MEC - PQD'!$B$1:$BE$112</definedName>
    <definedName name="_xlnm.Print_Area" localSheetId="5">'MEC- MAT'!$A$1:$BE$148</definedName>
    <definedName name="_xlnm.Print_Area" localSheetId="0">'Overall - Summary '!$A$1:$AX$80</definedName>
    <definedName name="_xlnm.Print_Area" localSheetId="18">'SEC - PQD'!$B$1:$BE$17</definedName>
    <definedName name="_xlnm.Print_Area" localSheetId="6">'SEC- MAT'!$A$1:$BE$16</definedName>
    <definedName name="_xlnm.Print_Area" localSheetId="34">'SRV - ITP'!$B$1:$BE$13</definedName>
    <definedName name="_xlnm.Print_Area" localSheetId="23">'SRV - MST'!$B$1:$BE$14</definedName>
    <definedName name="_xlnm.Print_Area" localSheetId="32">'STR - ITP'!$B$1:$BE$16</definedName>
    <definedName name="_xlnm.Print_Area" localSheetId="2">'STR - MAT'!$B$1:$BE$34</definedName>
    <definedName name="_xlnm.Print_Area" localSheetId="21">'STR - MST'!$B$1:$BE$21</definedName>
    <definedName name="_xlnm.Print_Area" localSheetId="15">'STR - PQD'!$B$1:$BE$14</definedName>
    <definedName name="_xlnm.Print_Area" localSheetId="19">'SUS - PQD'!$B$1:$BE$15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34" i="158" l="1"/>
  <c r="AB34" i="158" s="1"/>
  <c r="N147" i="142"/>
  <c r="L147" i="142"/>
  <c r="L144" i="137"/>
  <c r="N144" i="137" s="1"/>
  <c r="N16" i="162"/>
  <c r="L16" i="162"/>
  <c r="U71" i="138"/>
  <c r="S71" i="138"/>
  <c r="S141" i="142"/>
  <c r="U141" i="142" s="1"/>
  <c r="N146" i="142"/>
  <c r="L146" i="142"/>
  <c r="Z15" i="162"/>
  <c r="AB15" i="162" s="1"/>
  <c r="L143" i="137" l="1"/>
  <c r="N143" i="137" s="1"/>
  <c r="Z138" i="142"/>
  <c r="AB138" i="142" s="1"/>
  <c r="N111" i="128"/>
  <c r="L111" i="128"/>
  <c r="AG135" i="137" l="1"/>
  <c r="AI135" i="137" s="1"/>
  <c r="N73" i="138"/>
  <c r="L73" i="138"/>
  <c r="N101" i="136"/>
  <c r="L101" i="136"/>
  <c r="Z110" i="137"/>
  <c r="AB110" i="137" s="1"/>
  <c r="C8" i="148"/>
  <c r="J6" i="131"/>
  <c r="BI23" i="142" l="1"/>
  <c r="BK23" i="142" s="1"/>
  <c r="AG47" i="138"/>
  <c r="AI47" i="138" s="1"/>
  <c r="S27" i="132"/>
  <c r="U27" i="132" s="1"/>
  <c r="C8" i="108"/>
  <c r="B6" i="108"/>
  <c r="J6" i="136"/>
  <c r="B6" i="136"/>
  <c r="S142" i="142"/>
  <c r="U142" i="142" s="1"/>
  <c r="B6" i="142"/>
  <c r="J6" i="168"/>
  <c r="D6" i="168"/>
  <c r="C6" i="168"/>
  <c r="B6" i="168"/>
  <c r="S12" i="168"/>
  <c r="U12" i="168" s="1"/>
  <c r="Z90" i="142"/>
  <c r="AB90" i="142" s="1"/>
  <c r="S137" i="137"/>
  <c r="U137" i="137" s="1"/>
  <c r="S134" i="142" l="1"/>
  <c r="U134" i="142" s="1"/>
  <c r="AU40" i="142"/>
  <c r="AW40" i="142" s="1"/>
  <c r="S53" i="111"/>
  <c r="U53" i="111" s="1"/>
  <c r="S140" i="137"/>
  <c r="U140" i="137" s="1"/>
  <c r="AN85" i="142"/>
  <c r="AP85" i="142" s="1"/>
  <c r="S138" i="137" l="1"/>
  <c r="U138" i="137" s="1"/>
  <c r="S136" i="137"/>
  <c r="S135" i="137"/>
  <c r="S132" i="137"/>
  <c r="S131" i="137"/>
  <c r="AN12" i="146"/>
  <c r="AP12" i="146" s="1"/>
  <c r="AG111" i="142"/>
  <c r="AI111" i="142" s="1"/>
  <c r="L50" i="127"/>
  <c r="N50" i="127" s="1"/>
  <c r="L40" i="125" l="1"/>
  <c r="N40" i="125" s="1"/>
  <c r="AN14" i="152"/>
  <c r="AP14" i="152" s="1"/>
  <c r="S13" i="161"/>
  <c r="U13" i="161" s="1"/>
  <c r="L15" i="155"/>
  <c r="N15" i="155" s="1"/>
  <c r="S15" i="162"/>
  <c r="U15" i="162" s="1"/>
  <c r="L145" i="142"/>
  <c r="N145" i="142" s="1"/>
  <c r="L142" i="137"/>
  <c r="N142" i="137" s="1"/>
  <c r="Z13" i="155" l="1"/>
  <c r="AB13" i="155"/>
  <c r="Z21" i="147"/>
  <c r="AB21" i="147" s="1"/>
  <c r="Z37" i="149"/>
  <c r="AB37" i="149" s="1"/>
  <c r="L27" i="132"/>
  <c r="N27" i="132" s="1"/>
  <c r="AU25" i="149"/>
  <c r="AW25" i="149" s="1"/>
  <c r="Z135" i="137"/>
  <c r="AB135" i="137" s="1"/>
  <c r="L15" i="162"/>
  <c r="N15" i="162"/>
  <c r="N143" i="142"/>
  <c r="L140" i="142"/>
  <c r="L141" i="142"/>
  <c r="L142" i="142"/>
  <c r="L143" i="142"/>
  <c r="L144" i="142"/>
  <c r="N144" i="142" s="1"/>
  <c r="L141" i="137"/>
  <c r="N141" i="137" s="1"/>
  <c r="L12" i="168"/>
  <c r="N12" i="168" s="1"/>
  <c r="Z13" i="156"/>
  <c r="AB13" i="156" s="1"/>
  <c r="AN84" i="128" l="1"/>
  <c r="AP84" i="128" s="1"/>
  <c r="S100" i="136"/>
  <c r="U100" i="136" s="1"/>
  <c r="N142" i="142"/>
  <c r="Z136" i="137"/>
  <c r="AB136" i="137" s="1"/>
  <c r="S139" i="142"/>
  <c r="U139" i="142" s="1"/>
  <c r="I6" i="168" l="1"/>
  <c r="H6" i="168"/>
  <c r="G6" i="168"/>
  <c r="F6" i="168"/>
  <c r="E6" i="168"/>
  <c r="I1" i="168"/>
  <c r="L24" i="108"/>
  <c r="N24" i="108" s="1"/>
  <c r="S18" i="151"/>
  <c r="U18" i="151" s="1"/>
  <c r="AG19" i="151"/>
  <c r="AI19" i="151" s="1"/>
  <c r="Z47" i="138"/>
  <c r="AB47" i="138" s="1"/>
  <c r="N141" i="142"/>
  <c r="N13" i="161"/>
  <c r="L13" i="161"/>
  <c r="Z98" i="136"/>
  <c r="AB98" i="136" s="1"/>
  <c r="AU118" i="137"/>
  <c r="AW118" i="137" s="1"/>
  <c r="N35" i="110"/>
  <c r="S24" i="147"/>
  <c r="U24" i="147" s="1"/>
  <c r="S23" i="151"/>
  <c r="U23" i="151" s="1"/>
  <c r="L100" i="136"/>
  <c r="N100" i="136" s="1"/>
  <c r="AG136" i="142"/>
  <c r="AI136" i="142" s="1"/>
  <c r="AG36" i="149"/>
  <c r="AI36" i="149" s="1"/>
  <c r="N140" i="142"/>
  <c r="L140" i="137"/>
  <c r="N140" i="137" s="1"/>
  <c r="Z71" i="136"/>
  <c r="AB71" i="136" s="1"/>
  <c r="S98" i="136"/>
  <c r="U98" i="136" s="1"/>
  <c r="AG12" i="151"/>
  <c r="AI12" i="151" s="1"/>
  <c r="Z22" i="136"/>
  <c r="AB22" i="136" s="1"/>
  <c r="S25" i="159"/>
  <c r="U25" i="159" s="1"/>
  <c r="S37" i="149"/>
  <c r="S99" i="136"/>
  <c r="U99" i="136" s="1"/>
  <c r="AG43" i="137"/>
  <c r="AI43" i="137" s="1"/>
  <c r="AG44" i="137"/>
  <c r="AI44" i="137" s="1"/>
  <c r="S23" i="156"/>
  <c r="U23" i="156" s="1"/>
  <c r="BB57" i="138"/>
  <c r="BD57" i="138" s="1"/>
  <c r="U132" i="137"/>
  <c r="L99" i="136"/>
  <c r="N99" i="136" s="1"/>
  <c r="L139" i="137"/>
  <c r="N139" i="137" s="1"/>
  <c r="AG17" i="151"/>
  <c r="AI17" i="151" s="1"/>
  <c r="L138" i="137"/>
  <c r="N138" i="137" s="1"/>
  <c r="Z32" i="149"/>
  <c r="AB32" i="149" s="1"/>
  <c r="Z33" i="149"/>
  <c r="AB33" i="149" s="1"/>
  <c r="Z34" i="149"/>
  <c r="AB34" i="149" s="1"/>
  <c r="Z35" i="149"/>
  <c r="AB35" i="149" s="1"/>
  <c r="Z36" i="149"/>
  <c r="AB36" i="149" s="1"/>
  <c r="U136" i="137"/>
  <c r="S22" i="108"/>
  <c r="U22" i="108" s="1"/>
  <c r="S23" i="108"/>
  <c r="U23" i="108" s="1"/>
  <c r="S39" i="136"/>
  <c r="U39" i="136" s="1"/>
  <c r="L137" i="137"/>
  <c r="N137" i="137" s="1"/>
  <c r="AG36" i="142"/>
  <c r="AI36" i="142" s="1"/>
  <c r="S22" i="136"/>
  <c r="U22" i="136" s="1"/>
  <c r="S21" i="152"/>
  <c r="U21" i="152" s="1"/>
  <c r="Z30" i="111"/>
  <c r="AB30" i="111" s="1"/>
  <c r="AU63" i="138"/>
  <c r="AW63" i="138" s="1"/>
  <c r="L98" i="136"/>
  <c r="N98" i="136" s="1"/>
  <c r="AG19" i="146"/>
  <c r="AI19" i="146" s="1"/>
  <c r="S34" i="110"/>
  <c r="U34" i="110" s="1"/>
  <c r="Z25" i="151"/>
  <c r="AB25" i="151" s="1"/>
  <c r="AN16" i="151"/>
  <c r="AP16" i="151" s="1"/>
  <c r="S66" i="136"/>
  <c r="U66" i="136" s="1"/>
  <c r="U135" i="137"/>
  <c r="L24" i="147"/>
  <c r="N24" i="147" s="1"/>
  <c r="AG131" i="137"/>
  <c r="AI131" i="137" s="1"/>
  <c r="L25" i="159"/>
  <c r="N25" i="159" s="1"/>
  <c r="AG100" i="137"/>
  <c r="AI100" i="137" s="1"/>
  <c r="Z20" i="136"/>
  <c r="AB20" i="136" s="1"/>
  <c r="Z102" i="137"/>
  <c r="AB102" i="137" s="1"/>
  <c r="AN86" i="142"/>
  <c r="AP86" i="142" s="1"/>
  <c r="Z51" i="145"/>
  <c r="AB51" i="145" s="1"/>
  <c r="AG101" i="137"/>
  <c r="AI101" i="137" s="1"/>
  <c r="Z129" i="137"/>
  <c r="AB129" i="137" s="1"/>
  <c r="Z13" i="131"/>
  <c r="AB13" i="131" s="1"/>
  <c r="S36" i="149"/>
  <c r="U36" i="149" s="1"/>
  <c r="AG126" i="142"/>
  <c r="AI126" i="142" s="1"/>
  <c r="Z23" i="147"/>
  <c r="AB23" i="147" s="1"/>
  <c r="Z19" i="136"/>
  <c r="AB19" i="136" s="1"/>
  <c r="AN64" i="136"/>
  <c r="AP64" i="136" s="1"/>
  <c r="AN74" i="136"/>
  <c r="AP74" i="136" s="1"/>
  <c r="L23" i="108"/>
  <c r="N23" i="108" s="1"/>
  <c r="S137" i="142"/>
  <c r="U137" i="142" s="1"/>
  <c r="Z14" i="162"/>
  <c r="AB14" i="162" s="1"/>
  <c r="Z29" i="151"/>
  <c r="AB29" i="151" s="1"/>
  <c r="S14" i="144"/>
  <c r="U14" i="144" s="1"/>
  <c r="S138" i="142"/>
  <c r="U138" i="142" s="1"/>
  <c r="L72" i="138"/>
  <c r="N72" i="138" s="1"/>
  <c r="Z15" i="151"/>
  <c r="AB15" i="151" s="1"/>
  <c r="AN104" i="137"/>
  <c r="AP104" i="137" s="1"/>
  <c r="Z136" i="142"/>
  <c r="AB136" i="142" s="1"/>
  <c r="BB23" i="142"/>
  <c r="BD23" i="142" s="1"/>
  <c r="AG84" i="136"/>
  <c r="AI84" i="136" s="1"/>
  <c r="S44" i="136"/>
  <c r="U44" i="136" s="1"/>
  <c r="S30" i="136"/>
  <c r="U30" i="136" s="1"/>
  <c r="BI67" i="138"/>
  <c r="BK67" i="138" s="1"/>
  <c r="Z125" i="142"/>
  <c r="AB125" i="142" s="1"/>
  <c r="AN122" i="137"/>
  <c r="AP122" i="137" s="1"/>
  <c r="Z115" i="137"/>
  <c r="AB115" i="137" s="1"/>
  <c r="S33" i="136"/>
  <c r="U33" i="136" s="1"/>
  <c r="S35" i="136"/>
  <c r="U35" i="136" s="1"/>
  <c r="Z61" i="136"/>
  <c r="AB61" i="136" s="1"/>
  <c r="S41" i="136"/>
  <c r="U41" i="136" s="1"/>
  <c r="S85" i="136"/>
  <c r="U85" i="136" s="1"/>
  <c r="S129" i="142"/>
  <c r="U129" i="142" s="1"/>
  <c r="S20" i="136"/>
  <c r="U20" i="136" s="1"/>
  <c r="AN89" i="142"/>
  <c r="AP89" i="142" s="1"/>
  <c r="S34" i="136"/>
  <c r="U34" i="136" s="1"/>
  <c r="Z103" i="137"/>
  <c r="AB103" i="137" s="1"/>
  <c r="S19" i="136"/>
  <c r="U19" i="136" s="1"/>
  <c r="S97" i="136"/>
  <c r="U97" i="136" s="1"/>
  <c r="AU12" i="137"/>
  <c r="AW12" i="137" s="1"/>
  <c r="Z36" i="142"/>
  <c r="AB36" i="142" s="1"/>
  <c r="AN77" i="142"/>
  <c r="AP77" i="142" s="1"/>
  <c r="AN22" i="147"/>
  <c r="AP22" i="147" s="1"/>
  <c r="AN63" i="138"/>
  <c r="AP63" i="138" s="1"/>
  <c r="S21" i="136"/>
  <c r="U21" i="136" s="1"/>
  <c r="S30" i="111"/>
  <c r="U30" i="111" s="1"/>
  <c r="Z80" i="136"/>
  <c r="AB80" i="136" s="1"/>
  <c r="Z67" i="136"/>
  <c r="AB67" i="136" s="1"/>
  <c r="AN78" i="137"/>
  <c r="AP78" i="137" s="1"/>
  <c r="AG69" i="137"/>
  <c r="AI69" i="137" s="1"/>
  <c r="S70" i="138"/>
  <c r="U70" i="138" s="1"/>
  <c r="AG48" i="142"/>
  <c r="AI48" i="142" s="1"/>
  <c r="Z31" i="152"/>
  <c r="AB31" i="152" s="1"/>
  <c r="S14" i="162"/>
  <c r="U14" i="162" s="1"/>
  <c r="S94" i="136"/>
  <c r="U94" i="136" s="1"/>
  <c r="AU43" i="142"/>
  <c r="AW43" i="142" s="1"/>
  <c r="Z12" i="136"/>
  <c r="AB12" i="136" s="1"/>
  <c r="L136" i="137"/>
  <c r="N136" i="137" s="1"/>
  <c r="AG69" i="138"/>
  <c r="AI69" i="138" s="1"/>
  <c r="Z82" i="136"/>
  <c r="AB82" i="136" s="1"/>
  <c r="S68" i="136"/>
  <c r="U68" i="136" s="1"/>
  <c r="C8" i="168" l="1"/>
  <c r="S51" i="145"/>
  <c r="U51" i="145" s="1"/>
  <c r="L71" i="138"/>
  <c r="N71" i="138" s="1"/>
  <c r="AN33" i="142"/>
  <c r="AP33" i="142" s="1"/>
  <c r="AU15" i="146"/>
  <c r="AW15" i="146" s="1"/>
  <c r="S95" i="136"/>
  <c r="U95" i="136" s="1"/>
  <c r="S12" i="161"/>
  <c r="U12" i="161" s="1"/>
  <c r="S136" i="142"/>
  <c r="U136" i="142" s="1"/>
  <c r="AN40" i="142"/>
  <c r="AP40" i="142" s="1"/>
  <c r="L34" i="110"/>
  <c r="N34" i="110" s="1"/>
  <c r="S24" i="159"/>
  <c r="U24" i="159" s="1"/>
  <c r="S23" i="159"/>
  <c r="S14" i="136"/>
  <c r="U14" i="136" s="1"/>
  <c r="S63" i="136"/>
  <c r="U63" i="136" s="1"/>
  <c r="S18" i="136"/>
  <c r="U18" i="136" s="1"/>
  <c r="AG70" i="136"/>
  <c r="AI70" i="136" s="1"/>
  <c r="S15" i="136"/>
  <c r="U15" i="136" s="1"/>
  <c r="AG74" i="136"/>
  <c r="AI74" i="136" s="1"/>
  <c r="S12" i="136"/>
  <c r="U12" i="136" s="1"/>
  <c r="S87" i="136"/>
  <c r="U87" i="136" s="1"/>
  <c r="AG36" i="136"/>
  <c r="AI36" i="136" s="1"/>
  <c r="AG31" i="149"/>
  <c r="AI31" i="149" s="1"/>
  <c r="AG64" i="136"/>
  <c r="AI64" i="136" s="1"/>
  <c r="L70" i="138"/>
  <c r="N70" i="138" s="1"/>
  <c r="AN118" i="137"/>
  <c r="AP118" i="137" s="1"/>
  <c r="Z19" i="146"/>
  <c r="AB19" i="146" s="1"/>
  <c r="Z22" i="158"/>
  <c r="AB22" i="158" s="1"/>
  <c r="AG122" i="137"/>
  <c r="AI122" i="137" s="1"/>
  <c r="Z131" i="137"/>
  <c r="AB131" i="137" s="1"/>
  <c r="Z126" i="142"/>
  <c r="AB126" i="142" s="1"/>
  <c r="AG107" i="128" l="1"/>
  <c r="AI107" i="128" s="1"/>
  <c r="L139" i="142"/>
  <c r="N139" i="142" s="1"/>
  <c r="AG15" i="150"/>
  <c r="AI15" i="150" s="1"/>
  <c r="AG63" i="138"/>
  <c r="AI63" i="138" s="1"/>
  <c r="L110" i="128"/>
  <c r="N110" i="128" s="1"/>
  <c r="L24" i="159"/>
  <c r="N24" i="159" s="1"/>
  <c r="S15" i="130"/>
  <c r="U15" i="130" s="1"/>
  <c r="S79" i="128"/>
  <c r="U79" i="128" s="1"/>
  <c r="S80" i="128"/>
  <c r="U80" i="128" s="1"/>
  <c r="S108" i="128"/>
  <c r="U108" i="128" s="1"/>
  <c r="S22" i="158"/>
  <c r="U22" i="158" s="1"/>
  <c r="S135" i="142"/>
  <c r="U135" i="142" s="1"/>
  <c r="Z45" i="111"/>
  <c r="AB45" i="111" s="1"/>
  <c r="AU13" i="143"/>
  <c r="AW13" i="143" s="1"/>
  <c r="AN65" i="138"/>
  <c r="AP65" i="138" s="1"/>
  <c r="Z16" i="146"/>
  <c r="AB16" i="146" s="1"/>
  <c r="AN15" i="146"/>
  <c r="AP15" i="146" s="1"/>
  <c r="AI14" i="143"/>
  <c r="AG14" i="143"/>
  <c r="L51" i="145"/>
  <c r="N51" i="145" s="1"/>
  <c r="AG33" i="142"/>
  <c r="AI33" i="142" s="1"/>
  <c r="AG22" i="147"/>
  <c r="AI22" i="147" s="1"/>
  <c r="L138" i="142"/>
  <c r="N138" i="142" s="1"/>
  <c r="L22" i="108"/>
  <c r="N22" i="108" s="1"/>
  <c r="L97" i="136"/>
  <c r="N97" i="136" s="1"/>
  <c r="BB49" i="137"/>
  <c r="BD49" i="137" s="1"/>
  <c r="AG40" i="142"/>
  <c r="AI40" i="142" s="1"/>
  <c r="AG49" i="142"/>
  <c r="AI49" i="142" s="1"/>
  <c r="Z58" i="142"/>
  <c r="AB58" i="142" s="1"/>
  <c r="U131" i="137"/>
  <c r="L135" i="137"/>
  <c r="N135" i="137" s="1"/>
  <c r="L137" i="142"/>
  <c r="N137" i="142" s="1"/>
  <c r="Z132" i="142"/>
  <c r="AB132" i="142" s="1"/>
  <c r="AG118" i="137"/>
  <c r="AI118" i="137" s="1"/>
  <c r="Z107" i="128"/>
  <c r="AB107" i="128" s="1"/>
  <c r="BB67" i="138"/>
  <c r="BD67" i="138" s="1"/>
  <c r="AN12" i="137"/>
  <c r="AP12" i="137" s="1"/>
  <c r="L36" i="149"/>
  <c r="N36" i="149" s="1"/>
  <c r="L33" i="145"/>
  <c r="N33" i="145" s="1"/>
  <c r="S60" i="142"/>
  <c r="U60" i="142" s="1"/>
  <c r="L33" i="151"/>
  <c r="N33" i="151" s="1"/>
  <c r="Z33" i="142"/>
  <c r="AB33" i="142" s="1"/>
  <c r="U23" i="159"/>
  <c r="AG20" i="147"/>
  <c r="AI20" i="147" s="1"/>
  <c r="AU99" i="137"/>
  <c r="AW99" i="137" s="1"/>
  <c r="Z130" i="137"/>
  <c r="AB130" i="137" s="1"/>
  <c r="Z15" i="150"/>
  <c r="AB15" i="150" s="1"/>
  <c r="AU67" i="138"/>
  <c r="AW67" i="138" s="1"/>
  <c r="Z21" i="156"/>
  <c r="AB21" i="156" s="1"/>
  <c r="Z20" i="158"/>
  <c r="AB20" i="158" s="1"/>
  <c r="L22" i="158"/>
  <c r="N22" i="158" s="1"/>
  <c r="S31" i="152"/>
  <c r="U31" i="152" s="1"/>
  <c r="L96" i="136"/>
  <c r="N96" i="136" s="1"/>
  <c r="AN43" i="142"/>
  <c r="AP43" i="142" s="1"/>
  <c r="Z14" i="143"/>
  <c r="AB14" i="143" s="1"/>
  <c r="Z128" i="137"/>
  <c r="AB128" i="137" s="1"/>
  <c r="AN64" i="142"/>
  <c r="AP64" i="142" s="1"/>
  <c r="BB84" i="142"/>
  <c r="BD84" i="142" s="1"/>
  <c r="AG26" i="159"/>
  <c r="AI26" i="159" s="1"/>
  <c r="L32" i="151"/>
  <c r="N32" i="151" s="1"/>
  <c r="Z31" i="149"/>
  <c r="AB31" i="149" s="1"/>
  <c r="AU88" i="137"/>
  <c r="AW88" i="137" s="1"/>
  <c r="S42" i="128"/>
  <c r="U42" i="128" s="1"/>
  <c r="L95" i="136"/>
  <c r="N95" i="136" s="1"/>
  <c r="S36" i="127"/>
  <c r="U36" i="127" s="1"/>
  <c r="AU23" i="142"/>
  <c r="AW23" i="142" s="1"/>
  <c r="Z69" i="138"/>
  <c r="AB69" i="138" s="1"/>
  <c r="S132" i="142"/>
  <c r="U132" i="142" s="1"/>
  <c r="Z118" i="137"/>
  <c r="AB118" i="137" s="1"/>
  <c r="L109" i="128"/>
  <c r="N109" i="128" s="1"/>
  <c r="Z127" i="142"/>
  <c r="AB127" i="142" s="1"/>
  <c r="Z22" i="147"/>
  <c r="AB22" i="147" s="1"/>
  <c r="AG78" i="128"/>
  <c r="AI78" i="128" s="1"/>
  <c r="S33" i="110"/>
  <c r="U33" i="110" s="1"/>
  <c r="L94" i="136"/>
  <c r="N94" i="136" s="1"/>
  <c r="S17" i="158"/>
  <c r="U17" i="158" s="1"/>
  <c r="L136" i="142"/>
  <c r="N136" i="142" s="1"/>
  <c r="L135" i="142"/>
  <c r="N135" i="142" s="1"/>
  <c r="Z14" i="132"/>
  <c r="AB14" i="132" s="1"/>
  <c r="L134" i="137"/>
  <c r="N134" i="137" s="1"/>
  <c r="S15" i="150"/>
  <c r="U15" i="150" s="1"/>
  <c r="AN13" i="147"/>
  <c r="AP13" i="147" s="1"/>
  <c r="Z40" i="142"/>
  <c r="AB40" i="142" s="1"/>
  <c r="AG107" i="137"/>
  <c r="AI107" i="137" s="1"/>
  <c r="S129" i="137"/>
  <c r="U129" i="137" s="1"/>
  <c r="AN52" i="142"/>
  <c r="AP52" i="142" s="1"/>
  <c r="AN108" i="142"/>
  <c r="AP108" i="142" s="1"/>
  <c r="AN35" i="142"/>
  <c r="AP35" i="142" s="1"/>
  <c r="Z111" i="142"/>
  <c r="AB111" i="142" s="1"/>
  <c r="AG103" i="142"/>
  <c r="AI103" i="142" s="1"/>
  <c r="S22" i="159"/>
  <c r="U22" i="159" s="1"/>
  <c r="L53" i="111"/>
  <c r="N53" i="111" s="1"/>
  <c r="AG28" i="152"/>
  <c r="AI28" i="152" s="1"/>
  <c r="S31" i="145"/>
  <c r="U31" i="145" s="1"/>
  <c r="AG84" i="137"/>
  <c r="AI84" i="137" s="1"/>
  <c r="S18" i="167"/>
  <c r="U18" i="167" s="1"/>
  <c r="AN114" i="137"/>
  <c r="AP114" i="137" s="1"/>
  <c r="S130" i="137"/>
  <c r="U130" i="137" s="1"/>
  <c r="AN94" i="142"/>
  <c r="AP94" i="142" s="1"/>
  <c r="S58" i="142"/>
  <c r="U58" i="142" s="1"/>
  <c r="AG101" i="142"/>
  <c r="AI101" i="142" s="1"/>
  <c r="BB17" i="142"/>
  <c r="BD17" i="142" s="1"/>
  <c r="AG104" i="137"/>
  <c r="AI104" i="137" s="1"/>
  <c r="Z14" i="147"/>
  <c r="AB14" i="147" s="1"/>
  <c r="S14" i="150"/>
  <c r="U14" i="150" s="1"/>
  <c r="S30" i="132"/>
  <c r="U30" i="132" s="1"/>
  <c r="L21" i="158"/>
  <c r="N21" i="158" s="1"/>
  <c r="C6" i="138"/>
  <c r="L12" i="136"/>
  <c r="N12" i="136" s="1"/>
  <c r="I6" i="136"/>
  <c r="H6" i="136"/>
  <c r="G6" i="136"/>
  <c r="B4" i="135" s="1"/>
  <c r="F6" i="136"/>
  <c r="E6" i="136"/>
  <c r="D6" i="136"/>
  <c r="C6" i="136"/>
  <c r="B6" i="137"/>
  <c r="S21" i="156"/>
  <c r="U21" i="156" s="1"/>
  <c r="L133" i="137"/>
  <c r="N133" i="137" s="1"/>
  <c r="S32" i="145"/>
  <c r="U32" i="145" s="1"/>
  <c r="S18" i="108"/>
  <c r="U18" i="108" s="1"/>
  <c r="AN99" i="137"/>
  <c r="AP99" i="137" s="1"/>
  <c r="L35" i="149"/>
  <c r="N35" i="149" s="1"/>
  <c r="S34" i="149"/>
  <c r="U34" i="149" s="1"/>
  <c r="Z30" i="152"/>
  <c r="AB30" i="152" s="1"/>
  <c r="S19" i="146"/>
  <c r="U19" i="146"/>
  <c r="L31" i="152"/>
  <c r="N31" i="152" s="1"/>
  <c r="L23" i="159"/>
  <c r="N23" i="159" s="1"/>
  <c r="S128" i="137"/>
  <c r="U128" i="137" s="1"/>
  <c r="AU84" i="142"/>
  <c r="AW84" i="142" s="1"/>
  <c r="Z31" i="151"/>
  <c r="AB31" i="151" s="1"/>
  <c r="L93" i="136"/>
  <c r="N93" i="136" s="1"/>
  <c r="L18" i="130"/>
  <c r="N18" i="130" s="1"/>
  <c r="AN76" i="137"/>
  <c r="AP76" i="137" s="1"/>
  <c r="AG13" i="149"/>
  <c r="AI13" i="149" s="1"/>
  <c r="L132" i="137"/>
  <c r="N132" i="137" s="1"/>
  <c r="S22" i="156"/>
  <c r="U22" i="156" s="1"/>
  <c r="S69" i="136"/>
  <c r="U69" i="136" s="1"/>
  <c r="N69" i="136"/>
  <c r="L131" i="137"/>
  <c r="N131" i="137" s="1"/>
  <c r="Z107" i="137"/>
  <c r="AB107" i="137" s="1"/>
  <c r="Z20" i="147"/>
  <c r="AB20" i="147" s="1"/>
  <c r="Z53" i="137"/>
  <c r="AB53" i="137" s="1"/>
  <c r="Z105" i="142"/>
  <c r="AB105" i="142" s="1"/>
  <c r="S18" i="148"/>
  <c r="U18" i="148" s="1"/>
  <c r="Z119" i="137"/>
  <c r="AB119" i="137" s="1"/>
  <c r="S22" i="147"/>
  <c r="U22" i="147" s="1"/>
  <c r="Z23" i="152"/>
  <c r="AB23" i="152" s="1"/>
  <c r="J6" i="151"/>
  <c r="I6" i="151"/>
  <c r="G6" i="151"/>
  <c r="F6" i="151"/>
  <c r="E6" i="151"/>
  <c r="D6" i="151"/>
  <c r="C6" i="151"/>
  <c r="B6" i="151"/>
  <c r="H6" i="151"/>
  <c r="J6" i="137"/>
  <c r="I6" i="137"/>
  <c r="G6" i="137"/>
  <c r="F6" i="137"/>
  <c r="E6" i="137"/>
  <c r="D6" i="137"/>
  <c r="C6" i="137"/>
  <c r="H6" i="137"/>
  <c r="J6" i="156"/>
  <c r="I6" i="156"/>
  <c r="H6" i="156"/>
  <c r="G6" i="156"/>
  <c r="F6" i="156"/>
  <c r="E6" i="156"/>
  <c r="D6" i="156"/>
  <c r="C6" i="156"/>
  <c r="B6" i="156"/>
  <c r="J6" i="148"/>
  <c r="H6" i="148"/>
  <c r="G6" i="148"/>
  <c r="F6" i="148"/>
  <c r="E6" i="148"/>
  <c r="D6" i="148"/>
  <c r="C6" i="148"/>
  <c r="B6" i="148"/>
  <c r="J6" i="138"/>
  <c r="I6" i="138"/>
  <c r="H6" i="138"/>
  <c r="G6" i="138"/>
  <c r="F6" i="138"/>
  <c r="E6" i="138"/>
  <c r="D6" i="138"/>
  <c r="B6" i="138"/>
  <c r="L15" i="150"/>
  <c r="N15" i="150" s="1"/>
  <c r="L130" i="137"/>
  <c r="N130" i="137" s="1"/>
  <c r="S33" i="142"/>
  <c r="U33" i="142" s="1"/>
  <c r="S110" i="137"/>
  <c r="U110" i="137" s="1"/>
  <c r="AG92" i="137"/>
  <c r="AI92" i="137" s="1"/>
  <c r="Z20" i="156"/>
  <c r="AB20" i="156" s="1"/>
  <c r="Z19" i="156"/>
  <c r="AB19" i="156" s="1"/>
  <c r="S30" i="152"/>
  <c r="U30" i="152" s="1"/>
  <c r="Z17" i="148"/>
  <c r="AB17" i="148" s="1"/>
  <c r="L22" i="159"/>
  <c r="N22" i="159" s="1"/>
  <c r="S20" i="159"/>
  <c r="U20" i="159" s="1"/>
  <c r="S14" i="146"/>
  <c r="U14" i="146" s="1"/>
  <c r="S126" i="137"/>
  <c r="U126" i="137" s="1"/>
  <c r="AG13" i="147"/>
  <c r="AI13" i="147" s="1"/>
  <c r="Z127" i="137"/>
  <c r="AB127" i="137" s="1"/>
  <c r="L30" i="132"/>
  <c r="N30" i="132" s="1"/>
  <c r="C8" i="136" l="1"/>
  <c r="C8" i="137"/>
  <c r="C8" i="138"/>
  <c r="C8" i="151"/>
  <c r="C8" i="156"/>
  <c r="L32" i="145"/>
  <c r="N32" i="145" s="1"/>
  <c r="S20" i="158"/>
  <c r="U20" i="158" s="1"/>
  <c r="Z112" i="142"/>
  <c r="AB112" i="142" s="1"/>
  <c r="AU57" i="138"/>
  <c r="AW57" i="138" s="1"/>
  <c r="L14" i="150"/>
  <c r="N14" i="150" s="1"/>
  <c r="Z78" i="128"/>
  <c r="AB78" i="128" s="1"/>
  <c r="AU34" i="142"/>
  <c r="AW34" i="142" s="1"/>
  <c r="L22" i="156"/>
  <c r="N22" i="156" s="1"/>
  <c r="L18" i="167"/>
  <c r="N18" i="167" s="1"/>
  <c r="L129" i="137"/>
  <c r="N129" i="137" s="1"/>
  <c r="S21" i="159"/>
  <c r="U21" i="159" s="1"/>
  <c r="AG105" i="137"/>
  <c r="AI105" i="137" s="1"/>
  <c r="Z104" i="137"/>
  <c r="AB104" i="137" s="1"/>
  <c r="Z107" i="142"/>
  <c r="AB107" i="142" s="1"/>
  <c r="Z49" i="142"/>
  <c r="AB49" i="142" s="1"/>
  <c r="Z29" i="152"/>
  <c r="AB29" i="152" s="1"/>
  <c r="S107" i="128"/>
  <c r="U107" i="128" s="1"/>
  <c r="S69" i="138"/>
  <c r="U69" i="138" s="1"/>
  <c r="Z88" i="136"/>
  <c r="AB88" i="136" s="1"/>
  <c r="BW34" i="138"/>
  <c r="BY34" i="138" s="1"/>
  <c r="S33" i="149"/>
  <c r="U33" i="149"/>
  <c r="S17" i="130"/>
  <c r="U17" i="130" s="1"/>
  <c r="L34" i="149"/>
  <c r="N34" i="149" s="1"/>
  <c r="S32" i="149"/>
  <c r="U32" i="149" s="1"/>
  <c r="L134" i="142"/>
  <c r="L133" i="142"/>
  <c r="L132" i="142"/>
  <c r="AB20" i="146"/>
  <c r="Z20" i="146"/>
  <c r="S52" i="111"/>
  <c r="U52" i="111" s="1"/>
  <c r="Z44" i="111"/>
  <c r="AB44" i="111" s="1"/>
  <c r="S31" i="151"/>
  <c r="U31" i="151" s="1"/>
  <c r="L33" i="110"/>
  <c r="N33" i="110" s="1"/>
  <c r="L17" i="158"/>
  <c r="N17" i="158" s="1"/>
  <c r="L31" i="145"/>
  <c r="N31" i="145" s="1"/>
  <c r="S17" i="148"/>
  <c r="U17" i="148" s="1"/>
  <c r="L21" i="156"/>
  <c r="N21" i="156" s="1"/>
  <c r="AG70" i="142"/>
  <c r="AI70" i="142" s="1"/>
  <c r="AG76" i="137"/>
  <c r="AI76" i="137" s="1"/>
  <c r="S64" i="138"/>
  <c r="U64" i="138" s="1"/>
  <c r="S80" i="137"/>
  <c r="U80" i="137" s="1"/>
  <c r="S20" i="156"/>
  <c r="U20" i="156" s="1"/>
  <c r="S19" i="156"/>
  <c r="U19" i="156" s="1"/>
  <c r="S18" i="156"/>
  <c r="U18" i="156" s="1"/>
  <c r="L19" i="146"/>
  <c r="N19" i="146" s="1"/>
  <c r="Z12" i="149"/>
  <c r="AB12" i="149" s="1"/>
  <c r="S88" i="136"/>
  <c r="U88" i="136" s="1"/>
  <c r="S127" i="137"/>
  <c r="U127" i="137" s="1"/>
  <c r="Z13" i="149"/>
  <c r="AB13" i="149" s="1"/>
  <c r="AU106" i="142"/>
  <c r="AW106" i="142" s="1"/>
  <c r="S130" i="142"/>
  <c r="U130" i="142" s="1"/>
  <c r="BB102" i="142"/>
  <c r="BD102" i="142" s="1"/>
  <c r="AG12" i="167"/>
  <c r="AI12" i="167" s="1"/>
  <c r="S36" i="142"/>
  <c r="U36" i="142" s="1"/>
  <c r="S16" i="167"/>
  <c r="U16" i="167" s="1"/>
  <c r="S24" i="152"/>
  <c r="U24" i="152" s="1"/>
  <c r="AG97" i="128"/>
  <c r="AI97" i="128" s="1"/>
  <c r="S30" i="151"/>
  <c r="U30" i="151" s="1"/>
  <c r="AN88" i="137"/>
  <c r="AP88" i="137" s="1"/>
  <c r="L18" i="148"/>
  <c r="N18" i="148" s="1"/>
  <c r="L108" i="128" l="1"/>
  <c r="N108" i="128" s="1"/>
  <c r="AG84" i="128"/>
  <c r="AI84" i="128" s="1"/>
  <c r="S49" i="127"/>
  <c r="U49" i="127" s="1"/>
  <c r="S104" i="137"/>
  <c r="U104" i="137" s="1"/>
  <c r="L21" i="159"/>
  <c r="N21" i="159" s="1"/>
  <c r="S29" i="152"/>
  <c r="U29" i="152" s="1"/>
  <c r="Z22" i="152"/>
  <c r="AB22" i="152" s="1"/>
  <c r="L17" i="167"/>
  <c r="N17" i="167" s="1"/>
  <c r="L33" i="149"/>
  <c r="N33" i="149" s="1"/>
  <c r="N134" i="142"/>
  <c r="Z26" i="152"/>
  <c r="AB26" i="152" s="1"/>
  <c r="L30" i="152"/>
  <c r="N30" i="152" s="1"/>
  <c r="L128" i="137"/>
  <c r="N128" i="137" s="1"/>
  <c r="N133" i="142"/>
  <c r="L92" i="136"/>
  <c r="N92" i="136" s="1"/>
  <c r="Z19" i="159"/>
  <c r="AB19" i="159" s="1"/>
  <c r="L52" i="111"/>
  <c r="N52" i="111" s="1"/>
  <c r="S19" i="158"/>
  <c r="U19" i="158" s="1"/>
  <c r="Z85" i="137"/>
  <c r="AB85" i="137" s="1"/>
  <c r="S23" i="147"/>
  <c r="U23" i="147" s="1"/>
  <c r="AN67" i="138"/>
  <c r="AP67" i="138" s="1"/>
  <c r="Z105" i="137"/>
  <c r="AB105" i="137" s="1"/>
  <c r="L91" i="136"/>
  <c r="N91" i="136" s="1"/>
  <c r="N132" i="142"/>
  <c r="L14" i="146"/>
  <c r="N14" i="146" s="1"/>
  <c r="AG95" i="137"/>
  <c r="AI95" i="137" s="1"/>
  <c r="S40" i="142"/>
  <c r="U40" i="142" s="1"/>
  <c r="L31" i="151"/>
  <c r="N31" i="151" s="1"/>
  <c r="L32" i="149"/>
  <c r="N32" i="149" s="1"/>
  <c r="L17" i="130"/>
  <c r="N17" i="130" s="1"/>
  <c r="L20" i="156"/>
  <c r="N20" i="156" s="1"/>
  <c r="Z84" i="137"/>
  <c r="AB84" i="137" s="1"/>
  <c r="L17" i="148"/>
  <c r="N17" i="148"/>
  <c r="AG18" i="159" l="1"/>
  <c r="AI18" i="159" s="1"/>
  <c r="L20" i="158"/>
  <c r="N20" i="158" s="1"/>
  <c r="AG14" i="158" l="1"/>
  <c r="AI14" i="158" s="1"/>
  <c r="L20" i="159"/>
  <c r="N20" i="159" s="1"/>
  <c r="S53" i="137"/>
  <c r="U53" i="137" s="1"/>
  <c r="BP34" i="138"/>
  <c r="BR34" i="138" s="1"/>
  <c r="Z101" i="142"/>
  <c r="AB101" i="142" s="1"/>
  <c r="S128" i="142"/>
  <c r="U128" i="142" s="1"/>
  <c r="AG27" i="151"/>
  <c r="AI27" i="151" s="1"/>
  <c r="Z44" i="137"/>
  <c r="AB44" i="137" s="1"/>
  <c r="S103" i="137"/>
  <c r="U103" i="137" s="1"/>
  <c r="AG123" i="142"/>
  <c r="AI123" i="142" s="1"/>
  <c r="S111" i="142"/>
  <c r="U111" i="142" s="1"/>
  <c r="Z93" i="137"/>
  <c r="AB93" i="137" s="1"/>
  <c r="Z122" i="137"/>
  <c r="AB122" i="137" s="1"/>
  <c r="L30" i="151"/>
  <c r="N30" i="151" s="1"/>
  <c r="S44" i="111"/>
  <c r="U44" i="111" s="1"/>
  <c r="L30" i="145"/>
  <c r="N30" i="145" s="1"/>
  <c r="L131" i="142"/>
  <c r="N131" i="142" s="1"/>
  <c r="AG52" i="142"/>
  <c r="AI52" i="142" s="1"/>
  <c r="S20" i="146"/>
  <c r="U20" i="146" s="1"/>
  <c r="AG31" i="158"/>
  <c r="AI31" i="158" s="1"/>
  <c r="S19" i="159"/>
  <c r="U19" i="159" s="1"/>
  <c r="S112" i="142"/>
  <c r="U112" i="142" s="1"/>
  <c r="L90" i="136"/>
  <c r="N90" i="136" s="1"/>
  <c r="S23" i="125" l="1"/>
  <c r="U23" i="125" s="1"/>
  <c r="S106" i="128" l="1"/>
  <c r="U106" i="128" s="1"/>
  <c r="Z47" i="127"/>
  <c r="AB47" i="127" s="1"/>
  <c r="L107" i="128"/>
  <c r="N107" i="128" s="1"/>
  <c r="L19" i="156"/>
  <c r="N19" i="156" s="1"/>
  <c r="S15" i="148"/>
  <c r="U15" i="148" s="1"/>
  <c r="S119" i="137"/>
  <c r="U119" i="137" s="1"/>
  <c r="L130" i="142"/>
  <c r="N130" i="142" s="1"/>
  <c r="L69" i="138"/>
  <c r="N69" i="138" s="1"/>
  <c r="S16" i="148"/>
  <c r="U16" i="148" s="1"/>
  <c r="Z25" i="136" l="1"/>
  <c r="AB25" i="136" s="1"/>
  <c r="L129" i="142"/>
  <c r="N129" i="142" s="1"/>
  <c r="S126" i="142"/>
  <c r="U126" i="142" s="1"/>
  <c r="Z27" i="151"/>
  <c r="AB27" i="151" s="1"/>
  <c r="S30" i="110"/>
  <c r="U30" i="110" s="1"/>
  <c r="S31" i="110"/>
  <c r="U31" i="110" s="1"/>
  <c r="AG67" i="138"/>
  <c r="AI67" i="138" s="1"/>
  <c r="AG78" i="137"/>
  <c r="AI78" i="137" s="1"/>
  <c r="AG108" i="142"/>
  <c r="AI108" i="142" s="1"/>
  <c r="Z32" i="110" l="1"/>
  <c r="AB32" i="110" s="1"/>
  <c r="S127" i="142"/>
  <c r="U127" i="142" s="1"/>
  <c r="AU49" i="137"/>
  <c r="AW49" i="137" s="1"/>
  <c r="S29" i="151"/>
  <c r="U29" i="151" s="1"/>
  <c r="L128" i="142"/>
  <c r="N128" i="142" s="1"/>
  <c r="AG18" i="147"/>
  <c r="AI18" i="147" s="1"/>
  <c r="AG17" i="147"/>
  <c r="AI17" i="147" s="1"/>
  <c r="AG16" i="147"/>
  <c r="AI16" i="147"/>
  <c r="S15" i="147"/>
  <c r="U15" i="147" s="1"/>
  <c r="AG93" i="142"/>
  <c r="AI93" i="142" s="1"/>
  <c r="AN122" i="142"/>
  <c r="AP122" i="142" s="1"/>
  <c r="L29" i="151"/>
  <c r="N29" i="151" s="1"/>
  <c r="L89" i="136"/>
  <c r="N89" i="136" s="1"/>
  <c r="L19" i="158"/>
  <c r="N19" i="158" s="1"/>
  <c r="L127" i="137"/>
  <c r="N127" i="137" s="1"/>
  <c r="Z125" i="137"/>
  <c r="AB125" i="137" s="1"/>
  <c r="L16" i="167"/>
  <c r="N16" i="167" s="1"/>
  <c r="BP24" i="142"/>
  <c r="BR24" i="142" s="1"/>
  <c r="AN99" i="142"/>
  <c r="AP99" i="142" s="1"/>
  <c r="Z63" i="138"/>
  <c r="AB63" i="138" s="1"/>
  <c r="L18" i="156"/>
  <c r="N18" i="156" s="1"/>
  <c r="AG17" i="146"/>
  <c r="AI17" i="146" s="1"/>
  <c r="S17" i="156"/>
  <c r="U17" i="156" s="1"/>
  <c r="AG14" i="148"/>
  <c r="AI14" i="148" s="1"/>
  <c r="AG15" i="158"/>
  <c r="AI15" i="158" s="1"/>
  <c r="S15" i="167"/>
  <c r="U15" i="167" s="1"/>
  <c r="L49" i="127"/>
  <c r="N49" i="127"/>
  <c r="S24" i="156"/>
  <c r="I1" i="151"/>
  <c r="J1" i="136"/>
  <c r="S37" i="127"/>
  <c r="U37" i="127" s="1"/>
  <c r="S32" i="127"/>
  <c r="U32" i="127" s="1"/>
  <c r="S39" i="125"/>
  <c r="U39" i="125" s="1"/>
  <c r="Z52" i="142"/>
  <c r="AB52" i="142" s="1"/>
  <c r="S38" i="125"/>
  <c r="U38" i="125" s="1"/>
  <c r="S34" i="125"/>
  <c r="U34" i="125" s="1"/>
  <c r="S24" i="125"/>
  <c r="U24" i="125" s="1"/>
  <c r="S64" i="128"/>
  <c r="U64" i="128" s="1"/>
  <c r="Z31" i="158"/>
  <c r="AB31" i="158" s="1"/>
  <c r="S47" i="127"/>
  <c r="U47" i="127" s="1"/>
  <c r="S38" i="111"/>
  <c r="U38" i="111" s="1"/>
  <c r="S46" i="111"/>
  <c r="U46" i="111" s="1"/>
  <c r="S48" i="127"/>
  <c r="U48" i="127" s="1"/>
  <c r="S32" i="110"/>
  <c r="U32" i="110" s="1"/>
  <c r="L44" i="111"/>
  <c r="N44" i="111" s="1"/>
  <c r="L88" i="136"/>
  <c r="N88" i="136" s="1"/>
  <c r="Z93" i="142"/>
  <c r="AB93" i="142" s="1"/>
  <c r="S125" i="142"/>
  <c r="U125" i="142" s="1"/>
  <c r="Z54" i="111"/>
  <c r="AB54" i="111" s="1"/>
  <c r="L19" i="159"/>
  <c r="N19" i="159" s="1"/>
  <c r="AG114" i="137"/>
  <c r="AI114" i="137" s="1"/>
  <c r="S32" i="158"/>
  <c r="U32" i="158" s="1"/>
  <c r="L87" i="136"/>
  <c r="N87" i="136" s="1"/>
  <c r="AN49" i="137"/>
  <c r="AP49" i="137" s="1"/>
  <c r="AG13" i="148"/>
  <c r="AI13" i="148" s="1"/>
  <c r="S122" i="137"/>
  <c r="U122" i="137" s="1"/>
  <c r="Z29" i="158"/>
  <c r="AB29" i="158" s="1"/>
  <c r="S33" i="158"/>
  <c r="U33" i="158" s="1"/>
  <c r="L127" i="142"/>
  <c r="N127" i="142" s="1"/>
  <c r="L48" i="127"/>
  <c r="N48" i="127" s="1"/>
  <c r="L47" i="127"/>
  <c r="N47" i="127" s="1"/>
  <c r="S13" i="167"/>
  <c r="U13" i="167" s="1"/>
  <c r="L28" i="151"/>
  <c r="N28" i="151" s="1"/>
  <c r="L106" i="128"/>
  <c r="N106" i="128" s="1"/>
  <c r="BW50" i="138"/>
  <c r="BY50" i="138" s="1"/>
  <c r="S21" i="125"/>
  <c r="U21" i="125" s="1"/>
  <c r="L126" i="142" l="1"/>
  <c r="N126" i="142" s="1"/>
  <c r="S25" i="125"/>
  <c r="U25" i="125" s="1"/>
  <c r="AG51" i="111"/>
  <c r="AI51" i="111" s="1"/>
  <c r="S20" i="125"/>
  <c r="U20" i="125" s="1"/>
  <c r="L16" i="148"/>
  <c r="N16" i="148"/>
  <c r="AG99" i="142"/>
  <c r="AI99" i="142" s="1"/>
  <c r="AG99" i="137"/>
  <c r="AI99" i="137" s="1"/>
  <c r="S13" i="130"/>
  <c r="U13" i="130" s="1"/>
  <c r="L68" i="138"/>
  <c r="N68" i="138" s="1"/>
  <c r="AG35" i="145"/>
  <c r="AI35" i="145" s="1"/>
  <c r="Z21" i="111"/>
  <c r="AB21" i="111" s="1"/>
  <c r="Z63" i="142"/>
  <c r="AB63" i="142" s="1"/>
  <c r="Z123" i="137"/>
  <c r="AB123" i="137" s="1"/>
  <c r="L105" i="128"/>
  <c r="N105" i="128" s="1"/>
  <c r="Z18" i="146"/>
  <c r="AB18" i="146" s="1"/>
  <c r="S27" i="151"/>
  <c r="U27" i="151" s="1"/>
  <c r="AG98" i="142"/>
  <c r="AI98" i="142" s="1"/>
  <c r="L39" i="125"/>
  <c r="N39" i="125" s="1"/>
  <c r="AG122" i="142"/>
  <c r="AI122" i="142" s="1"/>
  <c r="L32" i="110"/>
  <c r="N32" i="110" s="1"/>
  <c r="Z35" i="125"/>
  <c r="AB35" i="125" s="1"/>
  <c r="S125" i="137"/>
  <c r="U125" i="137" s="1"/>
  <c r="AG21" i="132"/>
  <c r="AI21" i="132" s="1"/>
  <c r="AG77" i="142"/>
  <c r="AI77" i="142" s="1"/>
  <c r="AG65" i="138"/>
  <c r="AI65" i="138" s="1"/>
  <c r="Z19" i="128"/>
  <c r="AB19" i="128" s="1"/>
  <c r="S29" i="149"/>
  <c r="U29" i="149" s="1"/>
  <c r="Z67" i="138" l="1"/>
  <c r="AB67" i="138" s="1"/>
  <c r="L15" i="167"/>
  <c r="N15" i="167" s="1"/>
  <c r="L15" i="148"/>
  <c r="N15" i="148" s="1"/>
  <c r="S26" i="132"/>
  <c r="U26" i="132" s="1"/>
  <c r="S27" i="125"/>
  <c r="U27" i="125" s="1"/>
  <c r="S14" i="167"/>
  <c r="U14" i="167" s="1"/>
  <c r="L31" i="110"/>
  <c r="N31" i="110" s="1"/>
  <c r="S104" i="128"/>
  <c r="U104" i="128" s="1"/>
  <c r="J6" i="111"/>
  <c r="S46" i="127"/>
  <c r="U46" i="127" s="1"/>
  <c r="AG56" i="142"/>
  <c r="AI56" i="142" s="1"/>
  <c r="S93" i="142"/>
  <c r="U93" i="142" s="1"/>
  <c r="Z115" i="142"/>
  <c r="AB115" i="142" s="1"/>
  <c r="S103" i="128"/>
  <c r="U103" i="128" s="1"/>
  <c r="Z18" i="159"/>
  <c r="AB18" i="159" s="1"/>
  <c r="L38" i="125"/>
  <c r="N38" i="125" s="1"/>
  <c r="S31" i="149"/>
  <c r="U31" i="149" s="1"/>
  <c r="S52" i="142"/>
  <c r="U52" i="142" s="1"/>
  <c r="Z48" i="145"/>
  <c r="AB48" i="145" s="1"/>
  <c r="L46" i="127"/>
  <c r="N46" i="127" s="1"/>
  <c r="Z47" i="142"/>
  <c r="AB47" i="142" s="1"/>
  <c r="AG85" i="142"/>
  <c r="AI85" i="142" s="1"/>
  <c r="Z122" i="142"/>
  <c r="AB122" i="142" s="1"/>
  <c r="AG65" i="142"/>
  <c r="AI65" i="142" s="1"/>
  <c r="AG43" i="142"/>
  <c r="AI43" i="142" s="1"/>
  <c r="L16" i="141"/>
  <c r="N16" i="141" s="1"/>
  <c r="L126" i="137"/>
  <c r="N126" i="137" s="1"/>
  <c r="L14" i="162"/>
  <c r="N14" i="162" s="1"/>
  <c r="L32" i="158"/>
  <c r="L30" i="110"/>
  <c r="N30" i="110" s="1"/>
  <c r="L125" i="142"/>
  <c r="N125" i="142" s="1"/>
  <c r="AG41" i="137"/>
  <c r="AI41" i="137" s="1"/>
  <c r="Z77" i="142"/>
  <c r="AB77" i="142" s="1"/>
  <c r="S18" i="159" l="1"/>
  <c r="U18" i="159" s="1"/>
  <c r="L26" i="132" l="1"/>
  <c r="N26" i="132" s="1"/>
  <c r="J6" i="132"/>
  <c r="S25" i="136"/>
  <c r="U25" i="136" s="1"/>
  <c r="Z123" i="142"/>
  <c r="AB123" i="142" s="1"/>
  <c r="AG88" i="142"/>
  <c r="AI88" i="142" s="1"/>
  <c r="L104" i="128"/>
  <c r="N104" i="128" s="1"/>
  <c r="Z54" i="137"/>
  <c r="AB54" i="137" s="1"/>
  <c r="AG50" i="137"/>
  <c r="AI50" i="137" s="1"/>
  <c r="AG91" i="142"/>
  <c r="AI91" i="142" s="1"/>
  <c r="L125" i="137"/>
  <c r="N125" i="137" s="1"/>
  <c r="S123" i="137"/>
  <c r="U123" i="137" s="1"/>
  <c r="Z18" i="147"/>
  <c r="AB18" i="147" s="1"/>
  <c r="Z14" i="148"/>
  <c r="AB14" i="148" s="1"/>
  <c r="L33" i="158"/>
  <c r="N33" i="158" s="1"/>
  <c r="Z100" i="137" l="1"/>
  <c r="AB100" i="137" s="1"/>
  <c r="L124" i="142"/>
  <c r="N124" i="142" s="1"/>
  <c r="S48" i="145"/>
  <c r="U48" i="145" s="1"/>
  <c r="Z69" i="137"/>
  <c r="AB69" i="137" s="1"/>
  <c r="S118" i="137"/>
  <c r="U118" i="137" s="1"/>
  <c r="S117" i="137"/>
  <c r="J6" i="127"/>
  <c r="S74" i="137"/>
  <c r="U74" i="137" s="1"/>
  <c r="Z97" i="128"/>
  <c r="AB97" i="128" s="1"/>
  <c r="Z101" i="137"/>
  <c r="AB101" i="137" s="1"/>
  <c r="S13" i="156"/>
  <c r="U13" i="156" s="1"/>
  <c r="Z51" i="111"/>
  <c r="AB51" i="111" s="1"/>
  <c r="N32" i="158"/>
  <c r="Z18" i="158"/>
  <c r="AB18" i="158" s="1"/>
  <c r="Z41" i="137"/>
  <c r="AB41" i="137" s="1"/>
  <c r="S106" i="137"/>
  <c r="U106" i="137" s="1"/>
  <c r="S123" i="142"/>
  <c r="U123" i="142" s="1"/>
  <c r="AN84" i="142"/>
  <c r="AP84" i="142" s="1"/>
  <c r="Z98" i="142"/>
  <c r="AB98" i="142" s="1"/>
  <c r="S117" i="142"/>
  <c r="U117" i="142" s="1"/>
  <c r="S45" i="111"/>
  <c r="U45" i="111" s="1"/>
  <c r="Z28" i="110"/>
  <c r="AB28" i="110" s="1"/>
  <c r="L103" i="128"/>
  <c r="N103" i="128" s="1"/>
  <c r="S14" i="148"/>
  <c r="U14" i="148" s="1"/>
  <c r="L18" i="159"/>
  <c r="N18" i="159" s="1"/>
  <c r="AU40" i="137"/>
  <c r="AW40" i="137" s="1"/>
  <c r="U24" i="156"/>
  <c r="Z19" i="148"/>
  <c r="AB19" i="148" s="1"/>
  <c r="S12" i="156"/>
  <c r="U12" i="156" s="1"/>
  <c r="S54" i="111"/>
  <c r="U54" i="111" s="1"/>
  <c r="Z17" i="146"/>
  <c r="AB17" i="146" s="1"/>
  <c r="S23" i="136" l="1"/>
  <c r="U23" i="136" s="1"/>
  <c r="S35" i="128"/>
  <c r="U35" i="128" s="1"/>
  <c r="Z66" i="138"/>
  <c r="AB66" i="138" s="1"/>
  <c r="Z48" i="142"/>
  <c r="AB48" i="142" s="1"/>
  <c r="S13" i="128"/>
  <c r="U13" i="128" s="1"/>
  <c r="S116" i="142"/>
  <c r="U116" i="142" s="1"/>
  <c r="L124" i="137"/>
  <c r="N124" i="137" s="1"/>
  <c r="S21" i="127"/>
  <c r="U21" i="127" s="1"/>
  <c r="S16" i="127"/>
  <c r="U16" i="127" s="1"/>
  <c r="S29" i="110"/>
  <c r="U29" i="110" s="1"/>
  <c r="AU49" i="138"/>
  <c r="AW49" i="138" s="1"/>
  <c r="BP50" i="138"/>
  <c r="BR50" i="138" s="1"/>
  <c r="BI24" i="142"/>
  <c r="BK24" i="142" s="1"/>
  <c r="BI34" i="138"/>
  <c r="BK34" i="138" s="1"/>
  <c r="Z88" i="142"/>
  <c r="AB88" i="142" s="1"/>
  <c r="AU16" i="142"/>
  <c r="AW16" i="142" s="1"/>
  <c r="S71" i="128"/>
  <c r="U71" i="128" s="1"/>
  <c r="S12" i="126"/>
  <c r="U12" i="126" s="1"/>
  <c r="Z13" i="148"/>
  <c r="AB13" i="148" s="1"/>
  <c r="AG13" i="150"/>
  <c r="AI13" i="150" s="1"/>
  <c r="S120" i="142"/>
  <c r="U120" i="142" s="1"/>
  <c r="AG94" i="142"/>
  <c r="AI94" i="142" s="1"/>
  <c r="S29" i="158" l="1"/>
  <c r="U29" i="158" s="1"/>
  <c r="S30" i="149"/>
  <c r="U30" i="149" s="1"/>
  <c r="AG25" i="142"/>
  <c r="AI25" i="142" s="1"/>
  <c r="L29" i="152"/>
  <c r="N29" i="152" s="1"/>
  <c r="Z79" i="137"/>
  <c r="AB79" i="137" s="1"/>
  <c r="AU102" i="142"/>
  <c r="AW102" i="142" s="1"/>
  <c r="S31" i="158"/>
  <c r="U31" i="158" s="1"/>
  <c r="S110" i="142"/>
  <c r="U110" i="142" s="1"/>
  <c r="L15" i="141"/>
  <c r="N15" i="141" s="1"/>
  <c r="AG23" i="158" l="1"/>
  <c r="AI23" i="158" s="1"/>
  <c r="S78" i="128"/>
  <c r="U78" i="128" s="1"/>
  <c r="AN40" i="137" l="1"/>
  <c r="AP40" i="137" s="1"/>
  <c r="S19" i="148"/>
  <c r="U19" i="148" s="1"/>
  <c r="S13" i="148"/>
  <c r="U13" i="148" s="1"/>
  <c r="S26" i="156"/>
  <c r="U26" i="156" s="1"/>
  <c r="Z109" i="142"/>
  <c r="AB109" i="142" s="1"/>
  <c r="L14" i="148"/>
  <c r="N14" i="148" s="1"/>
  <c r="S18" i="147"/>
  <c r="U18" i="147" s="1"/>
  <c r="S97" i="128"/>
  <c r="U97" i="128" s="1"/>
  <c r="Z29" i="132"/>
  <c r="AB29" i="132" s="1"/>
  <c r="Z28" i="152"/>
  <c r="AB28" i="152" s="1"/>
  <c r="S18" i="158" l="1"/>
  <c r="U18" i="158" s="1"/>
  <c r="L17" i="156"/>
  <c r="N17" i="156" s="1"/>
  <c r="L14" i="167"/>
  <c r="N14" i="167" s="1"/>
  <c r="S22" i="125"/>
  <c r="U22" i="125" s="1"/>
  <c r="L13" i="167"/>
  <c r="N13" i="167" s="1"/>
  <c r="L123" i="142"/>
  <c r="N123" i="142" s="1"/>
  <c r="S122" i="142" l="1"/>
  <c r="U122" i="142" s="1"/>
  <c r="S67" i="138"/>
  <c r="L31" i="149"/>
  <c r="N31" i="149" s="1"/>
  <c r="L30" i="149"/>
  <c r="N30" i="149" s="1"/>
  <c r="L29" i="149"/>
  <c r="N29" i="149" s="1"/>
  <c r="L28" i="149"/>
  <c r="N28" i="149" s="1"/>
  <c r="S13" i="127"/>
  <c r="U13" i="127" s="1"/>
  <c r="S28" i="156"/>
  <c r="U28" i="156" s="1"/>
  <c r="Z13" i="150"/>
  <c r="AB13" i="150" s="1"/>
  <c r="Z12" i="167" l="1"/>
  <c r="AB12" i="167" s="1"/>
  <c r="BD73" i="137"/>
  <c r="Z15" i="125"/>
  <c r="AB15" i="125" s="1"/>
  <c r="Z58" i="128"/>
  <c r="AB58" i="128" s="1"/>
  <c r="S27" i="127"/>
  <c r="U27" i="127" s="1"/>
  <c r="S101" i="128"/>
  <c r="U101" i="128" s="1"/>
  <c r="S48" i="128"/>
  <c r="U48" i="128" s="1"/>
  <c r="J6" i="110"/>
  <c r="I6" i="147"/>
  <c r="J6" i="147"/>
  <c r="I6" i="108"/>
  <c r="J6" i="108"/>
  <c r="I6" i="155"/>
  <c r="J6" i="155"/>
  <c r="J6" i="161"/>
  <c r="I6" i="161"/>
  <c r="J6" i="143"/>
  <c r="I6" i="143"/>
  <c r="J6" i="142"/>
  <c r="I6" i="142"/>
  <c r="Z114" i="137"/>
  <c r="AB114" i="137" s="1"/>
  <c r="AG24" i="158"/>
  <c r="AI24" i="158" s="1"/>
  <c r="L27" i="151"/>
  <c r="N27" i="151" s="1"/>
  <c r="AN25" i="149"/>
  <c r="AP25" i="149" s="1"/>
  <c r="L123" i="137"/>
  <c r="N123" i="137" s="1"/>
  <c r="L29" i="110" l="1"/>
  <c r="N29" i="110"/>
  <c r="L122" i="137"/>
  <c r="N122" i="137" s="1"/>
  <c r="AG26" i="158"/>
  <c r="AI26" i="158" s="1"/>
  <c r="L48" i="145"/>
  <c r="N48" i="145" s="1"/>
  <c r="Z27" i="158"/>
  <c r="AB27" i="158" s="1"/>
  <c r="U67" i="138"/>
  <c r="J6" i="149"/>
  <c r="L42" i="135" s="1"/>
  <c r="I6" i="149"/>
  <c r="K42" i="135" s="1"/>
  <c r="H6" i="149"/>
  <c r="H42" i="135" s="1"/>
  <c r="G6" i="149"/>
  <c r="B42" i="135" s="1"/>
  <c r="F6" i="149"/>
  <c r="G42" i="135" s="1"/>
  <c r="E6" i="149"/>
  <c r="F42" i="135" s="1"/>
  <c r="D6" i="149"/>
  <c r="E42" i="135" s="1"/>
  <c r="C6" i="149"/>
  <c r="D42" i="135" s="1"/>
  <c r="B6" i="149"/>
  <c r="B6" i="132"/>
  <c r="B6" i="152"/>
  <c r="C26" i="135" s="1"/>
  <c r="E6" i="111"/>
  <c r="D6" i="111"/>
  <c r="C6" i="111"/>
  <c r="D24" i="135" s="1"/>
  <c r="B6" i="111"/>
  <c r="C6" i="129"/>
  <c r="D6" i="129"/>
  <c r="H6" i="125"/>
  <c r="D6" i="125"/>
  <c r="C6" i="125"/>
  <c r="B6" i="125"/>
  <c r="G6" i="126"/>
  <c r="D6" i="126"/>
  <c r="C6" i="126"/>
  <c r="B6" i="126"/>
  <c r="J6" i="128"/>
  <c r="I6" i="128"/>
  <c r="H6" i="128"/>
  <c r="G6" i="128"/>
  <c r="F6" i="128"/>
  <c r="E6" i="128"/>
  <c r="D6" i="128"/>
  <c r="C6" i="128"/>
  <c r="B6" i="128"/>
  <c r="G6" i="127"/>
  <c r="E6" i="127"/>
  <c r="H6" i="127"/>
  <c r="I6" i="127"/>
  <c r="B6" i="127"/>
  <c r="I6" i="110"/>
  <c r="H6" i="110"/>
  <c r="G6" i="110"/>
  <c r="F6" i="110"/>
  <c r="E6" i="110"/>
  <c r="D6" i="110"/>
  <c r="C6" i="110"/>
  <c r="B6" i="110"/>
  <c r="H6" i="108"/>
  <c r="G6" i="108"/>
  <c r="F6" i="108"/>
  <c r="E6" i="108"/>
  <c r="D6" i="108"/>
  <c r="C6" i="108"/>
  <c r="H6" i="155"/>
  <c r="G6" i="155"/>
  <c r="F6" i="155"/>
  <c r="E6" i="155"/>
  <c r="D6" i="155"/>
  <c r="C6" i="155"/>
  <c r="B6" i="155"/>
  <c r="H6" i="161"/>
  <c r="G6" i="161"/>
  <c r="F6" i="161"/>
  <c r="E6" i="161"/>
  <c r="D6" i="161"/>
  <c r="B6" i="161"/>
  <c r="C6" i="161"/>
  <c r="G6" i="143"/>
  <c r="F6" i="143"/>
  <c r="E6" i="143"/>
  <c r="C6" i="143"/>
  <c r="D6" i="143"/>
  <c r="B6" i="143"/>
  <c r="H6" i="142"/>
  <c r="G6" i="142"/>
  <c r="F6" i="142"/>
  <c r="E6" i="142"/>
  <c r="D6" i="142"/>
  <c r="C6" i="142"/>
  <c r="I45" i="135"/>
  <c r="I48" i="135" s="1"/>
  <c r="J45" i="135"/>
  <c r="J48" i="135" s="1"/>
  <c r="S115" i="142"/>
  <c r="U115" i="142" s="1"/>
  <c r="L121" i="137"/>
  <c r="N121" i="137" s="1"/>
  <c r="C8" i="110" l="1"/>
  <c r="C8" i="142"/>
  <c r="C8" i="149"/>
  <c r="C42" i="135"/>
  <c r="C36" i="135"/>
  <c r="M42" i="135" l="1"/>
  <c r="O42" i="135" s="1"/>
  <c r="N42" i="135"/>
  <c r="S13" i="150" l="1"/>
  <c r="U13" i="150" s="1"/>
  <c r="L122" i="142"/>
  <c r="N122" i="142" s="1"/>
  <c r="S29" i="145"/>
  <c r="U29" i="145" s="1"/>
  <c r="F24" i="135"/>
  <c r="E24" i="135"/>
  <c r="C24" i="135"/>
  <c r="S12" i="167"/>
  <c r="U12" i="167" s="1"/>
  <c r="E20" i="135"/>
  <c r="D20" i="135"/>
  <c r="E19" i="135"/>
  <c r="D19" i="135"/>
  <c r="C19" i="135"/>
  <c r="E18" i="135"/>
  <c r="D18" i="135"/>
  <c r="C18" i="135"/>
  <c r="B18" i="135"/>
  <c r="I1" i="150" l="1"/>
  <c r="I1" i="104"/>
  <c r="I1" i="145"/>
  <c r="I1" i="149"/>
  <c r="I1" i="167"/>
  <c r="I1" i="132"/>
  <c r="I1" i="159"/>
  <c r="I1" i="166"/>
  <c r="I1" i="164"/>
  <c r="I1" i="130"/>
  <c r="I1" i="157"/>
  <c r="I1" i="140"/>
  <c r="I1" i="146"/>
  <c r="I1" i="162"/>
  <c r="I1" i="148"/>
  <c r="I1" i="156"/>
  <c r="I1" i="158"/>
  <c r="I1" i="152"/>
  <c r="I1" i="131"/>
  <c r="I1" i="111"/>
  <c r="I1" i="144"/>
  <c r="I1" i="141"/>
  <c r="I1" i="129"/>
  <c r="I1" i="125"/>
  <c r="I1" i="126"/>
  <c r="I1" i="128"/>
  <c r="I1" i="127"/>
  <c r="I1" i="110"/>
  <c r="I1" i="147"/>
  <c r="I1" i="108"/>
  <c r="I1" i="155"/>
  <c r="I1" i="161"/>
  <c r="I1" i="143"/>
  <c r="I1" i="142"/>
  <c r="I1" i="137"/>
  <c r="I1" i="138"/>
  <c r="O1" i="135"/>
  <c r="B16" i="135" l="1"/>
  <c r="L16" i="135"/>
  <c r="K16" i="135"/>
  <c r="H16" i="135"/>
  <c r="F16" i="135"/>
  <c r="C16" i="135"/>
  <c r="L15" i="135"/>
  <c r="K15" i="135"/>
  <c r="H15" i="135"/>
  <c r="G15" i="135"/>
  <c r="F15" i="135"/>
  <c r="E15" i="135"/>
  <c r="D15" i="135"/>
  <c r="C15" i="135"/>
  <c r="B15" i="135"/>
  <c r="L13" i="135"/>
  <c r="K13" i="135"/>
  <c r="L12" i="135"/>
  <c r="K12" i="135"/>
  <c r="H12" i="135"/>
  <c r="G12" i="135"/>
  <c r="F12" i="135"/>
  <c r="E12" i="135"/>
  <c r="D12" i="135"/>
  <c r="C12" i="135"/>
  <c r="B12" i="135"/>
  <c r="L11" i="135"/>
  <c r="K11" i="135"/>
  <c r="H11" i="135"/>
  <c r="G11" i="135"/>
  <c r="F11" i="135"/>
  <c r="E11" i="135"/>
  <c r="D11" i="135"/>
  <c r="C11" i="135"/>
  <c r="B11" i="135"/>
  <c r="L10" i="135"/>
  <c r="K10" i="135"/>
  <c r="H10" i="135"/>
  <c r="G10" i="135"/>
  <c r="F10" i="135"/>
  <c r="E10" i="135"/>
  <c r="D10" i="135"/>
  <c r="C10" i="135"/>
  <c r="B10" i="135"/>
  <c r="K9" i="135"/>
  <c r="L9" i="135"/>
  <c r="M11" i="135" l="1"/>
  <c r="O11" i="135" s="1"/>
  <c r="N15" i="135"/>
  <c r="M10" i="135"/>
  <c r="O10" i="135" s="1"/>
  <c r="N11" i="135"/>
  <c r="M12" i="135"/>
  <c r="O12" i="135" s="1"/>
  <c r="N10" i="135"/>
  <c r="N12" i="135"/>
  <c r="M15" i="135"/>
  <c r="U117" i="137"/>
  <c r="S18" i="146"/>
  <c r="U18" i="146" s="1"/>
  <c r="S28" i="152"/>
  <c r="U28" i="152" s="1"/>
  <c r="G9" i="135"/>
  <c r="F9" i="135"/>
  <c r="E9" i="135"/>
  <c r="D9" i="135"/>
  <c r="C9" i="135"/>
  <c r="B9" i="135"/>
  <c r="E4" i="135"/>
  <c r="F4" i="135"/>
  <c r="L6" i="135"/>
  <c r="K6" i="135"/>
  <c r="H6" i="135"/>
  <c r="G6" i="135"/>
  <c r="F6" i="135"/>
  <c r="E6" i="135"/>
  <c r="D6" i="135"/>
  <c r="C6" i="135"/>
  <c r="B6" i="135"/>
  <c r="C5" i="135"/>
  <c r="L5" i="135"/>
  <c r="K5" i="135"/>
  <c r="H5" i="135"/>
  <c r="G5" i="135"/>
  <c r="F5" i="135"/>
  <c r="E5" i="135"/>
  <c r="D5" i="135"/>
  <c r="B5" i="135"/>
  <c r="O15" i="135" l="1"/>
  <c r="M6" i="135"/>
  <c r="O6" i="135" s="1"/>
  <c r="N5" i="135"/>
  <c r="N6" i="135"/>
  <c r="M5" i="135"/>
  <c r="O5" i="135" s="1"/>
  <c r="S100" i="128"/>
  <c r="U100" i="128" s="1"/>
  <c r="S112" i="137"/>
  <c r="U112" i="137" s="1"/>
  <c r="S102" i="128"/>
  <c r="U102" i="128" s="1"/>
  <c r="BB24" i="142"/>
  <c r="BD24" i="142" s="1"/>
  <c r="Z33" i="128"/>
  <c r="AB33" i="128" s="1"/>
  <c r="S43" i="127"/>
  <c r="U43" i="127" s="1"/>
  <c r="S65" i="128"/>
  <c r="U65" i="128" s="1"/>
  <c r="S36" i="128"/>
  <c r="U36" i="128" s="1"/>
  <c r="S46" i="128"/>
  <c r="U46" i="128" s="1"/>
  <c r="L120" i="137"/>
  <c r="N120" i="137" s="1"/>
  <c r="AG27" i="145"/>
  <c r="AI27" i="145" s="1"/>
  <c r="S20" i="127" l="1"/>
  <c r="U20" i="127" s="1"/>
  <c r="Z99" i="137"/>
  <c r="AB99" i="137" s="1"/>
  <c r="S111" i="137"/>
  <c r="U111" i="137" s="1"/>
  <c r="S99" i="128"/>
  <c r="U99" i="128" s="1"/>
  <c r="BI50" i="138"/>
  <c r="BK50" i="138" s="1"/>
  <c r="Z84" i="136"/>
  <c r="AB84" i="136" s="1"/>
  <c r="S51" i="111"/>
  <c r="U51" i="111" s="1"/>
  <c r="Z25" i="142"/>
  <c r="AB25" i="142" s="1"/>
  <c r="S17" i="146"/>
  <c r="U17" i="146" s="1"/>
  <c r="AW73" i="137"/>
  <c r="L119" i="137"/>
  <c r="N119" i="137" s="1"/>
  <c r="S72" i="142"/>
  <c r="U72" i="142" s="1"/>
  <c r="L118" i="137"/>
  <c r="N118" i="137" s="1"/>
  <c r="S29" i="132"/>
  <c r="U29" i="132" s="1"/>
  <c r="L102" i="128"/>
  <c r="N102" i="128" s="1"/>
  <c r="E8" i="135"/>
  <c r="S119" i="142"/>
  <c r="U119" i="142" s="1"/>
  <c r="S25" i="151"/>
  <c r="U25" i="151" s="1"/>
  <c r="L101" i="128"/>
  <c r="N101" i="128" s="1"/>
  <c r="L117" i="137"/>
  <c r="N117" i="137" s="1"/>
  <c r="L28" i="152"/>
  <c r="N28" i="152" s="1"/>
  <c r="Z15" i="156"/>
  <c r="AB15" i="156" s="1"/>
  <c r="S86" i="136"/>
  <c r="U86" i="136" s="1"/>
  <c r="L100" i="128"/>
  <c r="N100" i="128" s="1"/>
  <c r="L116" i="137"/>
  <c r="N116" i="137" s="1"/>
  <c r="S23" i="152"/>
  <c r="U23" i="152" s="1"/>
  <c r="L18" i="146"/>
  <c r="N18" i="146" s="1"/>
  <c r="Z27" i="145"/>
  <c r="AB27" i="145" s="1"/>
  <c r="K8" i="135"/>
  <c r="D7" i="135"/>
  <c r="C17" i="135"/>
  <c r="G6" i="145"/>
  <c r="B41" i="135" s="1"/>
  <c r="D6" i="158"/>
  <c r="E28" i="135" s="1"/>
  <c r="S46" i="145"/>
  <c r="L99" i="128"/>
  <c r="N99" i="128" s="1"/>
  <c r="L26" i="151"/>
  <c r="N26" i="151" s="1"/>
  <c r="L29" i="132" l="1"/>
  <c r="N29" i="132" s="1"/>
  <c r="AG34" i="137"/>
  <c r="AI34" i="137" s="1"/>
  <c r="L13" i="150"/>
  <c r="N13" i="150" s="1"/>
  <c r="AN57" i="138"/>
  <c r="AP57" i="138" s="1"/>
  <c r="L17" i="146"/>
  <c r="N17" i="146" s="1"/>
  <c r="AP73" i="137"/>
  <c r="L51" i="111"/>
  <c r="N51" i="111" s="1"/>
  <c r="U37" i="149"/>
  <c r="Z16" i="149"/>
  <c r="AB16" i="149" s="1"/>
  <c r="S26" i="152"/>
  <c r="U26" i="152" s="1"/>
  <c r="Z108" i="142"/>
  <c r="AB108" i="142" s="1"/>
  <c r="S83" i="136"/>
  <c r="U83" i="136" s="1"/>
  <c r="S114" i="137"/>
  <c r="U114" i="137" s="1"/>
  <c r="Z98" i="137"/>
  <c r="AB98" i="137" s="1"/>
  <c r="S25" i="152"/>
  <c r="U25" i="152" s="1"/>
  <c r="S77" i="128"/>
  <c r="U77" i="128" s="1"/>
  <c r="Z67" i="128"/>
  <c r="AB67" i="128" s="1"/>
  <c r="S57" i="128"/>
  <c r="U57" i="128" s="1"/>
  <c r="S59" i="128"/>
  <c r="U59" i="128" s="1"/>
  <c r="Z81" i="128"/>
  <c r="AB81" i="128" s="1"/>
  <c r="S45" i="128"/>
  <c r="U45" i="128" s="1"/>
  <c r="Z20" i="149"/>
  <c r="AB20" i="149" s="1"/>
  <c r="Z21" i="149"/>
  <c r="AB21" i="149" s="1"/>
  <c r="S12" i="110"/>
  <c r="U12" i="110" s="1"/>
  <c r="S33" i="127"/>
  <c r="U33" i="127" s="1"/>
  <c r="S39" i="127"/>
  <c r="U39" i="127" s="1"/>
  <c r="S27" i="152"/>
  <c r="U27" i="152" s="1"/>
  <c r="L19" i="148"/>
  <c r="N19" i="148" s="1"/>
  <c r="L12" i="167"/>
  <c r="N12" i="167" s="1"/>
  <c r="J6" i="167"/>
  <c r="L43" i="135" s="1"/>
  <c r="I6" i="167"/>
  <c r="K43" i="135" s="1"/>
  <c r="H6" i="167"/>
  <c r="H43" i="135" s="1"/>
  <c r="G6" i="167"/>
  <c r="B43" i="135" s="1"/>
  <c r="F6" i="167"/>
  <c r="G43" i="135" s="1"/>
  <c r="E6" i="167"/>
  <c r="F43" i="135" s="1"/>
  <c r="D6" i="167"/>
  <c r="E43" i="135" s="1"/>
  <c r="C6" i="167"/>
  <c r="D43" i="135" s="1"/>
  <c r="B6" i="167"/>
  <c r="C43" i="135" s="1"/>
  <c r="S26" i="145"/>
  <c r="U26" i="145" s="1"/>
  <c r="L28" i="156"/>
  <c r="N28" i="156" s="1"/>
  <c r="L27" i="156"/>
  <c r="N27" i="156" s="1"/>
  <c r="L26" i="156"/>
  <c r="N26" i="156" s="1"/>
  <c r="S89" i="128"/>
  <c r="U89" i="128" s="1"/>
  <c r="S74" i="128"/>
  <c r="U74" i="128" s="1"/>
  <c r="S70" i="128"/>
  <c r="U70" i="128" s="1"/>
  <c r="S56" i="128"/>
  <c r="U56" i="128" s="1"/>
  <c r="S96" i="128"/>
  <c r="U96" i="128" s="1"/>
  <c r="AN38" i="137"/>
  <c r="AP38" i="137" s="1"/>
  <c r="Z37" i="142"/>
  <c r="AB37" i="142" s="1"/>
  <c r="S16" i="125"/>
  <c r="U16" i="125" s="1"/>
  <c r="S53" i="128"/>
  <c r="U53" i="128" s="1"/>
  <c r="S12" i="127"/>
  <c r="U12" i="127" s="1"/>
  <c r="AG28" i="159"/>
  <c r="AI28" i="159" s="1"/>
  <c r="S28" i="145"/>
  <c r="U28" i="145" s="1"/>
  <c r="S55" i="128"/>
  <c r="U55" i="128" s="1"/>
  <c r="N43" i="135" l="1"/>
  <c r="M43" i="135"/>
  <c r="O43" i="135" s="1"/>
  <c r="C8" i="167"/>
  <c r="L37" i="125"/>
  <c r="N37" i="125" s="1"/>
  <c r="S43" i="128"/>
  <c r="U43" i="128" s="1"/>
  <c r="S40" i="128"/>
  <c r="U40" i="128" s="1"/>
  <c r="S28" i="128"/>
  <c r="U28" i="128" s="1"/>
  <c r="S16" i="128"/>
  <c r="U16" i="128" s="1"/>
  <c r="S31" i="127"/>
  <c r="U31" i="127" s="1"/>
  <c r="AG17" i="159"/>
  <c r="AI17" i="159" s="1"/>
  <c r="Z12" i="166"/>
  <c r="AB12" i="166" s="1"/>
  <c r="S115" i="137"/>
  <c r="U115" i="137" s="1"/>
  <c r="S38" i="127"/>
  <c r="U38" i="127" s="1"/>
  <c r="S34" i="127"/>
  <c r="U34" i="127" s="1"/>
  <c r="S26" i="127"/>
  <c r="U26" i="127" s="1"/>
  <c r="S25" i="127"/>
  <c r="U25" i="127" s="1"/>
  <c r="S47" i="128"/>
  <c r="U47" i="128" s="1"/>
  <c r="BB62" i="138" l="1"/>
  <c r="BD62" i="138" s="1"/>
  <c r="Z13" i="162"/>
  <c r="AB13" i="162" s="1"/>
  <c r="L25" i="156" l="1"/>
  <c r="L24" i="156"/>
  <c r="N24" i="156" s="1"/>
  <c r="N25" i="156"/>
  <c r="S27" i="149"/>
  <c r="U27" i="149" s="1"/>
  <c r="AG83" i="137"/>
  <c r="AI83" i="137" s="1"/>
  <c r="Z81" i="137" l="1"/>
  <c r="AB81" i="137" s="1"/>
  <c r="Z50" i="137"/>
  <c r="AB50" i="137" s="1"/>
  <c r="Z52" i="145"/>
  <c r="AB52" i="145" s="1"/>
  <c r="S82" i="136"/>
  <c r="U82" i="136" s="1"/>
  <c r="S27" i="145" l="1"/>
  <c r="U27" i="145" s="1"/>
  <c r="L29" i="145"/>
  <c r="N29" i="145" s="1"/>
  <c r="L67" i="138"/>
  <c r="N67" i="138" s="1"/>
  <c r="S84" i="136"/>
  <c r="U84" i="136" s="1"/>
  <c r="L86" i="136"/>
  <c r="N86" i="136" s="1"/>
  <c r="Z92" i="137"/>
  <c r="AB92" i="137" s="1"/>
  <c r="Z84" i="128" l="1"/>
  <c r="AB84" i="128" s="1"/>
  <c r="Z15" i="158"/>
  <c r="AB15" i="158" s="1"/>
  <c r="AG25" i="149"/>
  <c r="AI25" i="149" s="1"/>
  <c r="L121" i="142"/>
  <c r="N121" i="142" s="1"/>
  <c r="S16" i="156"/>
  <c r="U16" i="156" s="1"/>
  <c r="U15" i="156"/>
  <c r="S66" i="138"/>
  <c r="U66" i="138" s="1"/>
  <c r="L85" i="136"/>
  <c r="N85" i="136" s="1"/>
  <c r="L84" i="136"/>
  <c r="N84" i="136" s="1"/>
  <c r="L25" i="151"/>
  <c r="N25" i="151" s="1"/>
  <c r="L120" i="142"/>
  <c r="N120" i="142" s="1"/>
  <c r="L115" i="137"/>
  <c r="N115" i="137" s="1"/>
  <c r="AG16" i="158"/>
  <c r="AI16" i="158" s="1"/>
  <c r="L114" i="137"/>
  <c r="N114" i="137" s="1"/>
  <c r="S15" i="156"/>
  <c r="S109" i="137"/>
  <c r="U109" i="137" s="1"/>
  <c r="L83" i="136"/>
  <c r="N83" i="136" s="1"/>
  <c r="L36" i="125" l="1"/>
  <c r="N36" i="125" s="1"/>
  <c r="L113" i="137" l="1"/>
  <c r="N113" i="137" s="1"/>
  <c r="L112" i="137"/>
  <c r="N112" i="137" s="1"/>
  <c r="L37" i="149"/>
  <c r="N37" i="149" s="1"/>
  <c r="L111" i="137"/>
  <c r="N111" i="137" s="1"/>
  <c r="L23" i="156"/>
  <c r="N23" i="156" s="1"/>
  <c r="S81" i="136"/>
  <c r="U81" i="136" s="1"/>
  <c r="S80" i="136"/>
  <c r="U80" i="136" s="1"/>
  <c r="Z85" i="142"/>
  <c r="AB85" i="142" s="1"/>
  <c r="Z19" i="111"/>
  <c r="AB19" i="111" s="1"/>
  <c r="S22" i="152"/>
  <c r="U22" i="152" s="1"/>
  <c r="L110" i="137" l="1"/>
  <c r="N110" i="137" s="1"/>
  <c r="S105" i="137"/>
  <c r="U105" i="137" s="1"/>
  <c r="Z17" i="159"/>
  <c r="AB17" i="159" s="1"/>
  <c r="S52" i="145"/>
  <c r="U52" i="145" s="1"/>
  <c r="S99" i="137" l="1"/>
  <c r="U99" i="137" s="1"/>
  <c r="L27" i="152"/>
  <c r="N27" i="152" s="1"/>
  <c r="S49" i="128"/>
  <c r="U49" i="128" s="1"/>
  <c r="S26" i="128"/>
  <c r="U26" i="128" s="1"/>
  <c r="Z43" i="145"/>
  <c r="AB43" i="145" s="1"/>
  <c r="S69" i="128"/>
  <c r="U69" i="128" s="1"/>
  <c r="S63" i="128"/>
  <c r="U63" i="128" s="1"/>
  <c r="Z65" i="138"/>
  <c r="AB65" i="138" s="1"/>
  <c r="S60" i="128"/>
  <c r="U60" i="128" s="1"/>
  <c r="Z50" i="111"/>
  <c r="AB50" i="111" s="1"/>
  <c r="S12" i="166" l="1"/>
  <c r="U12" i="166" s="1"/>
  <c r="L28" i="145" l="1"/>
  <c r="N28" i="145" s="1"/>
  <c r="L98" i="128"/>
  <c r="N98" i="128" s="1"/>
  <c r="S88" i="128"/>
  <c r="U88" i="128" s="1"/>
  <c r="S19" i="125"/>
  <c r="U19" i="125" s="1"/>
  <c r="S37" i="128"/>
  <c r="U37" i="128" s="1"/>
  <c r="S27" i="128"/>
  <c r="U27" i="128" s="1"/>
  <c r="S31" i="125"/>
  <c r="U31" i="125" s="1"/>
  <c r="Z28" i="159"/>
  <c r="AB28" i="159" s="1"/>
  <c r="S77" i="136" l="1"/>
  <c r="U77" i="136" s="1"/>
  <c r="S100" i="137"/>
  <c r="U100" i="137" s="1"/>
  <c r="L82" i="136"/>
  <c r="N82" i="136" s="1"/>
  <c r="Z25" i="149" l="1"/>
  <c r="AB25" i="149" s="1"/>
  <c r="L81" i="136"/>
  <c r="N81" i="136" s="1"/>
  <c r="Z59" i="137"/>
  <c r="AB59" i="137" s="1"/>
  <c r="S13" i="126"/>
  <c r="U13" i="126" s="1"/>
  <c r="S76" i="128"/>
  <c r="U76" i="128" s="1"/>
  <c r="S93" i="128"/>
  <c r="U93" i="128" s="1"/>
  <c r="S30" i="125"/>
  <c r="U30" i="125" s="1"/>
  <c r="Z16" i="158"/>
  <c r="AB16" i="158" s="1"/>
  <c r="S92" i="128"/>
  <c r="U92" i="128"/>
  <c r="L80" i="136"/>
  <c r="N80" i="136" s="1"/>
  <c r="S91" i="128"/>
  <c r="U91" i="128" s="1"/>
  <c r="AG12" i="162"/>
  <c r="AI12" i="162" s="1"/>
  <c r="S30" i="158"/>
  <c r="U30" i="158" s="1"/>
  <c r="BB50" i="138"/>
  <c r="BD50" i="138" s="1"/>
  <c r="S51" i="128"/>
  <c r="U51" i="128" s="1"/>
  <c r="S44" i="128"/>
  <c r="U44" i="128" s="1"/>
  <c r="S61" i="128"/>
  <c r="U61" i="128" s="1"/>
  <c r="S90" i="128"/>
  <c r="U90" i="128" s="1"/>
  <c r="S62" i="128"/>
  <c r="U62" i="128" s="1"/>
  <c r="S49" i="111"/>
  <c r="U49" i="111" s="1"/>
  <c r="L27" i="145"/>
  <c r="N27" i="145" s="1"/>
  <c r="L26" i="145"/>
  <c r="N26" i="145" s="1"/>
  <c r="Z68" i="128"/>
  <c r="AB68" i="128" s="1"/>
  <c r="S66" i="128"/>
  <c r="U66" i="128" s="1"/>
  <c r="S54" i="128"/>
  <c r="U54" i="128" s="1"/>
  <c r="L109" i="137"/>
  <c r="N109" i="137" s="1"/>
  <c r="Z22" i="137"/>
  <c r="AB22" i="137" s="1"/>
  <c r="S50" i="128"/>
  <c r="U50" i="128" s="1"/>
  <c r="S32" i="128"/>
  <c r="U32" i="128" s="1"/>
  <c r="S50" i="111" l="1"/>
  <c r="U50" i="111" s="1"/>
  <c r="S65" i="138"/>
  <c r="U65" i="138" s="1"/>
  <c r="S98" i="137"/>
  <c r="U98" i="137" s="1"/>
  <c r="S17" i="159"/>
  <c r="U17" i="159" s="1"/>
  <c r="AG12" i="158"/>
  <c r="AI12" i="158" s="1"/>
  <c r="L26" i="152"/>
  <c r="N26" i="152" s="1"/>
  <c r="L66" i="138"/>
  <c r="N66" i="138" s="1"/>
  <c r="L79" i="136"/>
  <c r="N79" i="136" s="1"/>
  <c r="BB34" i="138"/>
  <c r="BD34" i="138" s="1"/>
  <c r="AG35" i="142"/>
  <c r="AI35" i="142" s="1"/>
  <c r="S13" i="162" l="1"/>
  <c r="U13" i="162" s="1"/>
  <c r="AU62" i="138"/>
  <c r="AW62" i="138" s="1"/>
  <c r="S107" i="137" l="1"/>
  <c r="U107" i="137" s="1"/>
  <c r="S47" i="145"/>
  <c r="U47" i="145" s="1"/>
  <c r="AG88" i="137"/>
  <c r="AI88" i="137" s="1"/>
  <c r="L78" i="136"/>
  <c r="N78" i="136" s="1"/>
  <c r="L77" i="136"/>
  <c r="N77" i="136" s="1"/>
  <c r="L16" i="156" l="1"/>
  <c r="N16" i="156" s="1"/>
  <c r="L15" i="156" l="1"/>
  <c r="N15" i="156" s="1"/>
  <c r="L27" i="149"/>
  <c r="N27" i="149" s="1"/>
  <c r="S42" i="145"/>
  <c r="U42" i="145" s="1"/>
  <c r="S15" i="149"/>
  <c r="U15" i="149" s="1"/>
  <c r="S16" i="149"/>
  <c r="U16" i="149" s="1"/>
  <c r="L25" i="152"/>
  <c r="N25" i="152" s="1"/>
  <c r="L24" i="152"/>
  <c r="N24" i="152" s="1"/>
  <c r="L119" i="142"/>
  <c r="N119" i="142" s="1"/>
  <c r="L23" i="152"/>
  <c r="N23" i="152" s="1"/>
  <c r="U26" i="125"/>
  <c r="S26" i="125"/>
  <c r="S29" i="125"/>
  <c r="U29" i="125" s="1"/>
  <c r="S67" i="128"/>
  <c r="U67" i="128" s="1"/>
  <c r="S32" i="125"/>
  <c r="U32" i="125" s="1"/>
  <c r="S33" i="125"/>
  <c r="U33" i="125" s="1"/>
  <c r="S34" i="158" l="1"/>
  <c r="U34" i="158" s="1"/>
  <c r="J6" i="141"/>
  <c r="L21" i="135" s="1"/>
  <c r="Z17" i="145"/>
  <c r="AB17" i="145" s="1"/>
  <c r="S29" i="127"/>
  <c r="U29" i="127" s="1"/>
  <c r="S30" i="127"/>
  <c r="U30" i="127" s="1"/>
  <c r="S15" i="127"/>
  <c r="U15" i="127" s="1"/>
  <c r="S24" i="127"/>
  <c r="U24" i="127" s="1"/>
  <c r="S19" i="127"/>
  <c r="U19" i="127" s="1"/>
  <c r="S25" i="145"/>
  <c r="U25" i="145" s="1"/>
  <c r="L12" i="166"/>
  <c r="N12" i="166" s="1"/>
  <c r="J6" i="166"/>
  <c r="L40" i="135" s="1"/>
  <c r="I6" i="166"/>
  <c r="K40" i="135" s="1"/>
  <c r="H6" i="166"/>
  <c r="H40" i="135" s="1"/>
  <c r="G6" i="166"/>
  <c r="B40" i="135" s="1"/>
  <c r="F6" i="166"/>
  <c r="G40" i="135" s="1"/>
  <c r="E6" i="166"/>
  <c r="F40" i="135" s="1"/>
  <c r="D6" i="166"/>
  <c r="E40" i="135" s="1"/>
  <c r="C6" i="166"/>
  <c r="D40" i="135" s="1"/>
  <c r="B6" i="166"/>
  <c r="C40" i="135" s="1"/>
  <c r="S18" i="149"/>
  <c r="U18" i="149" s="1"/>
  <c r="S20" i="132"/>
  <c r="U20" i="132" s="1"/>
  <c r="N40" i="135" l="1"/>
  <c r="M40" i="135"/>
  <c r="O40" i="135" s="1"/>
  <c r="C8" i="166"/>
  <c r="S21" i="149" l="1"/>
  <c r="U21" i="149" s="1"/>
  <c r="S20" i="149"/>
  <c r="U20" i="149" s="1"/>
  <c r="Z48" i="111"/>
  <c r="AB48" i="111" s="1"/>
  <c r="S22" i="145"/>
  <c r="U22" i="145" s="1"/>
  <c r="S28" i="159"/>
  <c r="U28" i="159" s="1"/>
  <c r="S21" i="145"/>
  <c r="U21" i="145" s="1"/>
  <c r="L22" i="152" l="1"/>
  <c r="N22" i="152" s="1"/>
  <c r="L50" i="111"/>
  <c r="N50" i="111" s="1"/>
  <c r="S15" i="152"/>
  <c r="U15" i="152" s="1"/>
  <c r="AN16" i="142"/>
  <c r="AP16" i="142" s="1"/>
  <c r="S102" i="137"/>
  <c r="U102" i="137" s="1"/>
  <c r="L54" i="111"/>
  <c r="L76" i="136" l="1"/>
  <c r="Z20" i="110"/>
  <c r="AB20" i="110" s="1"/>
  <c r="Z21" i="110"/>
  <c r="AB21" i="110" s="1"/>
  <c r="Z24" i="110"/>
  <c r="AB24" i="110" s="1"/>
  <c r="AN62" i="138"/>
  <c r="AP62" i="138" s="1"/>
  <c r="S34" i="128" l="1"/>
  <c r="U34" i="128" s="1"/>
  <c r="L17" i="159"/>
  <c r="N17" i="159" s="1"/>
  <c r="S40" i="145"/>
  <c r="U40" i="145" s="1"/>
  <c r="L118" i="142"/>
  <c r="N118" i="142" s="1"/>
  <c r="S23" i="149" l="1"/>
  <c r="U23" i="149" s="1"/>
  <c r="S22" i="149"/>
  <c r="U22" i="149" s="1"/>
  <c r="S14" i="127"/>
  <c r="U14" i="127" s="1"/>
  <c r="S35" i="127"/>
  <c r="U35" i="127" s="1"/>
  <c r="S44" i="127"/>
  <c r="U44" i="127" s="1"/>
  <c r="L97" i="128"/>
  <c r="N97" i="128" s="1"/>
  <c r="L16" i="130"/>
  <c r="N16" i="130" s="1"/>
  <c r="S42" i="127"/>
  <c r="U42" i="127" s="1"/>
  <c r="S41" i="127"/>
  <c r="U41" i="127"/>
  <c r="S38" i="128"/>
  <c r="U38" i="128" s="1"/>
  <c r="S30" i="128" l="1"/>
  <c r="U30" i="128" s="1"/>
  <c r="S37" i="145"/>
  <c r="U37" i="145" s="1"/>
  <c r="S48" i="111"/>
  <c r="U48" i="111" s="1"/>
  <c r="S24" i="145"/>
  <c r="U24" i="145" s="1"/>
  <c r="L13" i="162"/>
  <c r="N13" i="162" s="1"/>
  <c r="S43" i="145"/>
  <c r="U43" i="145" s="1"/>
  <c r="S20" i="145" l="1"/>
  <c r="U20" i="145" s="1"/>
  <c r="N54" i="111"/>
  <c r="L49" i="111"/>
  <c r="N49" i="111" s="1"/>
  <c r="L47" i="145"/>
  <c r="N47" i="145" s="1"/>
  <c r="L46" i="145"/>
  <c r="N46" i="145" s="1"/>
  <c r="S24" i="149" l="1"/>
  <c r="U24" i="149" s="1"/>
  <c r="S50" i="145"/>
  <c r="U50" i="145" s="1"/>
  <c r="S36" i="145"/>
  <c r="U36" i="145" s="1"/>
  <c r="L96" i="128"/>
  <c r="N96" i="128" s="1"/>
  <c r="S19" i="145"/>
  <c r="U19" i="145" s="1"/>
  <c r="Z41" i="145"/>
  <c r="AB41" i="145" s="1"/>
  <c r="Z34" i="145"/>
  <c r="AB34" i="145" s="1"/>
  <c r="AN13" i="143"/>
  <c r="AP13" i="143" s="1"/>
  <c r="S27" i="159"/>
  <c r="U27" i="159" s="1"/>
  <c r="S16" i="146"/>
  <c r="U16" i="146" s="1"/>
  <c r="L108" i="137"/>
  <c r="N108" i="137" s="1"/>
  <c r="L107" i="137" l="1"/>
  <c r="N107" i="137" s="1"/>
  <c r="S59" i="137"/>
  <c r="U59" i="137" s="1"/>
  <c r="L52" i="145"/>
  <c r="N52" i="145" s="1"/>
  <c r="Z12" i="162"/>
  <c r="AB12" i="162" s="1"/>
  <c r="AG49" i="137" l="1"/>
  <c r="AI49" i="137" s="1"/>
  <c r="Z16" i="159" l="1"/>
  <c r="AB16" i="159" s="1"/>
  <c r="Z26" i="159"/>
  <c r="AB26" i="159" s="1"/>
  <c r="S75" i="128"/>
  <c r="U75" i="128" s="1"/>
  <c r="L106" i="137"/>
  <c r="N106" i="137" s="1"/>
  <c r="L105" i="137" l="1"/>
  <c r="N105" i="137" s="1"/>
  <c r="Z70" i="142"/>
  <c r="AB70" i="142" s="1"/>
  <c r="Z50" i="136"/>
  <c r="AB50" i="136" s="1"/>
  <c r="S45" i="145"/>
  <c r="U45" i="145" s="1"/>
  <c r="L28" i="159"/>
  <c r="N28" i="159" s="1"/>
  <c r="S26" i="110"/>
  <c r="U26" i="110" s="1"/>
  <c r="S27" i="110"/>
  <c r="U27" i="110" s="1"/>
  <c r="AU50" i="138" l="1"/>
  <c r="AW50" i="138" s="1"/>
  <c r="Z86" i="137"/>
  <c r="AB86" i="137" s="1"/>
  <c r="L15" i="152" l="1"/>
  <c r="N15" i="152" s="1"/>
  <c r="AG16" i="142"/>
  <c r="AI16" i="142" s="1"/>
  <c r="S24" i="110" l="1"/>
  <c r="U24" i="110" s="1"/>
  <c r="S22" i="110"/>
  <c r="U22" i="110" s="1"/>
  <c r="S21" i="110"/>
  <c r="U21" i="110" s="1"/>
  <c r="Z62" i="137"/>
  <c r="AB62" i="137" s="1"/>
  <c r="S20" i="110" l="1"/>
  <c r="U20" i="110" s="1"/>
  <c r="S17" i="110"/>
  <c r="U17" i="110" s="1"/>
  <c r="L31" i="158"/>
  <c r="N31" i="158" s="1"/>
  <c r="L21" i="152" l="1"/>
  <c r="N21" i="152" s="1"/>
  <c r="S16" i="110"/>
  <c r="U16" i="110" s="1"/>
  <c r="S15" i="110"/>
  <c r="U15" i="110"/>
  <c r="AN102" i="142"/>
  <c r="AP102" i="142" s="1"/>
  <c r="L117" i="142"/>
  <c r="N117" i="142" s="1"/>
  <c r="AU64" i="137"/>
  <c r="AW64" i="137" s="1"/>
  <c r="S14" i="110"/>
  <c r="U14" i="110" s="1"/>
  <c r="S13" i="110"/>
  <c r="U13" i="110" s="1"/>
  <c r="S16" i="159" l="1"/>
  <c r="U16" i="159" s="1"/>
  <c r="Z12" i="158"/>
  <c r="AB12" i="158" s="1"/>
  <c r="L34" i="158" l="1"/>
  <c r="N34" i="158" s="1"/>
  <c r="S15" i="159" l="1"/>
  <c r="U15" i="159" s="1"/>
  <c r="L30" i="158"/>
  <c r="N30" i="158" s="1"/>
  <c r="S26" i="159"/>
  <c r="U26" i="159" s="1"/>
  <c r="Z77" i="137"/>
  <c r="AB77" i="137" s="1"/>
  <c r="S101" i="137"/>
  <c r="U101" i="137" s="1"/>
  <c r="S60" i="138"/>
  <c r="U60" i="138" s="1"/>
  <c r="Z28" i="132" l="1"/>
  <c r="AB28" i="132" s="1"/>
  <c r="L94" i="128"/>
  <c r="N94" i="128" s="1"/>
  <c r="L12" i="164"/>
  <c r="N12" i="164" s="1"/>
  <c r="J6" i="164"/>
  <c r="L44" i="135" s="1"/>
  <c r="I6" i="164"/>
  <c r="K44" i="135" s="1"/>
  <c r="H6" i="164"/>
  <c r="H44" i="135" s="1"/>
  <c r="G6" i="164"/>
  <c r="B44" i="135" s="1"/>
  <c r="F6" i="164"/>
  <c r="G44" i="135" s="1"/>
  <c r="E6" i="164"/>
  <c r="F44" i="135" s="1"/>
  <c r="D6" i="164"/>
  <c r="E44" i="135" s="1"/>
  <c r="C6" i="164"/>
  <c r="D44" i="135" s="1"/>
  <c r="B6" i="164"/>
  <c r="C44" i="135" s="1"/>
  <c r="AG15" i="146"/>
  <c r="AI15" i="146" s="1"/>
  <c r="N44" i="135" l="1"/>
  <c r="M44" i="135"/>
  <c r="O44" i="135" s="1"/>
  <c r="C8" i="164"/>
  <c r="Z43" i="111" l="1"/>
  <c r="AB43" i="111" s="1"/>
  <c r="AG14" i="152" l="1"/>
  <c r="AI14" i="152" s="1"/>
  <c r="Z18" i="152"/>
  <c r="AB18" i="152" s="1"/>
  <c r="AN106" i="142" l="1"/>
  <c r="AP106" i="142" s="1"/>
  <c r="L27" i="159"/>
  <c r="N27" i="159" s="1"/>
  <c r="Z16" i="137"/>
  <c r="AB16" i="137" s="1"/>
  <c r="S20" i="152" l="1"/>
  <c r="U20" i="152" s="1"/>
  <c r="L116" i="142"/>
  <c r="N116" i="142" s="1"/>
  <c r="AU24" i="142"/>
  <c r="AW24" i="142" s="1"/>
  <c r="S20" i="147"/>
  <c r="U20" i="147" s="1"/>
  <c r="S12" i="162" l="1"/>
  <c r="U12" i="162" s="1"/>
  <c r="L104" i="137" l="1"/>
  <c r="N104" i="137" s="1"/>
  <c r="L103" i="137"/>
  <c r="N103" i="137" s="1"/>
  <c r="Z95" i="137"/>
  <c r="AB95" i="137" s="1"/>
  <c r="L29" i="158" l="1"/>
  <c r="N29" i="158" s="1"/>
  <c r="L48" i="111"/>
  <c r="N48" i="111" s="1"/>
  <c r="S19" i="152"/>
  <c r="U19" i="152" s="1"/>
  <c r="S114" i="142"/>
  <c r="U114" i="142" s="1"/>
  <c r="Z17" i="152" l="1"/>
  <c r="AB17" i="152" s="1"/>
  <c r="L16" i="159"/>
  <c r="N16" i="159" s="1"/>
  <c r="AG13" i="143" l="1"/>
  <c r="AI13" i="143" s="1"/>
  <c r="S18" i="152"/>
  <c r="U18" i="152" s="1"/>
  <c r="AG62" i="138" l="1"/>
  <c r="AI62" i="138" s="1"/>
  <c r="L93" i="128" l="1"/>
  <c r="N93" i="128" s="1"/>
  <c r="Z44" i="145" l="1"/>
  <c r="AB44" i="145" s="1"/>
  <c r="L15" i="159"/>
  <c r="N15" i="159" s="1"/>
  <c r="L92" i="128"/>
  <c r="N92" i="128" s="1"/>
  <c r="Z74" i="136"/>
  <c r="AB74" i="136" s="1"/>
  <c r="S92" i="137"/>
  <c r="U92" i="137" s="1"/>
  <c r="S26" i="149"/>
  <c r="U26" i="149" s="1"/>
  <c r="L102" i="137" l="1"/>
  <c r="N102" i="137" s="1"/>
  <c r="L115" i="142"/>
  <c r="N115" i="142" s="1"/>
  <c r="AG63" i="137"/>
  <c r="AI63" i="137" s="1"/>
  <c r="S68" i="128" l="1"/>
  <c r="U68" i="128"/>
  <c r="L26" i="159" l="1"/>
  <c r="N26" i="159" s="1"/>
  <c r="L47" i="111" l="1"/>
  <c r="N47" i="111" s="1"/>
  <c r="L12" i="162"/>
  <c r="N12" i="162" s="1"/>
  <c r="J6" i="162"/>
  <c r="L31" i="135" s="1"/>
  <c r="I6" i="162"/>
  <c r="K31" i="135" s="1"/>
  <c r="H6" i="162"/>
  <c r="H31" i="135" s="1"/>
  <c r="G6" i="162"/>
  <c r="B31" i="135" s="1"/>
  <c r="F6" i="162"/>
  <c r="G31" i="135" s="1"/>
  <c r="E6" i="162"/>
  <c r="F31" i="135" s="1"/>
  <c r="D6" i="162"/>
  <c r="E31" i="135" s="1"/>
  <c r="C6" i="162"/>
  <c r="D31" i="135" s="1"/>
  <c r="B6" i="162"/>
  <c r="C31" i="135" s="1"/>
  <c r="AG102" i="142"/>
  <c r="AI102" i="142" s="1"/>
  <c r="M31" i="135" l="1"/>
  <c r="O31" i="135" s="1"/>
  <c r="N31" i="135"/>
  <c r="C8" i="162"/>
  <c r="S84" i="128"/>
  <c r="U84" i="128" s="1"/>
  <c r="AG82" i="137"/>
  <c r="AI82" i="137" s="1"/>
  <c r="S28" i="132"/>
  <c r="U28" i="132" s="1"/>
  <c r="S16" i="152"/>
  <c r="U16" i="152" s="1"/>
  <c r="Z43" i="142"/>
  <c r="AB43" i="142" s="1"/>
  <c r="S19" i="128"/>
  <c r="U19" i="128" s="1"/>
  <c r="S37" i="111" l="1"/>
  <c r="U37" i="111" s="1"/>
  <c r="L101" i="137"/>
  <c r="N101" i="137" s="1"/>
  <c r="L20" i="146" l="1"/>
  <c r="N20" i="146" s="1"/>
  <c r="L20" i="152" l="1"/>
  <c r="L19" i="152"/>
  <c r="N20" i="152"/>
  <c r="Z88" i="137" l="1"/>
  <c r="AB88" i="137" s="1"/>
  <c r="L28" i="158"/>
  <c r="N28" i="158" s="1"/>
  <c r="L75" i="136"/>
  <c r="N75" i="136" s="1"/>
  <c r="L100" i="137"/>
  <c r="N100" i="137"/>
  <c r="AN24" i="142"/>
  <c r="AP24" i="142" s="1"/>
  <c r="S28" i="110"/>
  <c r="U28" i="110" s="1"/>
  <c r="L99" i="137"/>
  <c r="N99" i="137" s="1"/>
  <c r="Z76" i="137"/>
  <c r="AB76" i="137" s="1"/>
  <c r="Z62" i="138"/>
  <c r="AB62" i="138" s="1"/>
  <c r="L65" i="138"/>
  <c r="N65" i="138" s="1"/>
  <c r="S109" i="142"/>
  <c r="U109" i="142" s="1"/>
  <c r="S12" i="158"/>
  <c r="U12" i="158" s="1"/>
  <c r="L46" i="111"/>
  <c r="N46" i="111" s="1"/>
  <c r="S43" i="111"/>
  <c r="U43" i="111" s="1"/>
  <c r="L18" i="152"/>
  <c r="N18" i="152" s="1"/>
  <c r="L98" i="137"/>
  <c r="N98" i="137" s="1"/>
  <c r="Z82" i="137"/>
  <c r="AB82" i="137" s="1"/>
  <c r="AG17" i="137"/>
  <c r="AI17" i="137" s="1"/>
  <c r="N19" i="152"/>
  <c r="S74" i="136"/>
  <c r="U74" i="136" s="1"/>
  <c r="L114" i="142"/>
  <c r="N114" i="142" s="1"/>
  <c r="Z15" i="146"/>
  <c r="AB15" i="146" s="1"/>
  <c r="Z68" i="137"/>
  <c r="AB68" i="137" s="1"/>
  <c r="L45" i="145"/>
  <c r="N45" i="145" s="1"/>
  <c r="S44" i="145"/>
  <c r="U44" i="145" s="1"/>
  <c r="S108" i="142"/>
  <c r="U108" i="142" s="1"/>
  <c r="S45" i="127"/>
  <c r="U45" i="127" s="1"/>
  <c r="L50" i="145"/>
  <c r="N50" i="145" s="1"/>
  <c r="S14" i="159"/>
  <c r="U14" i="159" s="1"/>
  <c r="S101" i="142"/>
  <c r="U101" i="142" s="1"/>
  <c r="L91" i="128"/>
  <c r="N91" i="128" s="1"/>
  <c r="L90" i="128"/>
  <c r="N90" i="128" s="1"/>
  <c r="L97" i="137"/>
  <c r="N97" i="137" s="1"/>
  <c r="AG106" i="142"/>
  <c r="AI106" i="142" s="1"/>
  <c r="L64" i="138"/>
  <c r="N64" i="138" s="1"/>
  <c r="S25" i="149"/>
  <c r="U25" i="149" s="1"/>
  <c r="Z102" i="142"/>
  <c r="AB102" i="142" s="1"/>
  <c r="U14" i="143"/>
  <c r="S15" i="146"/>
  <c r="U15" i="146" s="1"/>
  <c r="L13" i="148"/>
  <c r="N13" i="148" s="1"/>
  <c r="S27" i="158"/>
  <c r="U27" i="158" s="1"/>
  <c r="L28" i="132"/>
  <c r="N28" i="132" s="1"/>
  <c r="S86" i="137"/>
  <c r="U86" i="137" s="1"/>
  <c r="S14" i="156"/>
  <c r="U14" i="156" s="1"/>
  <c r="L16" i="146"/>
  <c r="N16" i="146" s="1"/>
  <c r="L45" i="111"/>
  <c r="N45" i="111" s="1"/>
  <c r="L28" i="110"/>
  <c r="N28" i="110" s="1"/>
  <c r="Z14" i="158"/>
  <c r="AB14" i="158" s="1"/>
  <c r="L26" i="149"/>
  <c r="N26" i="149" s="1"/>
  <c r="S95" i="137"/>
  <c r="U95" i="137" s="1"/>
  <c r="Z16" i="147"/>
  <c r="AB16" i="147" s="1"/>
  <c r="S93" i="137"/>
  <c r="U93" i="137" s="1"/>
  <c r="S89" i="137"/>
  <c r="S63" i="138"/>
  <c r="U63" i="138" s="1"/>
  <c r="AU42" i="137"/>
  <c r="AW42" i="137" s="1"/>
  <c r="S14" i="143"/>
  <c r="L44" i="145"/>
  <c r="N44" i="145" s="1"/>
  <c r="L15" i="146" l="1"/>
  <c r="N15" i="146" s="1"/>
  <c r="L89" i="128"/>
  <c r="N89" i="128" s="1"/>
  <c r="S62" i="138"/>
  <c r="U62" i="138" s="1"/>
  <c r="L96" i="137"/>
  <c r="N96" i="137" s="1"/>
  <c r="L95" i="137"/>
  <c r="N95" i="137" s="1"/>
  <c r="S41" i="145"/>
  <c r="U41" i="145" s="1"/>
  <c r="L113" i="142"/>
  <c r="N113" i="142" s="1"/>
  <c r="S14" i="155"/>
  <c r="U14" i="155" s="1"/>
  <c r="L14" i="159"/>
  <c r="N14" i="159" s="1"/>
  <c r="L94" i="137"/>
  <c r="N94" i="137" s="1"/>
  <c r="L93" i="137"/>
  <c r="N93" i="137" s="1"/>
  <c r="L112" i="142"/>
  <c r="N112" i="142" s="1"/>
  <c r="S102" i="142"/>
  <c r="U102" i="142" s="1"/>
  <c r="Z89" i="137"/>
  <c r="AB89" i="137" s="1"/>
  <c r="S13" i="159"/>
  <c r="U13" i="159" s="1"/>
  <c r="Z35" i="142"/>
  <c r="AB35" i="142" s="1"/>
  <c r="L74" i="136"/>
  <c r="N74" i="136" s="1"/>
  <c r="L15" i="130"/>
  <c r="N15" i="130" s="1"/>
  <c r="L25" i="149"/>
  <c r="N25" i="149" s="1"/>
  <c r="L43" i="111"/>
  <c r="N43" i="111" s="1"/>
  <c r="L63" i="138" l="1"/>
  <c r="N63" i="138" s="1"/>
  <c r="L42" i="111"/>
  <c r="N42" i="111" s="1"/>
  <c r="L41" i="111"/>
  <c r="N41" i="111" s="1"/>
  <c r="L40" i="111"/>
  <c r="L39" i="111"/>
  <c r="AG86" i="142"/>
  <c r="AI86" i="142" s="1"/>
  <c r="L92" i="137"/>
  <c r="N92" i="137" s="1"/>
  <c r="Z106" i="142"/>
  <c r="AB106" i="142" s="1"/>
  <c r="S88" i="137"/>
  <c r="U88" i="137" s="1"/>
  <c r="L14" i="156"/>
  <c r="N14" i="156" s="1"/>
  <c r="L73" i="136"/>
  <c r="N73" i="136" s="1"/>
  <c r="L72" i="136"/>
  <c r="N72" i="136" s="1"/>
  <c r="AG24" i="142"/>
  <c r="AI24" i="142" s="1"/>
  <c r="U89" i="137" l="1"/>
  <c r="Z24" i="158"/>
  <c r="AB24" i="158" s="1"/>
  <c r="L27" i="158"/>
  <c r="N27" i="158" s="1"/>
  <c r="Z35" i="145"/>
  <c r="AB35" i="145" s="1"/>
  <c r="L43" i="145"/>
  <c r="Z23" i="158"/>
  <c r="AB23" i="158" s="1"/>
  <c r="L86" i="128"/>
  <c r="Z103" i="142"/>
  <c r="AB103" i="142" s="1"/>
  <c r="S83" i="137"/>
  <c r="S84" i="137"/>
  <c r="S85" i="137"/>
  <c r="L42" i="145"/>
  <c r="N42" i="145" s="1"/>
  <c r="L91" i="137"/>
  <c r="N91" i="137" s="1"/>
  <c r="L12" i="161"/>
  <c r="N12" i="161" s="1"/>
  <c r="L13" i="159"/>
  <c r="N13" i="159" s="1"/>
  <c r="AN61" i="138"/>
  <c r="AP61" i="138" s="1"/>
  <c r="AN42" i="137"/>
  <c r="AP42" i="137" s="1"/>
  <c r="AN23" i="142"/>
  <c r="AP23" i="142" s="1"/>
  <c r="S16" i="158"/>
  <c r="U16" i="158" s="1"/>
  <c r="L90" i="137"/>
  <c r="N90" i="137" s="1"/>
  <c r="L111" i="142"/>
  <c r="N111" i="142" s="1"/>
  <c r="L110" i="142"/>
  <c r="N110" i="142" s="1"/>
  <c r="Z26" i="158"/>
  <c r="AB26" i="158" s="1"/>
  <c r="L49" i="145"/>
  <c r="L40" i="145"/>
  <c r="L38" i="145"/>
  <c r="L39" i="145"/>
  <c r="L41" i="145"/>
  <c r="N41" i="145" s="1"/>
  <c r="L45" i="127"/>
  <c r="N45" i="127" s="1"/>
  <c r="Z14" i="137"/>
  <c r="AB14" i="137" s="1"/>
  <c r="S106" i="142"/>
  <c r="U106" i="142" s="1"/>
  <c r="S71" i="136"/>
  <c r="U71" i="136" s="1"/>
  <c r="S107" i="142"/>
  <c r="U107" i="142" s="1"/>
  <c r="L23" i="147"/>
  <c r="N23" i="147" s="1"/>
  <c r="S85" i="128"/>
  <c r="U85" i="128" s="1"/>
  <c r="S105" i="142"/>
  <c r="U105" i="142" s="1"/>
  <c r="C8" i="161" l="1"/>
  <c r="S17" i="152"/>
  <c r="U17" i="152" s="1"/>
  <c r="L88" i="128"/>
  <c r="N88" i="128" s="1"/>
  <c r="L89" i="137" l="1"/>
  <c r="N89" i="137" s="1"/>
  <c r="S82" i="137"/>
  <c r="U82" i="137" s="1"/>
  <c r="AG61" i="138" l="1"/>
  <c r="AI61" i="138" s="1"/>
  <c r="L109" i="142"/>
  <c r="N109" i="142" s="1"/>
  <c r="Z97" i="142"/>
  <c r="AB97" i="142" s="1"/>
  <c r="AG42" i="137"/>
  <c r="AI42" i="137" s="1"/>
  <c r="Z94" i="142"/>
  <c r="AB94" i="142" s="1"/>
  <c r="S103" i="142"/>
  <c r="U103" i="142" s="1"/>
  <c r="L24" i="149" l="1"/>
  <c r="N24" i="149" s="1"/>
  <c r="L108" i="142"/>
  <c r="N108" i="142" s="1"/>
  <c r="L71" i="136"/>
  <c r="N71" i="136" s="1"/>
  <c r="Z70" i="136" l="1"/>
  <c r="AB70" i="136" s="1"/>
  <c r="S14" i="158" l="1"/>
  <c r="U14" i="158" s="1"/>
  <c r="S98" i="142" l="1"/>
  <c r="AN34" i="142" l="1"/>
  <c r="AP34" i="142" s="1"/>
  <c r="Z99" i="142"/>
  <c r="AB99" i="142" s="1"/>
  <c r="S49" i="142"/>
  <c r="U49" i="142" s="1"/>
  <c r="S35" i="142"/>
  <c r="U35" i="142" s="1"/>
  <c r="L87" i="128" l="1"/>
  <c r="N87" i="128" s="1"/>
  <c r="S39" i="137" l="1"/>
  <c r="U39" i="137" s="1"/>
  <c r="S23" i="158" l="1"/>
  <c r="U23" i="158" s="1"/>
  <c r="Z14" i="152" l="1"/>
  <c r="AB14" i="152" s="1"/>
  <c r="AG84" i="142" l="1"/>
  <c r="AI84" i="142" s="1"/>
  <c r="L107" i="142" l="1"/>
  <c r="N107" i="142" s="1"/>
  <c r="L106" i="142"/>
  <c r="N106" i="142" s="1"/>
  <c r="L105" i="142"/>
  <c r="N105" i="142" s="1"/>
  <c r="Z91" i="142" l="1"/>
  <c r="AB91" i="142" s="1"/>
  <c r="AG73" i="137"/>
  <c r="AI73" i="137" s="1"/>
  <c r="Z42" i="137"/>
  <c r="AB42" i="137" s="1"/>
  <c r="L104" i="142" l="1"/>
  <c r="N104" i="142" s="1"/>
  <c r="AU36" i="138" l="1"/>
  <c r="AW36" i="138" s="1"/>
  <c r="S24" i="158"/>
  <c r="U24" i="158" s="1"/>
  <c r="L25" i="145" l="1"/>
  <c r="N25" i="145" s="1"/>
  <c r="N40" i="145"/>
  <c r="L103" i="142" l="1"/>
  <c r="N103" i="142" s="1"/>
  <c r="S97" i="142"/>
  <c r="U97" i="142" s="1"/>
  <c r="S94" i="142" l="1"/>
  <c r="U94" i="142" s="1"/>
  <c r="AG45" i="137"/>
  <c r="AI45" i="137" s="1"/>
  <c r="L62" i="138"/>
  <c r="N62" i="138" s="1"/>
  <c r="L102" i="142" l="1"/>
  <c r="N102" i="142" s="1"/>
  <c r="Z83" i="137"/>
  <c r="AB83" i="137" s="1"/>
  <c r="Z61" i="138" l="1"/>
  <c r="AB61" i="138" s="1"/>
  <c r="L88" i="137" l="1"/>
  <c r="N88" i="137" s="1"/>
  <c r="AN64" i="137"/>
  <c r="AP64" i="137" s="1"/>
  <c r="AG34" i="142"/>
  <c r="AI34" i="142" s="1"/>
  <c r="S99" i="142"/>
  <c r="U99" i="142" s="1"/>
  <c r="L99" i="142"/>
  <c r="L17" i="152"/>
  <c r="N17" i="152" s="1"/>
  <c r="S79" i="137"/>
  <c r="U79" i="137" s="1"/>
  <c r="N86" i="128" l="1"/>
  <c r="Z51" i="136" l="1"/>
  <c r="Z53" i="136"/>
  <c r="AB53" i="136" s="1"/>
  <c r="AG23" i="142"/>
  <c r="AI23" i="142" s="1"/>
  <c r="S70" i="136"/>
  <c r="U70" i="136" s="1"/>
  <c r="L24" i="151"/>
  <c r="N24" i="151" s="1"/>
  <c r="S76" i="137"/>
  <c r="U76" i="137" s="1"/>
  <c r="L85" i="128" l="1"/>
  <c r="N85" i="128" s="1"/>
  <c r="S15" i="158" l="1"/>
  <c r="U15" i="158" s="1"/>
  <c r="S25" i="158"/>
  <c r="U25" i="158" s="1"/>
  <c r="Z20" i="108" l="1"/>
  <c r="AB20" i="108" s="1"/>
  <c r="Z84" i="142" l="1"/>
  <c r="AB84" i="142" s="1"/>
  <c r="U85" i="137"/>
  <c r="L13" i="152" l="1"/>
  <c r="N13" i="152" s="1"/>
  <c r="S81" i="137" l="1"/>
  <c r="U81" i="137" s="1"/>
  <c r="L82" i="137" l="1"/>
  <c r="N82" i="137" s="1"/>
  <c r="S85" i="142" l="1"/>
  <c r="U85" i="142" s="1"/>
  <c r="L13" i="126" l="1"/>
  <c r="N13" i="126" s="1"/>
  <c r="L23" i="149" l="1"/>
  <c r="N23" i="149" s="1"/>
  <c r="L22" i="149"/>
  <c r="N22" i="149" s="1"/>
  <c r="L21" i="149" l="1"/>
  <c r="N21" i="149" s="1"/>
  <c r="L20" i="149"/>
  <c r="N20" i="149" s="1"/>
  <c r="Z45" i="137" l="1"/>
  <c r="AB45" i="137" s="1"/>
  <c r="S91" i="142"/>
  <c r="U91" i="142" s="1"/>
  <c r="L70" i="136" l="1"/>
  <c r="N70" i="136" s="1"/>
  <c r="S26" i="158"/>
  <c r="U26" i="158" s="1"/>
  <c r="L101" i="142"/>
  <c r="N101" i="142" s="1"/>
  <c r="N40" i="111"/>
  <c r="Z24" i="142" l="1"/>
  <c r="AB24" i="142" s="1"/>
  <c r="L87" i="137"/>
  <c r="N87" i="137" s="1"/>
  <c r="U84" i="137"/>
  <c r="AN50" i="138" l="1"/>
  <c r="AP50" i="138" s="1"/>
  <c r="S14" i="152" l="1"/>
  <c r="U14" i="152" s="1"/>
  <c r="L100" i="142" l="1"/>
  <c r="N100" i="142" s="1"/>
  <c r="N39" i="111"/>
  <c r="L24" i="145"/>
  <c r="N24" i="145" s="1"/>
  <c r="S62" i="137" l="1"/>
  <c r="U62" i="137" s="1"/>
  <c r="Z86" i="142" l="1"/>
  <c r="AB86" i="142" s="1"/>
  <c r="U83" i="137"/>
  <c r="L98" i="142" l="1"/>
  <c r="N98" i="142" s="1"/>
  <c r="AG22" i="138" l="1"/>
  <c r="AI22" i="138" s="1"/>
  <c r="L27" i="110" l="1"/>
  <c r="N27" i="110" s="1"/>
  <c r="L84" i="128" l="1"/>
  <c r="N84" i="128" s="1"/>
  <c r="Z17" i="137" l="1"/>
  <c r="AB17" i="137" s="1"/>
  <c r="Z75" i="137" l="1"/>
  <c r="AB75" i="137" s="1"/>
  <c r="N49" i="145" l="1"/>
  <c r="L86" i="137" l="1"/>
  <c r="N86" i="137" s="1"/>
  <c r="Z73" i="137"/>
  <c r="AB73" i="137" s="1"/>
  <c r="L38" i="111" l="1"/>
  <c r="N38" i="111" s="1"/>
  <c r="L16" i="152"/>
  <c r="N16" i="152" s="1"/>
  <c r="AU34" i="138" l="1"/>
  <c r="AW34" i="138" s="1"/>
  <c r="Z78" i="137" l="1"/>
  <c r="AB78" i="137" s="1"/>
  <c r="L44" i="127" l="1"/>
  <c r="N44" i="127" s="1"/>
  <c r="AG57" i="138" l="1"/>
  <c r="AI57" i="138" s="1"/>
  <c r="AN49" i="138" l="1"/>
  <c r="AP49" i="138" s="1"/>
  <c r="S44" i="137" l="1"/>
  <c r="U44" i="137" s="1"/>
  <c r="S14" i="147"/>
  <c r="U14" i="147" s="1"/>
  <c r="L85" i="137" l="1"/>
  <c r="N85" i="137" s="1"/>
  <c r="L84" i="137"/>
  <c r="N84" i="137" s="1"/>
  <c r="L83" i="137" l="1"/>
  <c r="N83" i="137" s="1"/>
  <c r="S45" i="138"/>
  <c r="U45" i="138" s="1"/>
  <c r="S45" i="137"/>
  <c r="U45" i="137" s="1"/>
  <c r="AG89" i="142"/>
  <c r="AI89" i="142" s="1"/>
  <c r="L82" i="128" l="1"/>
  <c r="N82" i="128" s="1"/>
  <c r="Z20" i="151" l="1"/>
  <c r="AB20" i="151" s="1"/>
  <c r="Z12" i="151" l="1"/>
  <c r="AB12" i="151" s="1"/>
  <c r="AG12" i="137" l="1"/>
  <c r="AI12" i="137" s="1"/>
  <c r="Z44" i="138"/>
  <c r="AB44" i="138" s="1"/>
  <c r="Z28" i="111"/>
  <c r="AB28" i="111" s="1"/>
  <c r="S77" i="137" l="1"/>
  <c r="U77" i="137" s="1"/>
  <c r="S22" i="137" l="1"/>
  <c r="U22" i="137" s="1"/>
  <c r="S61" i="138" l="1"/>
  <c r="U61" i="138" s="1"/>
  <c r="Z23" i="145" l="1"/>
  <c r="AB23" i="145" s="1"/>
  <c r="L81" i="137" l="1"/>
  <c r="N81" i="137" s="1"/>
  <c r="AG16" i="151"/>
  <c r="AI16" i="151" s="1"/>
  <c r="Z17" i="151" l="1"/>
  <c r="AB17" i="151" s="1"/>
  <c r="Z19" i="151" l="1"/>
  <c r="AB19" i="151" s="1"/>
  <c r="L97" i="142" l="1"/>
  <c r="N97" i="142" s="1"/>
  <c r="L80" i="137" l="1"/>
  <c r="N80" i="137" s="1"/>
  <c r="S12" i="159"/>
  <c r="U12" i="159" s="1"/>
  <c r="AG61" i="142"/>
  <c r="AI61" i="142" s="1"/>
  <c r="L13" i="158"/>
  <c r="N13" i="158" s="1"/>
  <c r="L15" i="158"/>
  <c r="N15" i="158" s="1"/>
  <c r="Z34" i="142"/>
  <c r="AB34" i="142" s="1"/>
  <c r="Z56" i="137" l="1"/>
  <c r="AB56" i="137" s="1"/>
  <c r="AG64" i="142" l="1"/>
  <c r="AI64" i="142" s="1"/>
  <c r="Z92" i="142" l="1"/>
  <c r="AB92" i="142" s="1"/>
  <c r="Z51" i="137" l="1"/>
  <c r="AB51" i="137" s="1"/>
  <c r="Z64" i="142" l="1"/>
  <c r="AB64" i="142" s="1"/>
  <c r="L16" i="158" l="1"/>
  <c r="N16" i="158" s="1"/>
  <c r="N39" i="145"/>
  <c r="S35" i="145" l="1"/>
  <c r="U35" i="145" s="1"/>
  <c r="N38" i="145" l="1"/>
  <c r="AG50" i="138" l="1"/>
  <c r="AI50" i="138" s="1"/>
  <c r="L26" i="158"/>
  <c r="N26" i="158" s="1"/>
  <c r="Z89" i="142"/>
  <c r="AB89" i="142" s="1"/>
  <c r="AG49" i="138"/>
  <c r="AI49" i="138" s="1"/>
  <c r="L14" i="158" l="1"/>
  <c r="N14" i="158" s="1"/>
  <c r="S78" i="137" l="1"/>
  <c r="U78" i="137" s="1"/>
  <c r="L37" i="145" l="1"/>
  <c r="N37" i="145" s="1"/>
  <c r="AG40" i="137" l="1"/>
  <c r="AI40" i="137" s="1"/>
  <c r="L37" i="111"/>
  <c r="N37" i="111" s="1"/>
  <c r="L14" i="152"/>
  <c r="N14" i="152" s="1"/>
  <c r="L36" i="145" l="1"/>
  <c r="N36" i="145" s="1"/>
  <c r="L22" i="147" l="1"/>
  <c r="N22" i="147" s="1"/>
  <c r="Z57" i="138" l="1"/>
  <c r="AB57" i="138" s="1"/>
  <c r="S23" i="145" l="1"/>
  <c r="U23" i="145" s="1"/>
  <c r="S17" i="137"/>
  <c r="U17" i="137" s="1"/>
  <c r="S90" i="142" l="1"/>
  <c r="U90" i="142" s="1"/>
  <c r="Z59" i="138"/>
  <c r="AB59" i="138" s="1"/>
  <c r="S56" i="137"/>
  <c r="S75" i="137"/>
  <c r="U75" i="137" s="1"/>
  <c r="L25" i="158"/>
  <c r="N25" i="158" s="1"/>
  <c r="Z31" i="111"/>
  <c r="AB31" i="111" s="1"/>
  <c r="Z49" i="137"/>
  <c r="AB49" i="137" s="1"/>
  <c r="L12" i="159"/>
  <c r="N12" i="159" s="1"/>
  <c r="S77" i="142" l="1"/>
  <c r="U77" i="142" s="1"/>
  <c r="AN36" i="138"/>
  <c r="AP36" i="138" s="1"/>
  <c r="L24" i="158"/>
  <c r="N24" i="158" s="1"/>
  <c r="L61" i="138"/>
  <c r="N61" i="138" s="1"/>
  <c r="S24" i="142"/>
  <c r="U24" i="142" s="1"/>
  <c r="J6" i="159"/>
  <c r="L38" i="135" s="1"/>
  <c r="I6" i="159"/>
  <c r="K38" i="135" s="1"/>
  <c r="H6" i="159"/>
  <c r="H38" i="135" s="1"/>
  <c r="G6" i="159"/>
  <c r="B38" i="135" s="1"/>
  <c r="F6" i="159"/>
  <c r="G38" i="135" s="1"/>
  <c r="E6" i="159"/>
  <c r="F38" i="135" s="1"/>
  <c r="D6" i="159"/>
  <c r="E38" i="135" s="1"/>
  <c r="C6" i="159"/>
  <c r="D38" i="135" s="1"/>
  <c r="B6" i="159"/>
  <c r="C38" i="135" s="1"/>
  <c r="L23" i="158"/>
  <c r="N23" i="158" s="1"/>
  <c r="S52" i="137"/>
  <c r="U52" i="137" s="1"/>
  <c r="AN27" i="138"/>
  <c r="AP27" i="138" s="1"/>
  <c r="S73" i="137"/>
  <c r="U73" i="137" s="1"/>
  <c r="L18" i="158"/>
  <c r="N18" i="158" s="1"/>
  <c r="S34" i="145"/>
  <c r="U34" i="145" s="1"/>
  <c r="L60" i="138"/>
  <c r="N60" i="138" s="1"/>
  <c r="S44" i="138"/>
  <c r="U44" i="138" s="1"/>
  <c r="S27" i="137"/>
  <c r="U27" i="137" s="1"/>
  <c r="M38" i="135" l="1"/>
  <c r="O38" i="135" s="1"/>
  <c r="N38" i="135"/>
  <c r="C8" i="159"/>
  <c r="L79" i="137" l="1"/>
  <c r="N79" i="137" s="1"/>
  <c r="S51" i="137"/>
  <c r="U51" i="137" s="1"/>
  <c r="S86" i="142"/>
  <c r="U86" i="142" s="1"/>
  <c r="L15" i="143"/>
  <c r="N15" i="143" s="1"/>
  <c r="Z24" i="111" l="1"/>
  <c r="AB24" i="111" s="1"/>
  <c r="S92" i="142"/>
  <c r="U92" i="142" s="1"/>
  <c r="AN29" i="138"/>
  <c r="AP29" i="138" s="1"/>
  <c r="S20" i="108"/>
  <c r="U20" i="108" s="1"/>
  <c r="AN34" i="138"/>
  <c r="AP34" i="138" s="1"/>
  <c r="S81" i="128"/>
  <c r="U81" i="128" s="1"/>
  <c r="AU68" i="142"/>
  <c r="AW68" i="142" s="1"/>
  <c r="Z12" i="108"/>
  <c r="AB12" i="108" s="1"/>
  <c r="S89" i="142"/>
  <c r="Z25" i="111" l="1"/>
  <c r="AB25" i="111" s="1"/>
  <c r="S28" i="111"/>
  <c r="U28" i="111" s="1"/>
  <c r="AG18" i="111"/>
  <c r="AI18" i="111" s="1"/>
  <c r="L96" i="142"/>
  <c r="N96" i="142" s="1"/>
  <c r="S52" i="128"/>
  <c r="U52" i="128" s="1"/>
  <c r="S31" i="128"/>
  <c r="U31" i="128" s="1"/>
  <c r="S31" i="111" l="1"/>
  <c r="U31" i="111" s="1"/>
  <c r="AU12" i="111"/>
  <c r="AW12" i="111" s="1"/>
  <c r="Z21" i="138"/>
  <c r="AB21" i="138" s="1"/>
  <c r="L78" i="137"/>
  <c r="N78" i="137" s="1"/>
  <c r="S59" i="138"/>
  <c r="U59" i="138" s="1"/>
  <c r="L35" i="145"/>
  <c r="N35" i="145" s="1"/>
  <c r="L34" i="145"/>
  <c r="N34" i="145" s="1"/>
  <c r="S23" i="128"/>
  <c r="U23" i="128" s="1"/>
  <c r="S21" i="128"/>
  <c r="U21" i="128" s="1"/>
  <c r="S17" i="128"/>
  <c r="U17" i="128" s="1"/>
  <c r="Z23" i="132"/>
  <c r="AB23" i="132" s="1"/>
  <c r="L25" i="132" l="1"/>
  <c r="N25" i="132" s="1"/>
  <c r="Z34" i="111"/>
  <c r="AB34" i="111" s="1"/>
  <c r="Z22" i="138" l="1"/>
  <c r="AB22" i="138" s="1"/>
  <c r="Z13" i="146"/>
  <c r="AB13" i="146" s="1"/>
  <c r="AG21" i="108"/>
  <c r="AI21" i="108" s="1"/>
  <c r="L77" i="137"/>
  <c r="N77" i="137" s="1"/>
  <c r="L68" i="136"/>
  <c r="N68" i="136" s="1"/>
  <c r="S47" i="142"/>
  <c r="U47" i="142" s="1"/>
  <c r="S57" i="138" l="1"/>
  <c r="U57" i="138" s="1"/>
  <c r="L23" i="151"/>
  <c r="N23" i="151" s="1"/>
  <c r="AG38" i="137"/>
  <c r="AI38" i="137" s="1"/>
  <c r="AG29" i="138"/>
  <c r="AI29" i="138" s="1"/>
  <c r="L94" i="142"/>
  <c r="N94" i="142" s="1"/>
  <c r="L76" i="137"/>
  <c r="N76" i="137" s="1"/>
  <c r="S24" i="111"/>
  <c r="U24" i="111" s="1"/>
  <c r="S21" i="138"/>
  <c r="U21" i="138" s="1"/>
  <c r="Z36" i="136"/>
  <c r="AB36" i="136" s="1"/>
  <c r="S67" i="136"/>
  <c r="U67" i="136" s="1"/>
  <c r="L19" i="149"/>
  <c r="N19" i="149" s="1"/>
  <c r="S15" i="128"/>
  <c r="U15" i="128" s="1"/>
  <c r="L75" i="137"/>
  <c r="N75" i="137" s="1"/>
  <c r="S88" i="142"/>
  <c r="U88" i="142" s="1"/>
  <c r="Z16" i="138"/>
  <c r="AB16" i="138" s="1"/>
  <c r="Z18" i="111"/>
  <c r="AB18" i="111" s="1"/>
  <c r="Z21" i="108"/>
  <c r="AB21" i="108" s="1"/>
  <c r="Z12" i="145"/>
  <c r="AB12" i="145" s="1"/>
  <c r="Z15" i="111"/>
  <c r="AB15" i="111" s="1"/>
  <c r="L59" i="138"/>
  <c r="N59" i="138" s="1"/>
  <c r="Z35" i="111"/>
  <c r="AB35" i="111" s="1"/>
  <c r="AG12" i="146"/>
  <c r="AI12" i="146" s="1"/>
  <c r="L93" i="142"/>
  <c r="N93" i="142" s="1"/>
  <c r="AG64" i="137"/>
  <c r="AI64" i="137" s="1"/>
  <c r="L74" i="137"/>
  <c r="N74" i="137" s="1"/>
  <c r="S55" i="138"/>
  <c r="U55" i="138" s="1"/>
  <c r="S12" i="128"/>
  <c r="U12" i="128" s="1"/>
  <c r="L81" i="128" l="1"/>
  <c r="N81" i="128" s="1"/>
  <c r="L80" i="128" l="1"/>
  <c r="N80" i="128" s="1"/>
  <c r="S13" i="146"/>
  <c r="U13" i="146" s="1"/>
  <c r="AN17" i="147"/>
  <c r="AP17" i="147" s="1"/>
  <c r="Z15" i="137"/>
  <c r="AB15" i="137" s="1"/>
  <c r="L92" i="142"/>
  <c r="N92" i="142" s="1"/>
  <c r="L67" i="136"/>
  <c r="N67" i="136" s="1"/>
  <c r="S34" i="111"/>
  <c r="U34" i="111" s="1"/>
  <c r="S20" i="151"/>
  <c r="U20" i="151" s="1"/>
  <c r="S19" i="151"/>
  <c r="U19" i="151" s="1"/>
  <c r="S12" i="151"/>
  <c r="U12" i="151" s="1"/>
  <c r="Z16" i="151"/>
  <c r="AB16" i="151" s="1"/>
  <c r="S17" i="151"/>
  <c r="U17" i="151" s="1"/>
  <c r="L79" i="128"/>
  <c r="N79" i="128" s="1"/>
  <c r="AN68" i="142"/>
  <c r="AP68" i="142" s="1"/>
  <c r="S23" i="132" l="1"/>
  <c r="U23" i="132" s="1"/>
  <c r="S12" i="152"/>
  <c r="U12" i="152" s="1"/>
  <c r="Z18" i="137"/>
  <c r="AB18" i="137" s="1"/>
  <c r="S38" i="136"/>
  <c r="U38" i="136" s="1"/>
  <c r="S37" i="136"/>
  <c r="U37" i="136" s="1"/>
  <c r="S21" i="108"/>
  <c r="U21" i="108" s="1"/>
  <c r="S36" i="136"/>
  <c r="U36" i="136" s="1"/>
  <c r="S40" i="127"/>
  <c r="U40" i="127" s="1"/>
  <c r="L23" i="145"/>
  <c r="N23" i="145" s="1"/>
  <c r="L91" i="142"/>
  <c r="N91" i="142" s="1"/>
  <c r="S15" i="108"/>
  <c r="U15" i="108" s="1"/>
  <c r="L12" i="158"/>
  <c r="N12" i="158" s="1"/>
  <c r="J6" i="158"/>
  <c r="L28" i="135" s="1"/>
  <c r="I6" i="158"/>
  <c r="K28" i="135" s="1"/>
  <c r="H6" i="158"/>
  <c r="H28" i="135" s="1"/>
  <c r="G6" i="158"/>
  <c r="B28" i="135" s="1"/>
  <c r="F6" i="158"/>
  <c r="G28" i="135" s="1"/>
  <c r="E6" i="158"/>
  <c r="F28" i="135" s="1"/>
  <c r="C6" i="158"/>
  <c r="D28" i="135" s="1"/>
  <c r="B6" i="158"/>
  <c r="L13" i="156"/>
  <c r="N13" i="156" s="1"/>
  <c r="S35" i="125"/>
  <c r="U35" i="125" s="1"/>
  <c r="L22" i="145"/>
  <c r="N22" i="145" s="1"/>
  <c r="L26" i="110"/>
  <c r="N26" i="110" s="1"/>
  <c r="Z63" i="137"/>
  <c r="AB63" i="137" s="1"/>
  <c r="L66" i="136"/>
  <c r="N66" i="136" s="1"/>
  <c r="L58" i="138"/>
  <c r="N58" i="138" s="1"/>
  <c r="L21" i="145"/>
  <c r="N21" i="145" s="1"/>
  <c r="AG34" i="138"/>
  <c r="AI34" i="138" s="1"/>
  <c r="AG27" i="138"/>
  <c r="AI27" i="138" s="1"/>
  <c r="S15" i="137"/>
  <c r="U15" i="137" s="1"/>
  <c r="S33" i="128"/>
  <c r="U33" i="128" s="1"/>
  <c r="S39" i="128"/>
  <c r="H7" i="135"/>
  <c r="L7" i="135"/>
  <c r="L73" i="137"/>
  <c r="N73" i="137" s="1"/>
  <c r="C28" i="135" l="1"/>
  <c r="C8" i="158"/>
  <c r="M28" i="135"/>
  <c r="N28" i="135"/>
  <c r="S54" i="142"/>
  <c r="U54" i="142" s="1"/>
  <c r="Z56" i="142"/>
  <c r="AB56" i="142" s="1"/>
  <c r="O28" i="135" l="1"/>
  <c r="L78" i="128"/>
  <c r="N78" i="128" s="1"/>
  <c r="L35" i="125" l="1"/>
  <c r="N35" i="125" s="1"/>
  <c r="S84" i="142"/>
  <c r="U84" i="142" s="1"/>
  <c r="L20" i="145"/>
  <c r="N20" i="145" s="1"/>
  <c r="S24" i="132"/>
  <c r="U24" i="132" s="1"/>
  <c r="AG68" i="142"/>
  <c r="AI68" i="142" s="1"/>
  <c r="L77" i="128"/>
  <c r="N77" i="128" s="1"/>
  <c r="Z49" i="138"/>
  <c r="AB49" i="138" s="1"/>
  <c r="Z65" i="142"/>
  <c r="AB65" i="142" s="1"/>
  <c r="Z14" i="141"/>
  <c r="AB14" i="141" s="1"/>
  <c r="L90" i="142"/>
  <c r="N90" i="142" s="1"/>
  <c r="L89" i="142" l="1"/>
  <c r="N89" i="142" s="1"/>
  <c r="L88" i="142"/>
  <c r="N88" i="142" s="1"/>
  <c r="H8" i="135"/>
  <c r="S35" i="111" l="1"/>
  <c r="U35" i="111" s="1"/>
  <c r="S16" i="137"/>
  <c r="U16" i="137" s="1"/>
  <c r="L19" i="145"/>
  <c r="N19" i="145" s="1"/>
  <c r="S48" i="136"/>
  <c r="U48" i="136" s="1"/>
  <c r="Z64" i="136" l="1"/>
  <c r="AB64" i="136" s="1"/>
  <c r="Z54" i="138"/>
  <c r="AB54" i="138" s="1"/>
  <c r="Z53" i="138" l="1"/>
  <c r="AB53" i="138" s="1"/>
  <c r="S22" i="138" l="1"/>
  <c r="U22" i="138" s="1"/>
  <c r="S52" i="138"/>
  <c r="U52" i="138" s="1"/>
  <c r="L83" i="142"/>
  <c r="N83" i="142" s="1"/>
  <c r="S15" i="151"/>
  <c r="U15" i="151" s="1"/>
  <c r="Z29" i="138"/>
  <c r="AB29" i="138" s="1"/>
  <c r="AG65" i="137"/>
  <c r="AI65" i="137" s="1"/>
  <c r="S36" i="111" l="1"/>
  <c r="U36" i="111" s="1"/>
  <c r="Z27" i="138"/>
  <c r="AB27" i="138" s="1"/>
  <c r="Z53" i="142"/>
  <c r="AB53" i="142" s="1"/>
  <c r="Z13" i="147"/>
  <c r="AB13" i="147" s="1"/>
  <c r="L18" i="145"/>
  <c r="N18" i="145" s="1"/>
  <c r="S54" i="138"/>
  <c r="U54" i="138" s="1"/>
  <c r="Z34" i="138"/>
  <c r="AB34" i="138" s="1"/>
  <c r="Z68" i="142" l="1"/>
  <c r="AB68" i="142" s="1"/>
  <c r="L87" i="142"/>
  <c r="N87" i="142" s="1"/>
  <c r="L65" i="136"/>
  <c r="N65" i="136" s="1"/>
  <c r="L34" i="125"/>
  <c r="N34" i="125" s="1"/>
  <c r="L80" i="142"/>
  <c r="N80" i="142" s="1"/>
  <c r="L57" i="138"/>
  <c r="N57" i="138" s="1"/>
  <c r="S63" i="137"/>
  <c r="U63" i="137" s="1"/>
  <c r="S34" i="142"/>
  <c r="U34" i="142" s="1"/>
  <c r="S48" i="142"/>
  <c r="U48" i="142" s="1"/>
  <c r="AG46" i="142"/>
  <c r="AI46" i="142" s="1"/>
  <c r="L36" i="111"/>
  <c r="N36" i="111" s="1"/>
  <c r="Z65" i="137"/>
  <c r="AB65" i="137" s="1"/>
  <c r="S18" i="137"/>
  <c r="U18" i="137" s="1"/>
  <c r="L12" i="157"/>
  <c r="N12" i="157" s="1"/>
  <c r="S68" i="137"/>
  <c r="U68" i="137" s="1"/>
  <c r="S71" i="137"/>
  <c r="U71" i="137" s="1"/>
  <c r="L72" i="137"/>
  <c r="N72" i="137" s="1"/>
  <c r="S53" i="142"/>
  <c r="U53" i="142" s="1"/>
  <c r="J6" i="157"/>
  <c r="L33" i="135" s="1"/>
  <c r="I6" i="157"/>
  <c r="K33" i="135" s="1"/>
  <c r="H6" i="157"/>
  <c r="H33" i="135" s="1"/>
  <c r="G6" i="157"/>
  <c r="B33" i="135" s="1"/>
  <c r="F6" i="157"/>
  <c r="G33" i="135" s="1"/>
  <c r="E6" i="157"/>
  <c r="F33" i="135" s="1"/>
  <c r="D6" i="157"/>
  <c r="E33" i="135" s="1"/>
  <c r="C6" i="157"/>
  <c r="D33" i="135" s="1"/>
  <c r="B6" i="157"/>
  <c r="L86" i="142"/>
  <c r="N86" i="142" s="1"/>
  <c r="Z64" i="137"/>
  <c r="AB64" i="137" s="1"/>
  <c r="S64" i="142"/>
  <c r="U64" i="142" s="1"/>
  <c r="S63" i="142"/>
  <c r="U63" i="142" s="1"/>
  <c r="L85" i="142"/>
  <c r="N85" i="142" s="1"/>
  <c r="S66" i="142"/>
  <c r="U66" i="142" s="1"/>
  <c r="S70" i="142"/>
  <c r="U70" i="142" s="1"/>
  <c r="AU17" i="138"/>
  <c r="AW17" i="138" s="1"/>
  <c r="Z12" i="147"/>
  <c r="AB12" i="147" s="1"/>
  <c r="G6" i="132"/>
  <c r="B36" i="135" s="1"/>
  <c r="S27" i="138"/>
  <c r="U27" i="138" s="1"/>
  <c r="S14" i="141"/>
  <c r="U14" i="141" s="1"/>
  <c r="L76" i="128"/>
  <c r="N76" i="128" s="1"/>
  <c r="C33" i="135" l="1"/>
  <c r="C8" i="157"/>
  <c r="M33" i="135"/>
  <c r="O33" i="135" s="1"/>
  <c r="N33" i="135"/>
  <c r="S68" i="142"/>
  <c r="U68" i="142" s="1"/>
  <c r="L84" i="142"/>
  <c r="N84" i="142" s="1"/>
  <c r="L75" i="128"/>
  <c r="N75" i="128" s="1"/>
  <c r="S65" i="142" l="1"/>
  <c r="U65" i="142" s="1"/>
  <c r="S14" i="129"/>
  <c r="U14" i="129" s="1"/>
  <c r="S53" i="138"/>
  <c r="U53" i="138" s="1"/>
  <c r="S48" i="138"/>
  <c r="U48" i="138" s="1"/>
  <c r="S47" i="138"/>
  <c r="U47" i="138" s="1"/>
  <c r="Z34" i="137"/>
  <c r="AB34" i="137" s="1"/>
  <c r="L82" i="142"/>
  <c r="N82" i="142" s="1"/>
  <c r="S15" i="145"/>
  <c r="L35" i="111"/>
  <c r="N35" i="111" s="1"/>
  <c r="Z12" i="142"/>
  <c r="AB12" i="142" s="1"/>
  <c r="AG20" i="142" l="1"/>
  <c r="AI20" i="142" s="1"/>
  <c r="L81" i="142"/>
  <c r="N81" i="142" s="1"/>
  <c r="S69" i="137"/>
  <c r="U69" i="137" s="1"/>
  <c r="L74" i="128"/>
  <c r="N74" i="128" s="1"/>
  <c r="L56" i="138"/>
  <c r="N56" i="138" s="1"/>
  <c r="S62" i="142"/>
  <c r="U62" i="142" s="1"/>
  <c r="L79" i="142"/>
  <c r="N79" i="142" s="1"/>
  <c r="L78" i="142"/>
  <c r="N78" i="142" s="1"/>
  <c r="Z55" i="142"/>
  <c r="AB55" i="142" s="1"/>
  <c r="L43" i="127"/>
  <c r="N43" i="127" s="1"/>
  <c r="L24" i="132" l="1"/>
  <c r="N24" i="132" s="1"/>
  <c r="L73" i="128"/>
  <c r="N73" i="128" s="1"/>
  <c r="AG31" i="142"/>
  <c r="AI31" i="142" s="1"/>
  <c r="L55" i="138"/>
  <c r="N55" i="138" s="1"/>
  <c r="L14" i="143"/>
  <c r="N14" i="143" s="1"/>
  <c r="L77" i="142"/>
  <c r="N77" i="142" s="1"/>
  <c r="L71" i="137"/>
  <c r="N71" i="137" s="1"/>
  <c r="L70" i="137"/>
  <c r="N70" i="137" s="1"/>
  <c r="L14" i="129" l="1"/>
  <c r="N14" i="129" s="1"/>
  <c r="S56" i="142"/>
  <c r="U56" i="142" s="1"/>
  <c r="L72" i="128" l="1"/>
  <c r="N72" i="128" s="1"/>
  <c r="L71" i="128"/>
  <c r="N71" i="128" s="1"/>
  <c r="S26" i="142"/>
  <c r="U26" i="142" s="1"/>
  <c r="S43" i="142"/>
  <c r="U43" i="142" s="1"/>
  <c r="Z26" i="138"/>
  <c r="AB26" i="138" s="1"/>
  <c r="L69" i="137"/>
  <c r="N69" i="137" s="1"/>
  <c r="S64" i="137"/>
  <c r="U64" i="137" s="1"/>
  <c r="Z20" i="142" l="1"/>
  <c r="AB20" i="142" s="1"/>
  <c r="S12" i="142"/>
  <c r="U12" i="142" s="1"/>
  <c r="AN17" i="138"/>
  <c r="AP17" i="138" s="1"/>
  <c r="L70" i="128"/>
  <c r="N70" i="128" s="1"/>
  <c r="S21" i="147"/>
  <c r="U21" i="147" s="1"/>
  <c r="S13" i="155"/>
  <c r="U13" i="155" s="1"/>
  <c r="S12" i="155"/>
  <c r="U12" i="155" s="1"/>
  <c r="S25" i="142"/>
  <c r="U25" i="142" s="1"/>
  <c r="L76" i="142"/>
  <c r="N76" i="142" s="1"/>
  <c r="Z14" i="108" l="1"/>
  <c r="AB14" i="108" s="1"/>
  <c r="S14" i="137"/>
  <c r="U14" i="137" s="1"/>
  <c r="S56" i="136"/>
  <c r="U56" i="136" s="1"/>
  <c r="Z12" i="137"/>
  <c r="AB12" i="137" s="1"/>
  <c r="L42" i="127"/>
  <c r="N42" i="127" s="1"/>
  <c r="L69" i="128"/>
  <c r="N69" i="128" s="1"/>
  <c r="L68" i="128"/>
  <c r="N68" i="128" s="1"/>
  <c r="L18" i="149"/>
  <c r="N18" i="149" s="1"/>
  <c r="L17" i="149"/>
  <c r="N17" i="149" s="1"/>
  <c r="L75" i="142"/>
  <c r="N75" i="142" s="1"/>
  <c r="L68" i="137"/>
  <c r="N68" i="137" s="1"/>
  <c r="S16" i="138"/>
  <c r="U16" i="138" s="1"/>
  <c r="S64" i="136" l="1"/>
  <c r="U64" i="136" s="1"/>
  <c r="Z13" i="125"/>
  <c r="AB13" i="125" s="1"/>
  <c r="S13" i="145" l="1"/>
  <c r="U13" i="145" s="1"/>
  <c r="L14" i="141" l="1"/>
  <c r="N14" i="141" s="1"/>
  <c r="L74" i="142"/>
  <c r="N74" i="142" s="1"/>
  <c r="L73" i="142"/>
  <c r="N73" i="142" s="1"/>
  <c r="S52" i="136"/>
  <c r="U52" i="136" s="1"/>
  <c r="S65" i="137"/>
  <c r="U65" i="137" s="1"/>
  <c r="Z48" i="137"/>
  <c r="AB48" i="137" s="1"/>
  <c r="AG37" i="137"/>
  <c r="AI37" i="137" s="1"/>
  <c r="L72" i="142"/>
  <c r="N72" i="142" s="1"/>
  <c r="S23" i="110"/>
  <c r="U23" i="110" s="1"/>
  <c r="L39" i="138"/>
  <c r="N39" i="138" s="1"/>
  <c r="S39" i="138"/>
  <c r="U39" i="138" s="1"/>
  <c r="S22" i="128" l="1"/>
  <c r="U22" i="128" s="1"/>
  <c r="L16" i="149"/>
  <c r="N16" i="149" s="1"/>
  <c r="L67" i="137"/>
  <c r="N67" i="137" s="1"/>
  <c r="Z31" i="142"/>
  <c r="AB31" i="142" s="1"/>
  <c r="Z23" i="142"/>
  <c r="AB23" i="142" s="1"/>
  <c r="S20" i="142"/>
  <c r="U20" i="142" s="1"/>
  <c r="S51" i="138"/>
  <c r="U51" i="138" s="1"/>
  <c r="Z40" i="138"/>
  <c r="AB40" i="138" s="1"/>
  <c r="S49" i="138"/>
  <c r="U49" i="138" s="1"/>
  <c r="S26" i="138"/>
  <c r="U26" i="138" s="1"/>
  <c r="Z18" i="142"/>
  <c r="AB18" i="142" s="1"/>
  <c r="S25" i="138"/>
  <c r="U25" i="138" s="1"/>
  <c r="S17" i="138" l="1"/>
  <c r="S18" i="138"/>
  <c r="U18" i="138" s="1"/>
  <c r="L71" i="142"/>
  <c r="N71" i="142" s="1"/>
  <c r="L70" i="142"/>
  <c r="N70" i="142" s="1"/>
  <c r="Z30" i="142"/>
  <c r="AB30" i="142" s="1"/>
  <c r="L15" i="149" l="1"/>
  <c r="N15" i="149" s="1"/>
  <c r="S22" i="111"/>
  <c r="U22" i="111" s="1"/>
  <c r="L22" i="151" l="1"/>
  <c r="N22" i="151" s="1"/>
  <c r="L21" i="151"/>
  <c r="N21" i="151" s="1"/>
  <c r="L69" i="142"/>
  <c r="N69" i="142" s="1"/>
  <c r="L68" i="142" l="1"/>
  <c r="N68" i="142" s="1"/>
  <c r="Z46" i="142"/>
  <c r="AB46" i="142" s="1"/>
  <c r="S12" i="138"/>
  <c r="U12" i="138" s="1"/>
  <c r="L54" i="138"/>
  <c r="N54" i="138" s="1"/>
  <c r="L67" i="128" l="1"/>
  <c r="N67" i="128" s="1"/>
  <c r="L67" i="142" l="1"/>
  <c r="N67" i="142" s="1"/>
  <c r="L66" i="142"/>
  <c r="N66" i="142" s="1"/>
  <c r="L25" i="110"/>
  <c r="N25" i="110" s="1"/>
  <c r="L66" i="128"/>
  <c r="N66" i="128" s="1"/>
  <c r="L24" i="110"/>
  <c r="N24" i="110" s="1"/>
  <c r="S14" i="130" l="1"/>
  <c r="U14" i="130" s="1"/>
  <c r="AN12" i="111"/>
  <c r="AP12" i="111" s="1"/>
  <c r="L33" i="125"/>
  <c r="N33" i="125" s="1"/>
  <c r="AG17" i="111"/>
  <c r="AI17" i="111" s="1"/>
  <c r="L66" i="137"/>
  <c r="N66" i="137" s="1"/>
  <c r="AG14" i="111"/>
  <c r="AI14" i="111" s="1"/>
  <c r="L23" i="132"/>
  <c r="N23" i="132" s="1"/>
  <c r="AG36" i="138" l="1"/>
  <c r="AI36" i="138" s="1"/>
  <c r="Z50" i="138"/>
  <c r="AB50" i="138" s="1"/>
  <c r="S50" i="136"/>
  <c r="U50" i="136" s="1"/>
  <c r="L65" i="128"/>
  <c r="N65" i="128" s="1"/>
  <c r="L64" i="128"/>
  <c r="N64" i="128" s="1"/>
  <c r="S17" i="145" l="1"/>
  <c r="U17" i="145" s="1"/>
  <c r="S32" i="111"/>
  <c r="U32" i="111" s="1"/>
  <c r="L23" i="110"/>
  <c r="N23" i="110" s="1"/>
  <c r="L12" i="156"/>
  <c r="N12" i="156" s="1"/>
  <c r="L29" i="135"/>
  <c r="K29" i="135"/>
  <c r="H29" i="135"/>
  <c r="B29" i="135"/>
  <c r="G29" i="135"/>
  <c r="F29" i="135"/>
  <c r="E29" i="135"/>
  <c r="D29" i="135"/>
  <c r="C29" i="135"/>
  <c r="Z13" i="143"/>
  <c r="AB13" i="143" s="1"/>
  <c r="L65" i="142"/>
  <c r="N65" i="142" s="1"/>
  <c r="M29" i="135" l="1"/>
  <c r="O29" i="135" s="1"/>
  <c r="N29" i="135"/>
  <c r="S42" i="137" l="1"/>
  <c r="U42" i="137" s="1"/>
  <c r="L22" i="110" l="1"/>
  <c r="N22" i="110" s="1"/>
  <c r="AU17" i="142"/>
  <c r="AW17" i="142" s="1"/>
  <c r="L64" i="142"/>
  <c r="N64" i="142" s="1"/>
  <c r="L63" i="142"/>
  <c r="N63" i="142" s="1"/>
  <c r="L62" i="137"/>
  <c r="N62" i="137" s="1"/>
  <c r="L21" i="108" l="1"/>
  <c r="N21" i="108" s="1"/>
  <c r="L21" i="147"/>
  <c r="N21" i="147" s="1"/>
  <c r="L64" i="136"/>
  <c r="N64" i="136" s="1"/>
  <c r="L62" i="142"/>
  <c r="N62" i="142" s="1"/>
  <c r="L61" i="142"/>
  <c r="Z60" i="136"/>
  <c r="AB60" i="136" s="1"/>
  <c r="Z59" i="136"/>
  <c r="AB59" i="136" s="1"/>
  <c r="L63" i="128"/>
  <c r="N63" i="128" s="1"/>
  <c r="L58" i="128"/>
  <c r="N58" i="128" s="1"/>
  <c r="S58" i="128"/>
  <c r="U58" i="128" s="1"/>
  <c r="L62" i="128"/>
  <c r="N62" i="128" s="1"/>
  <c r="S16" i="151" l="1"/>
  <c r="U16" i="151" s="1"/>
  <c r="S15" i="142"/>
  <c r="U15" i="142" s="1"/>
  <c r="S19" i="108"/>
  <c r="U19" i="108" s="1"/>
  <c r="L60" i="142" l="1"/>
  <c r="N60" i="142" s="1"/>
  <c r="U39" i="128" l="1"/>
  <c r="L34" i="111"/>
  <c r="N34" i="111" s="1"/>
  <c r="L33" i="111"/>
  <c r="N33" i="111" s="1"/>
  <c r="L14" i="155"/>
  <c r="N14" i="155" s="1"/>
  <c r="L59" i="142"/>
  <c r="N59" i="142" s="1"/>
  <c r="L65" i="137"/>
  <c r="N65" i="137" s="1"/>
  <c r="L64" i="137"/>
  <c r="N64" i="137" s="1"/>
  <c r="L63" i="137"/>
  <c r="N63" i="137" s="1"/>
  <c r="S55" i="142"/>
  <c r="U55" i="142" s="1"/>
  <c r="S25" i="111" l="1"/>
  <c r="U25" i="111" s="1"/>
  <c r="L13" i="146"/>
  <c r="N13" i="146" s="1"/>
  <c r="L13" i="155" l="1"/>
  <c r="N13" i="155" s="1"/>
  <c r="L12" i="155"/>
  <c r="N12" i="155" s="1"/>
  <c r="S12" i="149"/>
  <c r="U12" i="149" s="1"/>
  <c r="S50" i="138"/>
  <c r="U50" i="138" s="1"/>
  <c r="L32" i="111"/>
  <c r="N32" i="111" s="1"/>
  <c r="L63" i="136"/>
  <c r="N63" i="136" s="1"/>
  <c r="C8" i="155" l="1"/>
  <c r="L58" i="142"/>
  <c r="N58" i="142" s="1"/>
  <c r="L61" i="128"/>
  <c r="N61" i="128" s="1"/>
  <c r="L41" i="127"/>
  <c r="N41" i="127" s="1"/>
  <c r="S13" i="131"/>
  <c r="U13" i="131" s="1"/>
  <c r="L20" i="147"/>
  <c r="N20" i="147" s="1"/>
  <c r="S18" i="142"/>
  <c r="U18" i="142" s="1"/>
  <c r="L57" i="142" l="1"/>
  <c r="N57" i="142" s="1"/>
  <c r="S37" i="142"/>
  <c r="U37" i="142" s="1"/>
  <c r="AG17" i="138"/>
  <c r="AI17" i="138" s="1"/>
  <c r="S47" i="136" l="1"/>
  <c r="U47" i="136" s="1"/>
  <c r="L31" i="111" l="1"/>
  <c r="N31" i="111" s="1"/>
  <c r="AN17" i="142" l="1"/>
  <c r="AP17" i="142" s="1"/>
  <c r="Z36" i="138"/>
  <c r="AB36" i="138" s="1"/>
  <c r="L53" i="138"/>
  <c r="N53" i="138" s="1"/>
  <c r="S61" i="136" l="1"/>
  <c r="U61" i="136" s="1"/>
  <c r="S19" i="147" l="1"/>
  <c r="U19" i="147" s="1"/>
  <c r="S23" i="111"/>
  <c r="U23" i="111" s="1"/>
  <c r="L60" i="128" l="1"/>
  <c r="N60" i="128" s="1"/>
  <c r="L62" i="136" l="1"/>
  <c r="N62" i="136" s="1"/>
  <c r="L59" i="128"/>
  <c r="N59" i="128" s="1"/>
  <c r="L52" i="138" l="1"/>
  <c r="N52" i="138" s="1"/>
  <c r="L56" i="142"/>
  <c r="N56" i="142" s="1"/>
  <c r="L21" i="110"/>
  <c r="N21" i="110" s="1"/>
  <c r="L14" i="130" l="1"/>
  <c r="N14" i="130" s="1"/>
  <c r="L20" i="110"/>
  <c r="N20" i="110" s="1"/>
  <c r="L61" i="136" l="1"/>
  <c r="N61" i="136" s="1"/>
  <c r="L61" i="137"/>
  <c r="N61" i="137" s="1"/>
  <c r="L51" i="138"/>
  <c r="N51" i="138" s="1"/>
  <c r="L55" i="142"/>
  <c r="N55" i="142" s="1"/>
  <c r="Z37" i="137"/>
  <c r="AB37" i="137" s="1"/>
  <c r="K4" i="135"/>
  <c r="Z17" i="138" l="1"/>
  <c r="AB17" i="138" s="1"/>
  <c r="L30" i="111"/>
  <c r="N30" i="111" s="1"/>
  <c r="L19" i="110"/>
  <c r="L20" i="151"/>
  <c r="N20" i="151" s="1"/>
  <c r="L19" i="151"/>
  <c r="N19" i="151" s="1"/>
  <c r="L20" i="108"/>
  <c r="N20" i="108" s="1"/>
  <c r="L60" i="137"/>
  <c r="N60" i="137" s="1"/>
  <c r="L54" i="142"/>
  <c r="N54" i="142" s="1"/>
  <c r="L53" i="142"/>
  <c r="N53" i="142" s="1"/>
  <c r="S51" i="142"/>
  <c r="U51" i="142" s="1"/>
  <c r="AG17" i="142"/>
  <c r="AI17" i="142" s="1"/>
  <c r="S26" i="111"/>
  <c r="U26" i="111" s="1"/>
  <c r="L59" i="137" l="1"/>
  <c r="N59" i="137" s="1"/>
  <c r="L19" i="147"/>
  <c r="N19" i="147"/>
  <c r="S29" i="142"/>
  <c r="U29" i="142" s="1"/>
  <c r="L29" i="111" l="1"/>
  <c r="N29" i="111" s="1"/>
  <c r="L28" i="111"/>
  <c r="N28" i="111" s="1"/>
  <c r="C4" i="135"/>
  <c r="Z16" i="142"/>
  <c r="AB16" i="142" s="1"/>
  <c r="Z40" i="137" l="1"/>
  <c r="AB40" i="137" s="1"/>
  <c r="L52" i="142" l="1"/>
  <c r="N52" i="142" s="1"/>
  <c r="S46" i="142"/>
  <c r="U46" i="142" s="1"/>
  <c r="L18" i="110" l="1"/>
  <c r="N18" i="110" s="1"/>
  <c r="S23" i="142"/>
  <c r="U23" i="142" s="1"/>
  <c r="Z38" i="137"/>
  <c r="AB38" i="137" s="1"/>
  <c r="L27" i="111" l="1"/>
  <c r="N27" i="111" s="1"/>
  <c r="S14" i="149" l="1"/>
  <c r="U14" i="149" s="1"/>
  <c r="Z20" i="137" l="1"/>
  <c r="AB20" i="137" s="1"/>
  <c r="S47" i="137"/>
  <c r="U47" i="137" s="1"/>
  <c r="L26" i="111"/>
  <c r="N26" i="111" s="1"/>
  <c r="L19" i="108"/>
  <c r="N19" i="108" s="1"/>
  <c r="L50" i="138"/>
  <c r="N50" i="138" s="1"/>
  <c r="L49" i="138"/>
  <c r="N49" i="138" s="1"/>
  <c r="L57" i="128" l="1"/>
  <c r="N57" i="128" s="1"/>
  <c r="L25" i="111" l="1"/>
  <c r="N25" i="111" s="1"/>
  <c r="L40" i="127"/>
  <c r="N40" i="127" s="1"/>
  <c r="L51" i="142"/>
  <c r="N51" i="142" s="1"/>
  <c r="L18" i="151"/>
  <c r="N18" i="151" s="1"/>
  <c r="S48" i="137"/>
  <c r="U48" i="137" s="1"/>
  <c r="S54" i="137"/>
  <c r="U54" i="137" s="1"/>
  <c r="L58" i="137"/>
  <c r="N58" i="137" s="1"/>
  <c r="L24" i="111" l="1"/>
  <c r="N24" i="111" s="1"/>
  <c r="S60" i="136"/>
  <c r="U60" i="136" s="1"/>
  <c r="S59" i="136"/>
  <c r="U59" i="136" s="1"/>
  <c r="S13" i="143" l="1"/>
  <c r="U13" i="143" s="1"/>
  <c r="L23" i="111"/>
  <c r="N23" i="111" s="1"/>
  <c r="L17" i="145" l="1"/>
  <c r="N17" i="145" s="1"/>
  <c r="Z17" i="147" l="1"/>
  <c r="AB17" i="147" s="1"/>
  <c r="S37" i="137"/>
  <c r="U37" i="137" s="1"/>
  <c r="Z41" i="128"/>
  <c r="AB41" i="128" s="1"/>
  <c r="S50" i="137" l="1"/>
  <c r="U50" i="137" s="1"/>
  <c r="S28" i="142"/>
  <c r="U28" i="142" s="1"/>
  <c r="L50" i="142"/>
  <c r="N50" i="142" s="1"/>
  <c r="L56" i="128"/>
  <c r="N56" i="128" s="1"/>
  <c r="S13" i="149"/>
  <c r="U13" i="149" s="1"/>
  <c r="S12" i="147"/>
  <c r="U12" i="147" s="1"/>
  <c r="S51" i="136"/>
  <c r="U51" i="136" s="1"/>
  <c r="S45" i="142"/>
  <c r="U45" i="142" s="1"/>
  <c r="Z27" i="142"/>
  <c r="AB27" i="142" s="1"/>
  <c r="L18" i="108"/>
  <c r="N18" i="108" s="1"/>
  <c r="S41" i="142"/>
  <c r="L57" i="137"/>
  <c r="N57" i="137" s="1"/>
  <c r="L12" i="152"/>
  <c r="N12" i="152" s="1"/>
  <c r="J6" i="152"/>
  <c r="L26" i="135" s="1"/>
  <c r="I6" i="152"/>
  <c r="K26" i="135" s="1"/>
  <c r="H6" i="152"/>
  <c r="H26" i="135" s="1"/>
  <c r="G6" i="152"/>
  <c r="B26" i="135" s="1"/>
  <c r="F6" i="152"/>
  <c r="G26" i="135" s="1"/>
  <c r="E6" i="152"/>
  <c r="F26" i="135" s="1"/>
  <c r="D6" i="152"/>
  <c r="E26" i="135" s="1"/>
  <c r="C6" i="152"/>
  <c r="D26" i="135" s="1"/>
  <c r="M26" i="135" l="1"/>
  <c r="O26" i="135" s="1"/>
  <c r="N26" i="135"/>
  <c r="C8" i="152"/>
  <c r="S41" i="137" l="1"/>
  <c r="U41" i="137" s="1"/>
  <c r="L55" i="128"/>
  <c r="N55" i="128" s="1"/>
  <c r="Z12" i="146"/>
  <c r="AB12" i="146" s="1"/>
  <c r="L17" i="108" l="1"/>
  <c r="N17" i="108" s="1"/>
  <c r="L17" i="151" l="1"/>
  <c r="N17" i="151" s="1"/>
  <c r="L54" i="128"/>
  <c r="N54" i="128" s="1"/>
  <c r="L16" i="151"/>
  <c r="N16" i="151" s="1"/>
  <c r="S49" i="137"/>
  <c r="U49" i="137" s="1"/>
  <c r="L48" i="138"/>
  <c r="N48" i="138" s="1"/>
  <c r="L22" i="111" l="1"/>
  <c r="N22" i="111" s="1"/>
  <c r="L53" i="128"/>
  <c r="N53" i="128" s="1"/>
  <c r="U41" i="142"/>
  <c r="L47" i="138" l="1"/>
  <c r="N47" i="138" s="1"/>
  <c r="S36" i="137"/>
  <c r="U36" i="137" s="1"/>
  <c r="S35" i="137"/>
  <c r="U35" i="137" s="1"/>
  <c r="L56" i="137"/>
  <c r="N56" i="137" s="1"/>
  <c r="L52" i="128"/>
  <c r="N52" i="128" s="1"/>
  <c r="L51" i="128"/>
  <c r="N51" i="128" s="1"/>
  <c r="L49" i="142"/>
  <c r="N49" i="142" s="1"/>
  <c r="L16" i="108" l="1"/>
  <c r="N16" i="108" s="1"/>
  <c r="L55" i="137"/>
  <c r="N55" i="137" s="1"/>
  <c r="S46" i="137"/>
  <c r="U46" i="137" s="1"/>
  <c r="L48" i="142"/>
  <c r="N48" i="142" s="1"/>
  <c r="L16" i="145"/>
  <c r="N16" i="145" s="1"/>
  <c r="S12" i="150" l="1"/>
  <c r="U12" i="150" s="1"/>
  <c r="S30" i="142"/>
  <c r="U30" i="142" s="1"/>
  <c r="L47" i="142"/>
  <c r="N47" i="142" s="1"/>
  <c r="L32" i="125"/>
  <c r="N32" i="125" s="1"/>
  <c r="S38" i="137"/>
  <c r="U38" i="137" s="1"/>
  <c r="S40" i="137"/>
  <c r="U40" i="137" s="1"/>
  <c r="S17" i="147" l="1"/>
  <c r="U17" i="147" s="1"/>
  <c r="L46" i="138"/>
  <c r="N46" i="138" s="1"/>
  <c r="L45" i="138"/>
  <c r="N45" i="138" s="1"/>
  <c r="L46" i="142" l="1"/>
  <c r="N46" i="142" s="1"/>
  <c r="L15" i="151"/>
  <c r="N15" i="151" s="1"/>
  <c r="S16" i="147"/>
  <c r="U16" i="147" s="1"/>
  <c r="L31" i="125" l="1"/>
  <c r="N31" i="125" s="1"/>
  <c r="L54" i="137" l="1"/>
  <c r="N54" i="137" s="1"/>
  <c r="L53" i="137" l="1"/>
  <c r="N53" i="137" s="1"/>
  <c r="L52" i="137"/>
  <c r="N52" i="137" s="1"/>
  <c r="L51" i="137"/>
  <c r="N51" i="137" s="1"/>
  <c r="L50" i="137"/>
  <c r="N50" i="137" s="1"/>
  <c r="L49" i="137"/>
  <c r="N49" i="137" s="1"/>
  <c r="L45" i="142"/>
  <c r="N45" i="142" s="1"/>
  <c r="AG16" i="111"/>
  <c r="L44" i="142"/>
  <c r="N44" i="142" s="1"/>
  <c r="S36" i="138"/>
  <c r="U36" i="138" s="1"/>
  <c r="L14" i="144" l="1"/>
  <c r="N14" i="144" s="1"/>
  <c r="S12" i="148" l="1"/>
  <c r="U12" i="148" s="1"/>
  <c r="S32" i="138"/>
  <c r="U32" i="138" s="1"/>
  <c r="S34" i="137"/>
  <c r="U34" i="137" s="1"/>
  <c r="S14" i="108"/>
  <c r="U14" i="108" s="1"/>
  <c r="S40" i="138"/>
  <c r="U40" i="138" s="1"/>
  <c r="S38" i="138"/>
  <c r="U38" i="138" s="1"/>
  <c r="L48" i="137" l="1"/>
  <c r="N48" i="137" s="1"/>
  <c r="L14" i="151"/>
  <c r="N14" i="151" s="1"/>
  <c r="L58" i="136" l="1"/>
  <c r="N58" i="136" s="1"/>
  <c r="L59" i="136"/>
  <c r="N59" i="136" s="1"/>
  <c r="L60" i="136"/>
  <c r="N60" i="136" s="1"/>
  <c r="L57" i="136"/>
  <c r="N57" i="136" s="1"/>
  <c r="L43" i="142"/>
  <c r="N43" i="142" s="1"/>
  <c r="S32" i="142"/>
  <c r="U32" i="142" s="1"/>
  <c r="S16" i="142"/>
  <c r="U16" i="142" s="1"/>
  <c r="L30" i="125"/>
  <c r="N30" i="125" s="1"/>
  <c r="S13" i="125"/>
  <c r="U13" i="125" s="1"/>
  <c r="S27" i="142"/>
  <c r="U27" i="142" s="1"/>
  <c r="L18" i="147"/>
  <c r="N18" i="147" s="1"/>
  <c r="L13" i="151"/>
  <c r="N13" i="151" s="1"/>
  <c r="L15" i="145" l="1"/>
  <c r="N15" i="145" s="1"/>
  <c r="L50" i="128" l="1"/>
  <c r="N50" i="128" s="1"/>
  <c r="L13" i="143" l="1"/>
  <c r="N13" i="143" s="1"/>
  <c r="L49" i="128"/>
  <c r="N49" i="128" s="1"/>
  <c r="S34" i="138"/>
  <c r="U34" i="138" s="1"/>
  <c r="L47" i="137"/>
  <c r="N47" i="137" s="1"/>
  <c r="L48" i="128"/>
  <c r="N48" i="128" s="1"/>
  <c r="L47" i="128" l="1"/>
  <c r="N47" i="128" s="1"/>
  <c r="L15" i="108"/>
  <c r="N15" i="108" s="1"/>
  <c r="L43" i="138"/>
  <c r="N43" i="138" s="1"/>
  <c r="L44" i="138"/>
  <c r="N44" i="138" s="1"/>
  <c r="L42" i="138"/>
  <c r="N42" i="138" s="1"/>
  <c r="S31" i="142"/>
  <c r="U31" i="142" s="1"/>
  <c r="L13" i="141" l="1"/>
  <c r="N13" i="141" s="1"/>
  <c r="L12" i="151"/>
  <c r="N12" i="151" s="1"/>
  <c r="S41" i="128"/>
  <c r="U41" i="128" s="1"/>
  <c r="L39" i="127"/>
  <c r="N39" i="127" s="1"/>
  <c r="S21" i="111" l="1"/>
  <c r="U21" i="111" s="1"/>
  <c r="S31" i="137"/>
  <c r="U31" i="137" s="1"/>
  <c r="L42" i="142"/>
  <c r="N42" i="142" s="1"/>
  <c r="L56" i="136" l="1"/>
  <c r="N56" i="136" s="1"/>
  <c r="L41" i="142"/>
  <c r="N41" i="142" s="1"/>
  <c r="L14" i="149"/>
  <c r="N14" i="149" s="1"/>
  <c r="L46" i="137"/>
  <c r="N46" i="137" s="1"/>
  <c r="L16" i="147"/>
  <c r="N16" i="147" s="1"/>
  <c r="L17" i="147"/>
  <c r="N17" i="147" s="1"/>
  <c r="Z17" i="142"/>
  <c r="AB17" i="142" s="1"/>
  <c r="L55" i="136"/>
  <c r="N55" i="136" s="1"/>
  <c r="L40" i="142"/>
  <c r="N40" i="142" s="1"/>
  <c r="L17" i="110"/>
  <c r="N17" i="110" s="1"/>
  <c r="Z21" i="132"/>
  <c r="AB21" i="132" s="1"/>
  <c r="L39" i="142"/>
  <c r="N39" i="142" s="1"/>
  <c r="L38" i="142"/>
  <c r="N38" i="142" s="1"/>
  <c r="L45" i="137"/>
  <c r="N45" i="137" s="1"/>
  <c r="L44" i="137"/>
  <c r="N44" i="137" s="1"/>
  <c r="L41" i="138"/>
  <c r="N41" i="138" s="1"/>
  <c r="L46" i="128"/>
  <c r="N46" i="128" s="1"/>
  <c r="S22" i="132"/>
  <c r="U22" i="132" s="1"/>
  <c r="S12" i="145"/>
  <c r="U12" i="145" s="1"/>
  <c r="S12" i="146"/>
  <c r="U12" i="146" s="1"/>
  <c r="L37" i="142" l="1"/>
  <c r="N37" i="142" s="1"/>
  <c r="L13" i="149" l="1"/>
  <c r="N13" i="149" s="1"/>
  <c r="S24" i="137"/>
  <c r="U24" i="137" s="1"/>
  <c r="L45" i="128"/>
  <c r="N45" i="128" s="1"/>
  <c r="S13" i="147" l="1"/>
  <c r="U13" i="147" s="1"/>
  <c r="L13" i="147"/>
  <c r="N13" i="147" s="1"/>
  <c r="L36" i="142"/>
  <c r="N36" i="142" s="1"/>
  <c r="L35" i="142"/>
  <c r="N35" i="142" s="1"/>
  <c r="L14" i="145" l="1"/>
  <c r="N14" i="145" s="1"/>
  <c r="L14" i="108"/>
  <c r="N14" i="108" s="1"/>
  <c r="L34" i="142"/>
  <c r="N34" i="142" s="1"/>
  <c r="L43" i="137"/>
  <c r="N43" i="137" s="1"/>
  <c r="S12" i="108"/>
  <c r="U12" i="108" s="1"/>
  <c r="L42" i="137"/>
  <c r="N42" i="137" s="1"/>
  <c r="L41" i="137"/>
  <c r="N41" i="137" s="1"/>
  <c r="L40" i="137"/>
  <c r="N40" i="137" s="1"/>
  <c r="S53" i="136"/>
  <c r="U53" i="136" s="1"/>
  <c r="L33" i="142" l="1"/>
  <c r="N33" i="142" s="1"/>
  <c r="S14" i="142"/>
  <c r="U14" i="142" s="1"/>
  <c r="L38" i="127"/>
  <c r="N38" i="127" s="1"/>
  <c r="L29" i="125" l="1"/>
  <c r="N29" i="125" s="1"/>
  <c r="L44" i="128"/>
  <c r="N44" i="128" s="1"/>
  <c r="Z20" i="111"/>
  <c r="AB20" i="111" s="1"/>
  <c r="L32" i="142"/>
  <c r="N32" i="142" s="1"/>
  <c r="L40" i="138" l="1"/>
  <c r="N40" i="138" s="1"/>
  <c r="L12" i="150" l="1"/>
  <c r="N12" i="150" s="1"/>
  <c r="J6" i="150"/>
  <c r="L37" i="135" s="1"/>
  <c r="I6" i="150"/>
  <c r="K37" i="135" s="1"/>
  <c r="H6" i="150"/>
  <c r="H37" i="135" s="1"/>
  <c r="G6" i="150"/>
  <c r="B37" i="135" s="1"/>
  <c r="F6" i="150"/>
  <c r="G37" i="135" s="1"/>
  <c r="E6" i="150"/>
  <c r="F37" i="135" s="1"/>
  <c r="D6" i="150"/>
  <c r="E37" i="135" s="1"/>
  <c r="C6" i="150"/>
  <c r="D37" i="135" s="1"/>
  <c r="B6" i="150"/>
  <c r="C37" i="135" s="1"/>
  <c r="L31" i="142"/>
  <c r="N31" i="142" s="1"/>
  <c r="L37" i="127"/>
  <c r="N37" i="127" s="1"/>
  <c r="L43" i="128"/>
  <c r="N43" i="128" s="1"/>
  <c r="L49" i="136"/>
  <c r="M37" i="135" l="1"/>
  <c r="O37" i="135" s="1"/>
  <c r="N37" i="135"/>
  <c r="C8" i="150"/>
  <c r="L39" i="137"/>
  <c r="N39" i="137" s="1"/>
  <c r="L38" i="137"/>
  <c r="N38" i="137" s="1"/>
  <c r="L37" i="137"/>
  <c r="N37" i="137" s="1"/>
  <c r="L36" i="137"/>
  <c r="N36" i="137" s="1"/>
  <c r="L35" i="137"/>
  <c r="N35" i="137" s="1"/>
  <c r="L34" i="137"/>
  <c r="N34" i="137" s="1"/>
  <c r="L33" i="137"/>
  <c r="N33" i="137" s="1"/>
  <c r="S19" i="137"/>
  <c r="U19" i="137" s="1"/>
  <c r="S20" i="137"/>
  <c r="U20" i="137" s="1"/>
  <c r="L38" i="138"/>
  <c r="N38" i="138" s="1"/>
  <c r="L30" i="142"/>
  <c r="N30" i="142" s="1"/>
  <c r="L53" i="136"/>
  <c r="N53" i="136" s="1"/>
  <c r="S17" i="142" l="1"/>
  <c r="U17" i="142" s="1"/>
  <c r="S29" i="138"/>
  <c r="U29" i="138" s="1"/>
  <c r="L42" i="128"/>
  <c r="N42" i="128" s="1"/>
  <c r="L37" i="138" l="1"/>
  <c r="N37" i="138" s="1"/>
  <c r="L36" i="138"/>
  <c r="N36" i="138" s="1"/>
  <c r="L35" i="138"/>
  <c r="N35" i="138" s="1"/>
  <c r="L52" i="136"/>
  <c r="N52" i="136" s="1"/>
  <c r="L28" i="142"/>
  <c r="N28" i="142" s="1"/>
  <c r="L29" i="142"/>
  <c r="N29" i="142" s="1"/>
  <c r="L15" i="147"/>
  <c r="N15" i="147" s="1"/>
  <c r="L14" i="147"/>
  <c r="N14" i="147" s="1"/>
  <c r="L27" i="142"/>
  <c r="N27" i="142" s="1"/>
  <c r="L26" i="142"/>
  <c r="N26" i="142" s="1"/>
  <c r="L51" i="136"/>
  <c r="N51" i="136" s="1"/>
  <c r="Z14" i="111"/>
  <c r="AB14" i="111" s="1"/>
  <c r="L13" i="145"/>
  <c r="N13" i="145" s="1"/>
  <c r="L21" i="111"/>
  <c r="N21" i="111" s="1"/>
  <c r="L41" i="128"/>
  <c r="N41" i="128" s="1"/>
  <c r="L34" i="138" l="1"/>
  <c r="N34" i="138" s="1"/>
  <c r="L33" i="138"/>
  <c r="N33" i="138" s="1"/>
  <c r="L24" i="142"/>
  <c r="N24" i="142" s="1"/>
  <c r="L25" i="142"/>
  <c r="N25" i="142" s="1"/>
  <c r="L12" i="149"/>
  <c r="N12" i="149" s="1"/>
  <c r="L36" i="127"/>
  <c r="N36" i="127" s="1"/>
  <c r="L40" i="128"/>
  <c r="N40" i="128" s="1"/>
  <c r="L30" i="138" l="1"/>
  <c r="N30" i="138" s="1"/>
  <c r="L31" i="138"/>
  <c r="N31" i="138" s="1"/>
  <c r="L32" i="138"/>
  <c r="N32" i="138" s="1"/>
  <c r="L12" i="148" l="1"/>
  <c r="N12" i="148" s="1"/>
  <c r="L30" i="135"/>
  <c r="I6" i="148"/>
  <c r="H30" i="135"/>
  <c r="B30" i="135"/>
  <c r="G30" i="135"/>
  <c r="F30" i="135"/>
  <c r="E30" i="135"/>
  <c r="D30" i="135"/>
  <c r="C30" i="135"/>
  <c r="L29" i="137"/>
  <c r="N29" i="137" s="1"/>
  <c r="L30" i="137"/>
  <c r="N30" i="137" s="1"/>
  <c r="L31" i="137"/>
  <c r="N31" i="137" s="1"/>
  <c r="L32" i="137"/>
  <c r="N32" i="137" s="1"/>
  <c r="L28" i="137"/>
  <c r="N28" i="137" s="1"/>
  <c r="L48" i="136"/>
  <c r="N48" i="136" s="1"/>
  <c r="N49" i="136"/>
  <c r="L50" i="136"/>
  <c r="N50" i="136" s="1"/>
  <c r="L39" i="128"/>
  <c r="N39" i="128" s="1"/>
  <c r="K30" i="135" l="1"/>
  <c r="N30" i="135"/>
  <c r="M30" i="135"/>
  <c r="O30" i="135" s="1"/>
  <c r="S17" i="127"/>
  <c r="U17" i="127" s="1"/>
  <c r="L13" i="144"/>
  <c r="N13" i="144" s="1"/>
  <c r="S20" i="138" l="1"/>
  <c r="U20" i="138" s="1"/>
  <c r="L38" i="128"/>
  <c r="N38" i="128" s="1"/>
  <c r="L13" i="131"/>
  <c r="N13" i="131" s="1"/>
  <c r="L26" i="137"/>
  <c r="N26" i="137" s="1"/>
  <c r="L27" i="137"/>
  <c r="N27" i="137" s="1"/>
  <c r="L35" i="127"/>
  <c r="N35" i="127" s="1"/>
  <c r="L12" i="147"/>
  <c r="N12" i="147" s="1"/>
  <c r="H6" i="147"/>
  <c r="H13" i="135" s="1"/>
  <c r="G6" i="147"/>
  <c r="B13" i="135" s="1"/>
  <c r="F6" i="147"/>
  <c r="G13" i="135" s="1"/>
  <c r="E6" i="147"/>
  <c r="F13" i="135" s="1"/>
  <c r="D6" i="147"/>
  <c r="E13" i="135" s="1"/>
  <c r="C6" i="147"/>
  <c r="D13" i="135" s="1"/>
  <c r="B6" i="147"/>
  <c r="C13" i="135" s="1"/>
  <c r="U17" i="138"/>
  <c r="M13" i="135" l="1"/>
  <c r="O13" i="135" s="1"/>
  <c r="C8" i="147"/>
  <c r="S21" i="132"/>
  <c r="U21" i="132" s="1"/>
  <c r="N13" i="135" l="1"/>
  <c r="L34" i="127"/>
  <c r="N34" i="127" s="1"/>
  <c r="L29" i="138"/>
  <c r="L12" i="146"/>
  <c r="N12" i="146" s="1"/>
  <c r="J6" i="146"/>
  <c r="L25" i="135" s="1"/>
  <c r="I6" i="146"/>
  <c r="K25" i="135" s="1"/>
  <c r="H6" i="146"/>
  <c r="H25" i="135" s="1"/>
  <c r="G6" i="146"/>
  <c r="B25" i="135" s="1"/>
  <c r="F6" i="146"/>
  <c r="G25" i="135" s="1"/>
  <c r="E6" i="146"/>
  <c r="F25" i="135" s="1"/>
  <c r="D6" i="146"/>
  <c r="E25" i="135" s="1"/>
  <c r="C6" i="146"/>
  <c r="D25" i="135" s="1"/>
  <c r="B6" i="146"/>
  <c r="C25" i="135" s="1"/>
  <c r="L23" i="142"/>
  <c r="N23" i="142" s="1"/>
  <c r="L47" i="136"/>
  <c r="N25" i="135" l="1"/>
  <c r="M25" i="135"/>
  <c r="O25" i="135" s="1"/>
  <c r="C8" i="146"/>
  <c r="Z40" i="136"/>
  <c r="AB40" i="136" s="1"/>
  <c r="L37" i="128"/>
  <c r="N37" i="128" s="1"/>
  <c r="L22" i="142" l="1"/>
  <c r="N22" i="142" s="1"/>
  <c r="L33" i="127"/>
  <c r="N33" i="127" s="1"/>
  <c r="L16" i="110"/>
  <c r="N16" i="110" s="1"/>
  <c r="S12" i="104" l="1"/>
  <c r="U12" i="104" s="1"/>
  <c r="L36" i="128"/>
  <c r="N36" i="128" s="1"/>
  <c r="L20" i="132" l="1"/>
  <c r="N20" i="132" s="1"/>
  <c r="L21" i="132"/>
  <c r="N21" i="132" s="1"/>
  <c r="L32" i="127"/>
  <c r="N32" i="127" s="1"/>
  <c r="S40" i="136"/>
  <c r="U40" i="136" s="1"/>
  <c r="L35" i="128" l="1"/>
  <c r="N35" i="128" s="1"/>
  <c r="L25" i="137"/>
  <c r="N25" i="137" s="1"/>
  <c r="S20" i="111" l="1"/>
  <c r="U20" i="111" s="1"/>
  <c r="L13" i="108" l="1"/>
  <c r="N13" i="108" s="1"/>
  <c r="L12" i="108"/>
  <c r="N12" i="108" s="1"/>
  <c r="L12" i="143"/>
  <c r="N12" i="143" s="1"/>
  <c r="L13" i="142"/>
  <c r="N13" i="142" s="1"/>
  <c r="L14" i="142"/>
  <c r="N14" i="142" s="1"/>
  <c r="L15" i="142"/>
  <c r="N15" i="142" s="1"/>
  <c r="L16" i="142"/>
  <c r="N16" i="142" s="1"/>
  <c r="L17" i="142"/>
  <c r="N17" i="142" s="1"/>
  <c r="L18" i="142"/>
  <c r="N18" i="142" s="1"/>
  <c r="L19" i="142"/>
  <c r="N19" i="142" s="1"/>
  <c r="L20" i="142"/>
  <c r="N20" i="142" s="1"/>
  <c r="L21" i="142"/>
  <c r="N21" i="142" s="1"/>
  <c r="L12" i="142"/>
  <c r="N12" i="142" s="1"/>
  <c r="S12" i="137"/>
  <c r="U12" i="137" s="1"/>
  <c r="L13" i="137"/>
  <c r="N13" i="137" s="1"/>
  <c r="L14" i="137"/>
  <c r="N14" i="137" s="1"/>
  <c r="L15" i="137"/>
  <c r="N15" i="137" s="1"/>
  <c r="L16" i="137"/>
  <c r="N16" i="137" s="1"/>
  <c r="L17" i="137"/>
  <c r="N17" i="137" s="1"/>
  <c r="L18" i="137"/>
  <c r="N18" i="137" s="1"/>
  <c r="L19" i="137"/>
  <c r="N19" i="137" s="1"/>
  <c r="L20" i="137"/>
  <c r="N20" i="137" s="1"/>
  <c r="L21" i="137"/>
  <c r="N21" i="137" s="1"/>
  <c r="L22" i="137"/>
  <c r="N22" i="137" s="1"/>
  <c r="L23" i="137"/>
  <c r="N23" i="137" s="1"/>
  <c r="L24" i="137"/>
  <c r="N24" i="137" s="1"/>
  <c r="L12" i="137"/>
  <c r="N12" i="137" s="1"/>
  <c r="L12" i="104"/>
  <c r="N12" i="104" s="1"/>
  <c r="Z12" i="132"/>
  <c r="AB12" i="132" s="1"/>
  <c r="S13" i="132"/>
  <c r="U13" i="132" s="1"/>
  <c r="S14" i="132"/>
  <c r="U14" i="132" s="1"/>
  <c r="S12" i="132"/>
  <c r="U12" i="132" s="1"/>
  <c r="L13" i="132"/>
  <c r="N13" i="132" s="1"/>
  <c r="L14" i="132"/>
  <c r="N14" i="132" s="1"/>
  <c r="L22" i="132"/>
  <c r="N22" i="132" s="1"/>
  <c r="L12" i="132"/>
  <c r="N12" i="132" s="1"/>
  <c r="L13" i="130"/>
  <c r="N13" i="130" s="1"/>
  <c r="L12" i="131"/>
  <c r="N12" i="131" s="1"/>
  <c r="AG12" i="111"/>
  <c r="AI12" i="111" s="1"/>
  <c r="Z16" i="111"/>
  <c r="AB16" i="111" s="1"/>
  <c r="Z17" i="111"/>
  <c r="AB17" i="111" s="1"/>
  <c r="Z12" i="111"/>
  <c r="AB12" i="111" s="1"/>
  <c r="S14" i="111"/>
  <c r="U14" i="111" s="1"/>
  <c r="S15" i="111"/>
  <c r="U15" i="111" s="1"/>
  <c r="S16" i="111"/>
  <c r="U16" i="111" s="1"/>
  <c r="S17" i="111"/>
  <c r="U17" i="111" s="1"/>
  <c r="S18" i="111"/>
  <c r="U18" i="111" s="1"/>
  <c r="S19" i="111"/>
  <c r="U19" i="111" s="1"/>
  <c r="S12" i="111"/>
  <c r="U12" i="111" s="1"/>
  <c r="L13" i="111"/>
  <c r="N13" i="111" s="1"/>
  <c r="L14" i="111"/>
  <c r="N14" i="111" s="1"/>
  <c r="L15" i="111"/>
  <c r="N15" i="111" s="1"/>
  <c r="L16" i="111"/>
  <c r="N16" i="111" s="1"/>
  <c r="L17" i="111"/>
  <c r="N17" i="111" s="1"/>
  <c r="L18" i="111"/>
  <c r="N18" i="111" s="1"/>
  <c r="L19" i="111"/>
  <c r="N19" i="111" s="1"/>
  <c r="L20" i="111"/>
  <c r="N20" i="111" s="1"/>
  <c r="L12" i="111"/>
  <c r="N12" i="111" s="1"/>
  <c r="L12" i="145"/>
  <c r="N12" i="145" s="1"/>
  <c r="L30" i="127"/>
  <c r="N30" i="127" s="1"/>
  <c r="L31" i="127"/>
  <c r="N31" i="127" s="1"/>
  <c r="J6" i="145"/>
  <c r="L41" i="135" s="1"/>
  <c r="I6" i="145"/>
  <c r="K41" i="135" s="1"/>
  <c r="H6" i="145"/>
  <c r="H41" i="135" s="1"/>
  <c r="F6" i="145"/>
  <c r="G41" i="135" s="1"/>
  <c r="E6" i="145"/>
  <c r="F41" i="135" s="1"/>
  <c r="D6" i="145"/>
  <c r="E41" i="135" s="1"/>
  <c r="C6" i="145"/>
  <c r="D41" i="135" s="1"/>
  <c r="B6" i="145"/>
  <c r="C41" i="135" s="1"/>
  <c r="L12" i="144"/>
  <c r="N12" i="144" s="1"/>
  <c r="L12" i="141"/>
  <c r="N12" i="141" s="1"/>
  <c r="L13" i="129"/>
  <c r="N13" i="129" s="1"/>
  <c r="S15" i="125"/>
  <c r="U15" i="125" s="1"/>
  <c r="L13" i="125"/>
  <c r="N13" i="125" s="1"/>
  <c r="L14" i="125"/>
  <c r="N14" i="125" s="1"/>
  <c r="L15" i="125"/>
  <c r="N15" i="125" s="1"/>
  <c r="L16" i="125"/>
  <c r="N16" i="125" s="1"/>
  <c r="L17" i="125"/>
  <c r="N17" i="125" s="1"/>
  <c r="L18" i="125"/>
  <c r="N18" i="125" s="1"/>
  <c r="L19" i="125"/>
  <c r="N19" i="125" s="1"/>
  <c r="L20" i="125"/>
  <c r="N20" i="125" s="1"/>
  <c r="L21" i="125"/>
  <c r="N21" i="125" s="1"/>
  <c r="L22" i="125"/>
  <c r="N22" i="125" s="1"/>
  <c r="L23" i="125"/>
  <c r="N23" i="125" s="1"/>
  <c r="L24" i="125"/>
  <c r="N24" i="125" s="1"/>
  <c r="L25" i="125"/>
  <c r="N25" i="125" s="1"/>
  <c r="L26" i="125"/>
  <c r="N26" i="125" s="1"/>
  <c r="L27" i="125"/>
  <c r="N27" i="125" s="1"/>
  <c r="L28" i="125"/>
  <c r="N28" i="125" s="1"/>
  <c r="L12" i="125"/>
  <c r="N12" i="125" s="1"/>
  <c r="L12" i="126"/>
  <c r="N12" i="126" s="1"/>
  <c r="L13" i="128"/>
  <c r="N13" i="128" s="1"/>
  <c r="L14" i="128"/>
  <c r="N14" i="128" s="1"/>
  <c r="L15" i="128"/>
  <c r="N15" i="128" s="1"/>
  <c r="L16" i="128"/>
  <c r="N16" i="128" s="1"/>
  <c r="L17" i="128"/>
  <c r="N17" i="128" s="1"/>
  <c r="L18" i="128"/>
  <c r="N18" i="128" s="1"/>
  <c r="L19" i="128"/>
  <c r="N19" i="128" s="1"/>
  <c r="L20" i="128"/>
  <c r="N20" i="128" s="1"/>
  <c r="L21" i="128"/>
  <c r="N21" i="128" s="1"/>
  <c r="L22" i="128"/>
  <c r="N22" i="128" s="1"/>
  <c r="L23" i="128"/>
  <c r="N23" i="128" s="1"/>
  <c r="L24" i="128"/>
  <c r="N24" i="128" s="1"/>
  <c r="L25" i="128"/>
  <c r="N25" i="128" s="1"/>
  <c r="L26" i="128"/>
  <c r="N26" i="128" s="1"/>
  <c r="L27" i="128"/>
  <c r="N27" i="128" s="1"/>
  <c r="L28" i="128"/>
  <c r="N28" i="128" s="1"/>
  <c r="L29" i="128"/>
  <c r="N29" i="128" s="1"/>
  <c r="L30" i="128"/>
  <c r="N30" i="128" s="1"/>
  <c r="L31" i="128"/>
  <c r="N31" i="128" s="1"/>
  <c r="L32" i="128"/>
  <c r="N32" i="128" s="1"/>
  <c r="L33" i="128"/>
  <c r="N33" i="128" s="1"/>
  <c r="L34" i="128"/>
  <c r="N34" i="128" s="1"/>
  <c r="L12" i="128"/>
  <c r="N12" i="128" s="1"/>
  <c r="L13" i="110"/>
  <c r="N13" i="110" s="1"/>
  <c r="L14" i="110"/>
  <c r="N14" i="110" s="1"/>
  <c r="L15" i="110"/>
  <c r="N15" i="110" s="1"/>
  <c r="L12" i="110"/>
  <c r="N12" i="110" s="1"/>
  <c r="M41" i="135" l="1"/>
  <c r="O41" i="135" s="1"/>
  <c r="N41" i="135"/>
  <c r="C8" i="145"/>
  <c r="N47" i="136"/>
  <c r="L13" i="136"/>
  <c r="N13" i="136" s="1"/>
  <c r="L14" i="136"/>
  <c r="N14" i="136" s="1"/>
  <c r="L15" i="136"/>
  <c r="N15" i="136" s="1"/>
  <c r="L16" i="136"/>
  <c r="N16" i="136" s="1"/>
  <c r="L17" i="136"/>
  <c r="N17" i="136" s="1"/>
  <c r="L18" i="136"/>
  <c r="N18" i="136" s="1"/>
  <c r="L19" i="136"/>
  <c r="N19" i="136" s="1"/>
  <c r="L20" i="136"/>
  <c r="N20" i="136" s="1"/>
  <c r="L21" i="136"/>
  <c r="N21" i="136" s="1"/>
  <c r="L22" i="136"/>
  <c r="N22" i="136" s="1"/>
  <c r="L23" i="136"/>
  <c r="N23" i="136" s="1"/>
  <c r="L24" i="136"/>
  <c r="N24" i="136" s="1"/>
  <c r="L25" i="136"/>
  <c r="N25" i="136" s="1"/>
  <c r="L26" i="136"/>
  <c r="N26" i="136" s="1"/>
  <c r="L27" i="136"/>
  <c r="N27" i="136" s="1"/>
  <c r="L28" i="136"/>
  <c r="N28" i="136" s="1"/>
  <c r="L29" i="136"/>
  <c r="N29" i="136" s="1"/>
  <c r="L30" i="136"/>
  <c r="N30" i="136" s="1"/>
  <c r="L31" i="136"/>
  <c r="N31" i="136" s="1"/>
  <c r="L32" i="136"/>
  <c r="N32" i="136" s="1"/>
  <c r="L33" i="136"/>
  <c r="N33" i="136" s="1"/>
  <c r="L34" i="136"/>
  <c r="N34" i="136" s="1"/>
  <c r="L35" i="136"/>
  <c r="N35" i="136" s="1"/>
  <c r="L36" i="136"/>
  <c r="N36" i="136" s="1"/>
  <c r="L37" i="136"/>
  <c r="N37" i="136" s="1"/>
  <c r="L38" i="136"/>
  <c r="N38" i="136" s="1"/>
  <c r="L39" i="136"/>
  <c r="N39" i="136" s="1"/>
  <c r="L40" i="136"/>
  <c r="N40" i="136" s="1"/>
  <c r="L41" i="136"/>
  <c r="N41" i="136" s="1"/>
  <c r="L42" i="136"/>
  <c r="N42" i="136" s="1"/>
  <c r="L43" i="136"/>
  <c r="N43" i="136" s="1"/>
  <c r="L44" i="136"/>
  <c r="N44" i="136" s="1"/>
  <c r="L45" i="136"/>
  <c r="N45" i="136" s="1"/>
  <c r="L46" i="136"/>
  <c r="N46" i="136" s="1"/>
  <c r="N29" i="138"/>
  <c r="L13" i="138"/>
  <c r="N13" i="138" s="1"/>
  <c r="L14" i="138"/>
  <c r="N14" i="138" s="1"/>
  <c r="L15" i="138"/>
  <c r="N15" i="138" s="1"/>
  <c r="L16" i="138"/>
  <c r="N16" i="138" s="1"/>
  <c r="L17" i="138"/>
  <c r="N17" i="138" s="1"/>
  <c r="L18" i="138"/>
  <c r="N18" i="138" s="1"/>
  <c r="L19" i="138"/>
  <c r="N19" i="138" s="1"/>
  <c r="L20" i="138"/>
  <c r="N20" i="138" s="1"/>
  <c r="L21" i="138"/>
  <c r="N21" i="138" s="1"/>
  <c r="L22" i="138"/>
  <c r="N22" i="138" s="1"/>
  <c r="L23" i="138"/>
  <c r="N23" i="138" s="1"/>
  <c r="L24" i="138"/>
  <c r="N24" i="138" s="1"/>
  <c r="L25" i="138"/>
  <c r="N25" i="138" s="1"/>
  <c r="L26" i="138"/>
  <c r="N26" i="138" s="1"/>
  <c r="L27" i="138"/>
  <c r="N27" i="138" s="1"/>
  <c r="L28" i="138"/>
  <c r="N28" i="138" s="1"/>
  <c r="L12" i="138"/>
  <c r="N12" i="138" s="1"/>
  <c r="S22" i="127"/>
  <c r="U22" i="127" s="1"/>
  <c r="L29" i="127"/>
  <c r="N29" i="127" s="1"/>
  <c r="L13" i="127"/>
  <c r="N13" i="127" s="1"/>
  <c r="L14" i="127"/>
  <c r="N14" i="127" s="1"/>
  <c r="L15" i="127"/>
  <c r="N15" i="127" s="1"/>
  <c r="L16" i="127"/>
  <c r="N16" i="127" s="1"/>
  <c r="L17" i="127"/>
  <c r="N17" i="127" s="1"/>
  <c r="L18" i="127"/>
  <c r="N18" i="127" s="1"/>
  <c r="L19" i="127"/>
  <c r="N19" i="127" s="1"/>
  <c r="L20" i="127"/>
  <c r="N20" i="127" s="1"/>
  <c r="L21" i="127"/>
  <c r="N21" i="127" s="1"/>
  <c r="L22" i="127"/>
  <c r="N22" i="127" s="1"/>
  <c r="L23" i="127"/>
  <c r="N23" i="127" s="1"/>
  <c r="L24" i="127"/>
  <c r="N24" i="127" s="1"/>
  <c r="L25" i="127"/>
  <c r="N25" i="127" s="1"/>
  <c r="L26" i="127"/>
  <c r="N26" i="127" s="1"/>
  <c r="L27" i="127"/>
  <c r="N27" i="127" s="1"/>
  <c r="L28" i="127"/>
  <c r="N28" i="127" s="1"/>
  <c r="L12" i="127"/>
  <c r="N12" i="127" s="1"/>
  <c r="J6" i="144"/>
  <c r="L22" i="135" s="1"/>
  <c r="I6" i="144"/>
  <c r="K22" i="135" s="1"/>
  <c r="H6" i="144"/>
  <c r="H22" i="135" s="1"/>
  <c r="G6" i="144"/>
  <c r="B22" i="135" s="1"/>
  <c r="F6" i="144"/>
  <c r="G22" i="135" s="1"/>
  <c r="E6" i="144"/>
  <c r="F22" i="135" s="1"/>
  <c r="D6" i="144"/>
  <c r="E22" i="135" s="1"/>
  <c r="C6" i="144"/>
  <c r="D22" i="135" s="1"/>
  <c r="B6" i="144"/>
  <c r="C22" i="135" s="1"/>
  <c r="M22" i="135" l="1"/>
  <c r="O22" i="135" s="1"/>
  <c r="N22" i="135"/>
  <c r="C8" i="144"/>
  <c r="J6" i="130"/>
  <c r="L34" i="135" s="1"/>
  <c r="H6" i="143"/>
  <c r="H9" i="135" s="1"/>
  <c r="J6" i="104"/>
  <c r="L39" i="135" s="1"/>
  <c r="I6" i="104"/>
  <c r="K39" i="135" s="1"/>
  <c r="H6" i="104"/>
  <c r="H39" i="135" s="1"/>
  <c r="G6" i="104"/>
  <c r="B39" i="135" s="1"/>
  <c r="F6" i="104"/>
  <c r="G39" i="135" s="1"/>
  <c r="E6" i="104"/>
  <c r="F39" i="135" s="1"/>
  <c r="D6" i="104"/>
  <c r="E39" i="135" s="1"/>
  <c r="C6" i="104"/>
  <c r="D39" i="135" s="1"/>
  <c r="B6" i="104"/>
  <c r="C39" i="135" s="1"/>
  <c r="C45" i="135" s="1"/>
  <c r="L36" i="135"/>
  <c r="I6" i="132"/>
  <c r="K36" i="135" s="1"/>
  <c r="H6" i="132"/>
  <c r="H36" i="135" s="1"/>
  <c r="F6" i="132"/>
  <c r="G36" i="135" s="1"/>
  <c r="E6" i="132"/>
  <c r="F36" i="135" s="1"/>
  <c r="D6" i="132"/>
  <c r="E36" i="135" s="1"/>
  <c r="C6" i="132"/>
  <c r="I6" i="130"/>
  <c r="K34" i="135" s="1"/>
  <c r="H6" i="130"/>
  <c r="H34" i="135" s="1"/>
  <c r="G6" i="130"/>
  <c r="B34" i="135" s="1"/>
  <c r="F6" i="130"/>
  <c r="G34" i="135" s="1"/>
  <c r="E6" i="130"/>
  <c r="F34" i="135" s="1"/>
  <c r="D6" i="130"/>
  <c r="E34" i="135" s="1"/>
  <c r="C6" i="130"/>
  <c r="D34" i="135" s="1"/>
  <c r="B6" i="130"/>
  <c r="J6" i="140"/>
  <c r="L32" i="135" s="1"/>
  <c r="I6" i="140"/>
  <c r="K32" i="135" s="1"/>
  <c r="H6" i="140"/>
  <c r="H32" i="135" s="1"/>
  <c r="G6" i="140"/>
  <c r="B32" i="135" s="1"/>
  <c r="F6" i="140"/>
  <c r="G32" i="135" s="1"/>
  <c r="E6" i="140"/>
  <c r="F32" i="135" s="1"/>
  <c r="D6" i="140"/>
  <c r="E32" i="135" s="1"/>
  <c r="C6" i="140"/>
  <c r="D32" i="135" s="1"/>
  <c r="B6" i="140"/>
  <c r="L27" i="135"/>
  <c r="I6" i="131"/>
  <c r="K27" i="135" s="1"/>
  <c r="H6" i="131"/>
  <c r="H27" i="135" s="1"/>
  <c r="G6" i="131"/>
  <c r="B27" i="135" s="1"/>
  <c r="F6" i="131"/>
  <c r="G27" i="135" s="1"/>
  <c r="E6" i="131"/>
  <c r="F27" i="135" s="1"/>
  <c r="D6" i="131"/>
  <c r="E27" i="135" s="1"/>
  <c r="C6" i="131"/>
  <c r="D27" i="135" s="1"/>
  <c r="B6" i="131"/>
  <c r="L24" i="135"/>
  <c r="I6" i="111"/>
  <c r="K24" i="135" s="1"/>
  <c r="H6" i="111"/>
  <c r="H24" i="135" s="1"/>
  <c r="G6" i="111"/>
  <c r="B24" i="135" s="1"/>
  <c r="F6" i="111"/>
  <c r="G24" i="135" s="1"/>
  <c r="I6" i="141"/>
  <c r="K21" i="135" s="1"/>
  <c r="H6" i="141"/>
  <c r="H21" i="135" s="1"/>
  <c r="G6" i="141"/>
  <c r="B21" i="135" s="1"/>
  <c r="F6" i="141"/>
  <c r="G21" i="135" s="1"/>
  <c r="E6" i="141"/>
  <c r="F21" i="135" s="1"/>
  <c r="D6" i="141"/>
  <c r="E21" i="135" s="1"/>
  <c r="C6" i="141"/>
  <c r="D21" i="135" s="1"/>
  <c r="B6" i="141"/>
  <c r="C21" i="135" s="1"/>
  <c r="J6" i="129"/>
  <c r="L20" i="135" s="1"/>
  <c r="I6" i="129"/>
  <c r="K20" i="135" s="1"/>
  <c r="H6" i="129"/>
  <c r="H20" i="135" s="1"/>
  <c r="G6" i="129"/>
  <c r="B20" i="135" s="1"/>
  <c r="F6" i="129"/>
  <c r="G20" i="135" s="1"/>
  <c r="E6" i="129"/>
  <c r="F20" i="135" s="1"/>
  <c r="B6" i="129"/>
  <c r="C20" i="135" s="1"/>
  <c r="J6" i="125"/>
  <c r="L19" i="135" s="1"/>
  <c r="I6" i="125"/>
  <c r="K19" i="135" s="1"/>
  <c r="G6" i="125"/>
  <c r="B19" i="135" s="1"/>
  <c r="F6" i="125"/>
  <c r="E6" i="125"/>
  <c r="F19" i="135" s="1"/>
  <c r="J6" i="126"/>
  <c r="L18" i="135" s="1"/>
  <c r="I6" i="126"/>
  <c r="K18" i="135" s="1"/>
  <c r="H6" i="126"/>
  <c r="H18" i="135" s="1"/>
  <c r="F6" i="126"/>
  <c r="G18" i="135" s="1"/>
  <c r="E6" i="126"/>
  <c r="F18" i="135" s="1"/>
  <c r="F6" i="127"/>
  <c r="G16" i="135" s="1"/>
  <c r="D6" i="127"/>
  <c r="E16" i="135" s="1"/>
  <c r="C6" i="127"/>
  <c r="L17" i="135"/>
  <c r="K17" i="135"/>
  <c r="H17" i="135"/>
  <c r="B17" i="135"/>
  <c r="G17" i="135"/>
  <c r="F17" i="135"/>
  <c r="E17" i="135"/>
  <c r="D17" i="135"/>
  <c r="L8" i="135"/>
  <c r="B8" i="135"/>
  <c r="G8" i="135"/>
  <c r="F8" i="135"/>
  <c r="D8" i="135"/>
  <c r="C8" i="135"/>
  <c r="C7" i="135"/>
  <c r="K7" i="135"/>
  <c r="K14" i="135" s="1"/>
  <c r="B7" i="135"/>
  <c r="G7" i="135"/>
  <c r="F7" i="135"/>
  <c r="E7" i="135"/>
  <c r="E14" i="135" s="1"/>
  <c r="L4" i="135"/>
  <c r="H4" i="135"/>
  <c r="G4" i="135"/>
  <c r="D4" i="135"/>
  <c r="F45" i="135" l="1"/>
  <c r="G45" i="135"/>
  <c r="H45" i="135"/>
  <c r="K45" i="135"/>
  <c r="L45" i="135"/>
  <c r="N39" i="135"/>
  <c r="M39" i="135"/>
  <c r="O39" i="135" s="1"/>
  <c r="B45" i="135"/>
  <c r="E45" i="135"/>
  <c r="C32" i="135"/>
  <c r="C8" i="140"/>
  <c r="N32" i="135"/>
  <c r="M32" i="135"/>
  <c r="O32" i="135" s="1"/>
  <c r="C27" i="135"/>
  <c r="C8" i="131"/>
  <c r="M20" i="135"/>
  <c r="O20" i="135" s="1"/>
  <c r="N20" i="135"/>
  <c r="C23" i="135"/>
  <c r="G35" i="135"/>
  <c r="N27" i="135"/>
  <c r="M27" i="135"/>
  <c r="O27" i="135" s="1"/>
  <c r="D35" i="135"/>
  <c r="E35" i="135"/>
  <c r="F35" i="135"/>
  <c r="H14" i="135"/>
  <c r="M9" i="135"/>
  <c r="O9" i="135" s="1"/>
  <c r="N9" i="135"/>
  <c r="C34" i="135"/>
  <c r="C35" i="135" s="1"/>
  <c r="C8" i="130"/>
  <c r="H35" i="135"/>
  <c r="K35" i="135"/>
  <c r="L35" i="135"/>
  <c r="C8" i="132"/>
  <c r="D16" i="135"/>
  <c r="N16" i="135" s="1"/>
  <c r="C8" i="127"/>
  <c r="N18" i="135"/>
  <c r="M18" i="135"/>
  <c r="O18" i="135" s="1"/>
  <c r="M21" i="135"/>
  <c r="O21" i="135" s="1"/>
  <c r="N21" i="135"/>
  <c r="B23" i="135"/>
  <c r="H19" i="135"/>
  <c r="H23" i="135" s="1"/>
  <c r="G19" i="135"/>
  <c r="K23" i="135"/>
  <c r="F23" i="135"/>
  <c r="L23" i="135"/>
  <c r="E23" i="135"/>
  <c r="N24" i="135"/>
  <c r="M24" i="135"/>
  <c r="B35" i="135"/>
  <c r="D36" i="135"/>
  <c r="L14" i="135"/>
  <c r="N17" i="135"/>
  <c r="M17" i="135"/>
  <c r="C14" i="135"/>
  <c r="D14" i="135"/>
  <c r="B14" i="135"/>
  <c r="F14" i="135"/>
  <c r="G14" i="135"/>
  <c r="M8" i="135"/>
  <c r="O8" i="135" s="1"/>
  <c r="M4" i="135"/>
  <c r="O4" i="135" s="1"/>
  <c r="N4" i="135"/>
  <c r="M7" i="135"/>
  <c r="N8" i="135"/>
  <c r="N7" i="135"/>
  <c r="C8" i="129"/>
  <c r="C8" i="126"/>
  <c r="C8" i="143"/>
  <c r="C8" i="141"/>
  <c r="C8" i="125"/>
  <c r="C8" i="111"/>
  <c r="C8" i="128"/>
  <c r="C8" i="104"/>
  <c r="E48" i="135" l="1"/>
  <c r="K48" i="135"/>
  <c r="M34" i="135"/>
  <c r="O34" i="135" s="1"/>
  <c r="N34" i="135"/>
  <c r="N35" i="135" s="1"/>
  <c r="C48" i="135"/>
  <c r="H48" i="135"/>
  <c r="D23" i="135"/>
  <c r="M16" i="135"/>
  <c r="O16" i="135" s="1"/>
  <c r="N19" i="135"/>
  <c r="N23" i="135" s="1"/>
  <c r="G23" i="135"/>
  <c r="G48" i="135" s="1"/>
  <c r="M19" i="135"/>
  <c r="O19" i="135" s="1"/>
  <c r="F48" i="135"/>
  <c r="L48" i="135"/>
  <c r="B48" i="135"/>
  <c r="O24" i="135"/>
  <c r="D45" i="135"/>
  <c r="M36" i="135"/>
  <c r="M45" i="135" s="1"/>
  <c r="N36" i="135"/>
  <c r="N45" i="135" s="1"/>
  <c r="N14" i="135"/>
  <c r="O17" i="135"/>
  <c r="M14" i="135"/>
  <c r="O7" i="135"/>
  <c r="M35" i="135" l="1"/>
  <c r="O35" i="135" s="1"/>
  <c r="D48" i="135"/>
  <c r="M23" i="135"/>
  <c r="O23" i="135" s="1"/>
  <c r="O45" i="135"/>
  <c r="N48" i="135"/>
  <c r="O36" i="135"/>
  <c r="O14" i="135"/>
  <c r="M48" i="135" l="1"/>
  <c r="O48" i="135" s="1"/>
</calcChain>
</file>

<file path=xl/sharedStrings.xml><?xml version="1.0" encoding="utf-8"?>
<sst xmlns="http://schemas.openxmlformats.org/spreadsheetml/2006/main" count="17710" uniqueCount="7567">
  <si>
    <t>Status</t>
  </si>
  <si>
    <t>Title</t>
  </si>
  <si>
    <t>Discipline</t>
  </si>
  <si>
    <t>C - Revise and Resubmit - Do Not Proceed</t>
  </si>
  <si>
    <t>UR</t>
  </si>
  <si>
    <t>A - Work May Proceed</t>
  </si>
  <si>
    <t>Receiving Date</t>
  </si>
  <si>
    <t>Type</t>
  </si>
  <si>
    <t>ACONEX Document No</t>
  </si>
  <si>
    <t>Submission Date</t>
  </si>
  <si>
    <t xml:space="preserve">Current - Revision </t>
  </si>
  <si>
    <t>Al-Fahd Transmittal Reference</t>
  </si>
  <si>
    <t>Comments Resolution Sheet (CRS)</t>
  </si>
  <si>
    <t>E - Review not Required - Proceed</t>
  </si>
  <si>
    <t>D - Rejected</t>
  </si>
  <si>
    <t>Prequalification Documents</t>
  </si>
  <si>
    <t>Prequalification Document (PQD)</t>
  </si>
  <si>
    <t>Current - Status</t>
  </si>
  <si>
    <t>B- Incorporate Comments - Proceed</t>
  </si>
  <si>
    <t>Revision _ 01 - History</t>
  </si>
  <si>
    <t>Revision _ 02 - History</t>
  </si>
  <si>
    <t>Revision _ 03 - History</t>
  </si>
  <si>
    <t>Revision _ 04 - History</t>
  </si>
  <si>
    <t>Revision _ 05 - History</t>
  </si>
  <si>
    <t>Revision _ 06 - History</t>
  </si>
  <si>
    <t>Revision _ 07 - History</t>
  </si>
  <si>
    <t>4800001272-FHD-Construction of OXAGON Coast Guard Facilities</t>
  </si>
  <si>
    <t xml:space="preserve">Contract Title: </t>
  </si>
  <si>
    <r>
      <rPr>
        <b/>
        <sz val="16"/>
        <rFont val="Verdana"/>
        <family val="2"/>
      </rPr>
      <t>Type of Doc:</t>
    </r>
    <r>
      <rPr>
        <sz val="16"/>
        <rFont val="Verdana"/>
        <family val="2"/>
      </rPr>
      <t xml:space="preserve"> </t>
    </r>
  </si>
  <si>
    <t>4800001272-FHD-CG - Prequalification Document for Soliman Bin Saleh Al-Mohileb Co. (MHC) Concrete Batching Plant</t>
  </si>
  <si>
    <t>Material Submittal</t>
  </si>
  <si>
    <t>Material Submittal (MAT)</t>
  </si>
  <si>
    <t>4800001272-FHD-CG - Material Submittal for Bitumen Emulsion Damp-Proofing &amp; Protective Coating - Sika®-Bitumen-60.</t>
  </si>
  <si>
    <t>4800001272-FHD-CG - Material Submittal for Anti-Corrosive Shutter Release Agent - Sika®Mould BA.</t>
  </si>
  <si>
    <t>4800001272-FHD-CG - Material Submittal for Bonding Agent and Mortar Admixture - Sika Bond®DV.</t>
  </si>
  <si>
    <t>4800001272-FHD-CG - Material Submittal for Flexible Sealant for Concrete and Precast Joints - Sikaflex® Construction+</t>
  </si>
  <si>
    <t>4800001272-FHD-CG - Material Submittal for High Performance Civil Engineering Joint Sealant - Sikaflex® PRO-3</t>
  </si>
  <si>
    <t>4800001272-FHD-CG - Material Submittal for Cementitious, Shrinkage Compensated General Purpose Grout - SikaGrout® -114 SA</t>
  </si>
  <si>
    <t>4800001272-FHD-CG - Material Submittal for Multi-Purpose, Economical, Patching and Repair Mortar - SikaRep® SA</t>
  </si>
  <si>
    <t>4800001272-FHD-CG - Material Submittal for Hydrophilic Swellable Joint Sealing Profiles - SikaSwell® A</t>
  </si>
  <si>
    <t>4800001272-FHD-CG - Material Submittal for Adhesive &amp; Repair Motar-Thixotropic Epoxy Adhesive - Sikadur®-31 CF Slow</t>
  </si>
  <si>
    <t>4800001272-FHD-CG - Material Submittal for Concrete Crack Repairing Low Viscosity Injection Resin - Sikadur®-52 LP</t>
  </si>
  <si>
    <t>4800001272-FHD-CG - Material Submittal for Smooth, Unicolour Conductive Epoxy Floor Covering - Sikafloor® MultiDur ES-24 ECF</t>
  </si>
  <si>
    <t>4800001272-FHD-CG - Material Submittal for Polyurethane-Based, Slightly Flexible, Foaming Injection Resin for the Permanent Watertight Sealing of Cracks - Sika® Injection-107</t>
  </si>
  <si>
    <t>4800001272-FHD-CG - Prequalification Document for ACES Third Party Testing Laboratory and Soil (ACES)</t>
  </si>
  <si>
    <t>4800001272-FHD-CG - Prequalification Document for Applus Safco Third Party Testing Laboratory and Soil (Applus SAFCO)</t>
  </si>
  <si>
    <t>40-730007-4800001272-FHD-CIV-MAT-000002</t>
  </si>
  <si>
    <t>40-730007-4800001272-FHD-CIV-MAT-000003</t>
  </si>
  <si>
    <t>40-730007-4800001272-FHD-CIV-MAT-000004</t>
  </si>
  <si>
    <t>40-730007-4800001272-FHD-CIV-MAT-000005</t>
  </si>
  <si>
    <t>40-730007-4800001272-FHD-CIV-MAT-000006</t>
  </si>
  <si>
    <t>40-730007-4800001272-FHD-CIV-MAT-000007</t>
  </si>
  <si>
    <t xml:space="preserve">CIV - Civil </t>
  </si>
  <si>
    <t>For Approval</t>
  </si>
  <si>
    <t>01</t>
  </si>
  <si>
    <t>FHD-TRANSMIT-000004</t>
  </si>
  <si>
    <t>FHD-TRANSMIT-000005</t>
  </si>
  <si>
    <t>FHD-TRANSMIT-000006</t>
  </si>
  <si>
    <t>FHD-TRANSMIT-000007</t>
  </si>
  <si>
    <t>FHD-TRANSMIT-000008</t>
  </si>
  <si>
    <t>FHD-TRANSMIT-000009</t>
  </si>
  <si>
    <t>40-730007-4800001272-FHD-CIV-MAT-000008</t>
  </si>
  <si>
    <t>40-730007-4800001272-FHD-CIV-MAT-000009</t>
  </si>
  <si>
    <t>40-730007-4800001272-FHD-CIV-MAT-000010</t>
  </si>
  <si>
    <t>40-730007-4800001272-FHD-CIV-MAT-000011</t>
  </si>
  <si>
    <t>40-730007-4800001272-FHD-CIV-MAT-000012</t>
  </si>
  <si>
    <t>40-730007-4800001272-FHD-CIV-MAT-000013</t>
  </si>
  <si>
    <t>40-730007-4800001272-FHD-CIV-MAT-000014</t>
  </si>
  <si>
    <t>40-730007-4800001272-FHD-CIV-CRS-000002</t>
  </si>
  <si>
    <t>40-730007-4800001272-FHD-CIV-CRS-000003</t>
  </si>
  <si>
    <t>40-730007-4800001272-FHD-CIV-CRS-000004</t>
  </si>
  <si>
    <t>40-730007-4800001272-FHD-CIV-CRS-000005</t>
  </si>
  <si>
    <t>40-730007-4800001272-FHD-CIV-CRS-000006</t>
  </si>
  <si>
    <t>40-730007-4800001272-FHD-CIV-CRS-000007</t>
  </si>
  <si>
    <t>40-730007-4800001272-FHD-CIV-CRS-000008</t>
  </si>
  <si>
    <t>40-730007-4800001272-FHD-CIV-CRS-000009</t>
  </si>
  <si>
    <t>40-730007-4800001272-FHD-CIV-CRS-000010</t>
  </si>
  <si>
    <t>40-730007-4800001272-FHD-CIV-CRS-000011</t>
  </si>
  <si>
    <t>40-730007-4800001272-FHD-CIV-CRS-000012</t>
  </si>
  <si>
    <t>40-730007-4800001272-FHD-CIV-CRS-000013</t>
  </si>
  <si>
    <t>40-730007-4800001272-FHD-CIV-CRS-000014</t>
  </si>
  <si>
    <t>FHD-TRANSMIT-000010</t>
  </si>
  <si>
    <t>FHD-TRANSMIT-000011</t>
  </si>
  <si>
    <t>FHD-TRANSMIT-000012</t>
  </si>
  <si>
    <t>FHD-TRANSMIT-000013</t>
  </si>
  <si>
    <t>FHD-TRANSMIT-000014</t>
  </si>
  <si>
    <t>FHD-TRANSMIT-000015</t>
  </si>
  <si>
    <t>FHD-TRANSMIT-000016</t>
  </si>
  <si>
    <t>40-730007-4800001272-FHD-CIV-PQD-000001</t>
  </si>
  <si>
    <t>40-730007-4800001272-FHD-CIV-PQD-000002</t>
  </si>
  <si>
    <t>40-730007-4800001272-FHD-CIV-PQD-000003</t>
  </si>
  <si>
    <t>40-730007-4800001272-FHD-CIV-CRS-000015</t>
  </si>
  <si>
    <t>40-730007-4800001272-FHD-CIV-CRS-000016</t>
  </si>
  <si>
    <t>40-730007-4800001272-FHD-CIV-CRS-000017</t>
  </si>
  <si>
    <t>FHD-TRANSMIT-000021</t>
  </si>
  <si>
    <t>CIV - Civil</t>
  </si>
  <si>
    <t>FHD-TRANSMIT-000022</t>
  </si>
  <si>
    <t>FHD-TRANSMIT-000023</t>
  </si>
  <si>
    <t>Workflow Transmittal</t>
  </si>
  <si>
    <t>40-730007-4800001272-FHD-CIV-MAT-000015</t>
  </si>
  <si>
    <t>40-730007-4800001272-FHD-CIV-CRS-000018</t>
  </si>
  <si>
    <t>4800001272-FHD-CG - Material Submittal for Steel Bars by Rajhi Steel Industries Co. _ Supplier</t>
  </si>
  <si>
    <t>FHD-TRANSMIT-000026</t>
  </si>
  <si>
    <t>40-730007-4800001272-FHD-CIV-MAT-000016</t>
  </si>
  <si>
    <t>40-730007-4800001272-FHD-CIV-CRS-000019</t>
  </si>
  <si>
    <t>4800001272-FHD-CG - Material Submittal for Bituproof 320 Bituminous Damp Proofing by DCP Saudi Co. _ Supplier</t>
  </si>
  <si>
    <t>40-730007-4800001272-FHD-CIV-MAT-000017</t>
  </si>
  <si>
    <t>40-730007-4800001272-FHD-CIV-CRS-000020</t>
  </si>
  <si>
    <t>4800001272-FHD-CG - Material Submittal for Flexseal PS660 High Performance two Component Polysulphide by DCP Saudi Co. _ Supplier</t>
  </si>
  <si>
    <t xml:space="preserve">FHD-TRANSMIT-000028
</t>
  </si>
  <si>
    <t>40-730007-4800001272-FHD-CIV-MAT-000018</t>
  </si>
  <si>
    <t>40-730007-4800001272-FHD-CIV-CRS-000021</t>
  </si>
  <si>
    <t>4800001272-FHD-CG - Material Submittal for Hydrostop AW PVC Waterstops by DCP Saudi Co. _ Supplier</t>
  </si>
  <si>
    <t xml:space="preserve">FHD-TRANSMIT-000029
</t>
  </si>
  <si>
    <t>40-730007-4800001272-FHD-CIV-MAT-000019</t>
  </si>
  <si>
    <t>40-730007-4800001272-FHD-CIV-CRS-000022</t>
  </si>
  <si>
    <t>4800001272-FHD-CG - Material Submittal for Polyethylene Rolls Films - Vapor Barrier by Unitech for Building &amp; Construction Materials _ Supplier</t>
  </si>
  <si>
    <t>40-730007-4800001272-FHD-CIV-MAT-000020</t>
  </si>
  <si>
    <t>40-730007-4800001272-FHD-CIV-CRS-000023</t>
  </si>
  <si>
    <t>4800001272-FHD-CG - Material Submittal for Keyfix E Epoxy Resin Cartridge System for Anchoring by DCP Saudi Co. _ Supplier</t>
  </si>
  <si>
    <t>40-730007-4800001272-FHD-CIV-MAT-000021</t>
  </si>
  <si>
    <t>40-730007-4800001272-FHD-CIV-CRS-000024</t>
  </si>
  <si>
    <t>4800001272-FHD-CG - Material Submittal for Setseal AW309 Curing Compound by DCP Saudi Co. _ Supplier</t>
  </si>
  <si>
    <t>40-730007-4800001272-FHD-CIV-CRS-000025</t>
  </si>
  <si>
    <t>40-730007-4800001272-FHD-CIV-MAT-000022</t>
  </si>
  <si>
    <t>4800001272-FHD-CG - Material Submittal for Pest Control (Biflex TC) by Astrachem</t>
  </si>
  <si>
    <t>Internal notes</t>
  </si>
  <si>
    <t>FHD-TRANSMIT-000034</t>
  </si>
  <si>
    <t>Received by whatsapp from Mr. Moustafa Saied / Waqar Ahmed</t>
  </si>
  <si>
    <t>40-730007-4800001272-FHD-ELE-CRS-000001</t>
  </si>
  <si>
    <t>40-730007-4800001272-FHD-ELE-PQD-000001</t>
  </si>
  <si>
    <t>4800001272-FHD-CG - Prequalification Document for Al Fanar Supplier - RMU, Dry Type Transformer, LV Panel and Wiring Devices.</t>
  </si>
  <si>
    <t>ELE - Electrical</t>
  </si>
  <si>
    <t>FHD-TRANSMIT-000035</t>
  </si>
  <si>
    <t>40-730007-4800001272-FHD-ELE-PQD-000002</t>
  </si>
  <si>
    <t>40-730007-4800001272-FHD-ELE-PQD-000003</t>
  </si>
  <si>
    <t>40-730007-4800001272-FHD-ELE-CRS-000002</t>
  </si>
  <si>
    <t>4800001272-FHD-CG - Prequalification Document for Al Fahd Idahah Co. as Supplier for Electrical Materials.</t>
  </si>
  <si>
    <t>FHD-TRANSMIT-000036</t>
  </si>
  <si>
    <t>40-730007-4800001272-FHD-ELE-CRS-000003</t>
  </si>
  <si>
    <t>4800001272-FHD-CG - Prequalification Document for Elsewdy Co. as Supplier for LV Cables</t>
  </si>
  <si>
    <t>FHD-TRANSMIT-000037</t>
  </si>
  <si>
    <t>40-730007-4800001272-FHD-MEC-PQD-000001</t>
  </si>
  <si>
    <t>40-730007-4800001272-FHD-MEC-CRS-000001</t>
  </si>
  <si>
    <t>4800001272-FHD-CG - Prequalification Document for Al-Wasail Co. as Supplier for HDPE Pipes and Fittings</t>
  </si>
  <si>
    <t>MEC - Mechanical</t>
  </si>
  <si>
    <t>FHD-TRANSMIT-000038</t>
  </si>
  <si>
    <t>STR - Structural</t>
  </si>
  <si>
    <t>40-730007-4800001272-FHD-MEC-PQD-000002</t>
  </si>
  <si>
    <t>40-730007-4800001272-FHD-MEC-CRS-000002</t>
  </si>
  <si>
    <t>4800001272-FHD-CG - Prequalification Document for KOON Co. as Supplier for Circulation PUMP</t>
  </si>
  <si>
    <t>40-730007-4800001272-FHD-MEC-CRS-000003</t>
  </si>
  <si>
    <t>40-730007-4800001272-FHD-MEC-PQD-000003</t>
  </si>
  <si>
    <t>FHD-TRANSMIT-000039</t>
  </si>
  <si>
    <t>4800001272-FHD-CG - Prequalification Document for Saudi Plastic Products Co. as Supplier for PVC, UPVC Pipes, Ducts and Fittings</t>
  </si>
  <si>
    <t>FHD-TRANSMIT-000042</t>
  </si>
  <si>
    <t>40-730007-4800001272-FHD-ELE-PQD-000004</t>
  </si>
  <si>
    <t>40-730007-4800001272-FHD-ELE-CRS-000004</t>
  </si>
  <si>
    <t>4800001272-FHD-CG - Prequalification Document for Ahd Al-Inarah Co. (ERA Lighting) Supplier for Solar Lighting, Decorative Poles, Landscape and Facade Lighting</t>
  </si>
  <si>
    <t>FHD-TRANSMIT-000043</t>
  </si>
  <si>
    <t>40-730007-4800001272-FHD-CIV-MAT-000023</t>
  </si>
  <si>
    <t>40-730007-4800001272-FHD-CIV-CRS-000026</t>
  </si>
  <si>
    <t>40-730007-4800001272-FHD-MEC-PQD-000004</t>
  </si>
  <si>
    <t>40-730007-4800001272-FHD-MEC-CRS-000004</t>
  </si>
  <si>
    <t>4800001272-FHD-CG - Prequalification Document for Mabani Al-Umumiyyah - Supplier for Duct Works and Accessories</t>
  </si>
  <si>
    <t>FHD-TRANSMIT-000050</t>
  </si>
  <si>
    <t>40-730007-4800001272-FHD-MEC-CRS-000005</t>
  </si>
  <si>
    <t>40-730007-4800001272-FHD-MEC-PQD-000005</t>
  </si>
  <si>
    <t>4800001272-FHD-CG - Prequalification Document for Al-Sayed Centre - Supplier for Air Conditioning and Refrigeration Materials</t>
  </si>
  <si>
    <t>FHD-TRANSMIT-000051</t>
  </si>
  <si>
    <t>WF-000273</t>
  </si>
  <si>
    <t>Inspection and Test Plan (ITP)</t>
  </si>
  <si>
    <t>Inspection and Test Plan</t>
  </si>
  <si>
    <t>40-730007-4800001272-FHD-CIV-ITP-000001</t>
  </si>
  <si>
    <t>40-730007-4800001272-FHD-CIV-CRS-000027</t>
  </si>
  <si>
    <t>4800001272-FHD-CG - Inspection and Test Plan for Earthworks (Site Preparation, Excavation and Backfill.)</t>
  </si>
  <si>
    <t>FHD-TRANSMIT-000053</t>
  </si>
  <si>
    <t>40-730007-4800001272-FHD-CIV-MST-000001</t>
  </si>
  <si>
    <t>40-730007-4800001272-FHD-CIV-CRS-000028</t>
  </si>
  <si>
    <t>Method Statement</t>
  </si>
  <si>
    <t>FHD-TRANSMIT-000054</t>
  </si>
  <si>
    <t>Method Statement (MST)</t>
  </si>
  <si>
    <t>40-730007-4800001272-FHD-MEC-CRS-000006</t>
  </si>
  <si>
    <t>4800001272-FHD-CG - Prequalification Document for Rabie Al Takyeef Factory - Supplier for Air Outlets and Ducts Accessories</t>
  </si>
  <si>
    <t>FHD-TRANSMIT-000056</t>
  </si>
  <si>
    <t>WF-000282</t>
  </si>
  <si>
    <t>WF-000283</t>
  </si>
  <si>
    <t>WF-000286</t>
  </si>
  <si>
    <t>WF-000287</t>
  </si>
  <si>
    <t>40-730007-4800001272-FHD-CIV-ITP-000002</t>
  </si>
  <si>
    <t>40-730007-4800001272-FHD-CIV-CRS-000029</t>
  </si>
  <si>
    <t>40-730007-4800001272-FHD-CIV-CRS-000030</t>
  </si>
  <si>
    <t>40-730007-4800001272-FHD-CIV-ITP-000003</t>
  </si>
  <si>
    <t>FHD-TRANSMIT-000062</t>
  </si>
  <si>
    <t>WF-000233</t>
  </si>
  <si>
    <t>WF-000232</t>
  </si>
  <si>
    <t>WF-000234</t>
  </si>
  <si>
    <t>WF-000235</t>
  </si>
  <si>
    <t>WF-000236</t>
  </si>
  <si>
    <t>WF-000245</t>
  </si>
  <si>
    <t>WF-000248</t>
  </si>
  <si>
    <t>WF-000249</t>
  </si>
  <si>
    <t>WF-000250</t>
  </si>
  <si>
    <t>WF-000251</t>
  </si>
  <si>
    <t>FHD-TRANSMIT-000027</t>
  </si>
  <si>
    <t>FHD-TRANSMIT-000030</t>
  </si>
  <si>
    <t>FHD-TRANSMIT-000031</t>
  </si>
  <si>
    <t>FHD-TRANSMIT-000032</t>
  </si>
  <si>
    <t>02</t>
  </si>
  <si>
    <t>WF-000301</t>
  </si>
  <si>
    <t>FHD-TRANSMIT-000063</t>
  </si>
  <si>
    <t>4800001272-FHD-CG - Prequalification Document for AcuTech Co.- Sub-Consultant for Life Safety and Fire Protection Systems.</t>
  </si>
  <si>
    <t>40-730007-4800001272-FHD-FLS-CRS-000001</t>
  </si>
  <si>
    <t>40-730007-4800001272-FHD-FLS-PQD-000001</t>
  </si>
  <si>
    <t>FLS - Fire &amp; Life Safety</t>
  </si>
  <si>
    <t>FHD-TRANSMIT-000070</t>
  </si>
  <si>
    <t>4800001272-FHD-CG - Prequalification Document for FEC International Co. -  Sub-Consultant for Life Safety and Security Systems.</t>
  </si>
  <si>
    <t>FHD-TRANSMIT-000071</t>
  </si>
  <si>
    <t>40-730007-4800001272-FHD-FLS-CRS-000002</t>
  </si>
  <si>
    <t>40-730007-4800001272-FHD-FLS-PQD-000002</t>
  </si>
  <si>
    <t>4800001272-FHD-CG - Material Submittal for Sabit Plasto SPP Damp Proof Non-Fibrated Bitumen Emulsion &amp; Ultimate Waterproofing Membrane+Protection Sheet by Unitech Isam Kabbani Co.</t>
  </si>
  <si>
    <t>FHD-TRANSMIT-000072</t>
  </si>
  <si>
    <t>WF-000237</t>
  </si>
  <si>
    <t>WF-000238</t>
  </si>
  <si>
    <t>WF-000239</t>
  </si>
  <si>
    <t>WF-000240</t>
  </si>
  <si>
    <t>WF-000241</t>
  </si>
  <si>
    <t>WF-000242</t>
  </si>
  <si>
    <t>WF-000243</t>
  </si>
  <si>
    <t>WF-000244</t>
  </si>
  <si>
    <t xml:space="preserve">WF-000247
</t>
  </si>
  <si>
    <t>WF-000252</t>
  </si>
  <si>
    <t>WF-000310</t>
  </si>
  <si>
    <t>WF-000311</t>
  </si>
  <si>
    <t>WF-000312</t>
  </si>
  <si>
    <t>WF-000246</t>
  </si>
  <si>
    <t>40-730007-4800001272-FHD-SRV-ITP-000001</t>
  </si>
  <si>
    <t>40-730007-4800001272-FHD-SRV-CRS-000001</t>
  </si>
  <si>
    <t>4800001272-FHD-CG - Inspection and Test Plan for Survey Works</t>
  </si>
  <si>
    <t>FHD-TRANSMIT-000081</t>
  </si>
  <si>
    <t xml:space="preserve">SRV - Survey </t>
  </si>
  <si>
    <t>40-730007-4800001272-FHD-ELE-PQD-000005</t>
  </si>
  <si>
    <t>40-730007-4800001272-FHD-ELE-CRS-000005</t>
  </si>
  <si>
    <t>4800001272-FHD-CG - Prequalification Document for Al Fahd Co. Supplier for CCTV, Access Control, BMS, Public Address, AV, Fire Alarm, Data Network, UPS &amp; Low Current Cables</t>
  </si>
  <si>
    <t>40-730007-4800001272-FHD-SRV-MST-000001</t>
  </si>
  <si>
    <t>4800001272-FHD-CG - Method Statement for Survey Works</t>
  </si>
  <si>
    <t>SRV - Survey</t>
  </si>
  <si>
    <t>40-730007-4800001272-FHD-SRV-CRS-000002</t>
  </si>
  <si>
    <t>FHD-TRANSMIT-000082</t>
  </si>
  <si>
    <t>FHD-TRANSMIT-000083</t>
  </si>
  <si>
    <t>4800001272-FHD-CG - Prequalification Document for Maani Prefab Construction - Supplier for Structural Steel</t>
  </si>
  <si>
    <t>40-730007-4800001272-FHD-STR-PQD-000001</t>
  </si>
  <si>
    <t>40-730007-4800001272-FHD-STR-CRS-000001</t>
  </si>
  <si>
    <t>FHD-TRANSMIT-000084</t>
  </si>
  <si>
    <t>4800001272-FHD-CG - Method Statement for Geotechnical Investigation for the Coast Guard Building Areas.</t>
  </si>
  <si>
    <t>40-730007-4800001272-FHD-GEO-MST-000001</t>
  </si>
  <si>
    <t>40-730007-4800001272-FHD-GEO-CRS-000001</t>
  </si>
  <si>
    <t>GEO - Geotechnical</t>
  </si>
  <si>
    <t>WF-000325</t>
  </si>
  <si>
    <t>WF-000326</t>
  </si>
  <si>
    <t>WF-000327</t>
  </si>
  <si>
    <t>WF-000328</t>
  </si>
  <si>
    <t>WF-000257</t>
  </si>
  <si>
    <t>WF-000254</t>
  </si>
  <si>
    <t>WF-000255</t>
  </si>
  <si>
    <t>WF-000259</t>
  </si>
  <si>
    <t>40-730007-4800001272-FHD-CIV-MAT-000024</t>
  </si>
  <si>
    <t>40-730007-4800001272-FHD-CIV-CRS-000031</t>
  </si>
  <si>
    <t xml:space="preserve">4800001272-FHD-CG - Material Submittal for Bertlandi SRC &amp; OPC &amp; BHC Cement by Tabuk Cement Company </t>
  </si>
  <si>
    <t>FHD-TRANSMIT-000094</t>
  </si>
  <si>
    <t>WF-000258</t>
  </si>
  <si>
    <t>WF-000256</t>
  </si>
  <si>
    <t>WF-000260</t>
  </si>
  <si>
    <t>WF-000337</t>
  </si>
  <si>
    <t>4800001272-FHD-CG - Material Submittal for Gypsum Drywall and Ceiling Systems by Al Watania Gypsum Company</t>
  </si>
  <si>
    <t>40-730007-4800001272-FHD-ARC-MAT-000001</t>
  </si>
  <si>
    <t>40-730007-4800001272-FHD-ARC-CRS-000001</t>
  </si>
  <si>
    <t>ARC - Architectural</t>
  </si>
  <si>
    <t>FHD-TRANSMIT-000096</t>
  </si>
  <si>
    <t>40-730007-4800001272-FHD-CIV-MAT-000025</t>
  </si>
  <si>
    <t>40-730007-4800001272-FHD-CIV-MAT-000026</t>
  </si>
  <si>
    <t>40-730007-4800001272-FHD-CIV-MAT-000027</t>
  </si>
  <si>
    <t>40-730007-4800001272-FHD-CIV-CRS-000032</t>
  </si>
  <si>
    <t>40-730007-4800001272-FHD-CIV-CRS-000033</t>
  </si>
  <si>
    <t>40-730007-4800001272-FHD-CIV-CRS-000034</t>
  </si>
  <si>
    <t>4800001272-FHD-CG - Material Submittal for Concrete Design Mix For C16 MPA (SRC) by Soliman Bin Saleh Al-Mohileb Co.</t>
  </si>
  <si>
    <t>4800001272-FHD-CG - Material Submittal for Concrete Design Mix For C32 Mpa (OPC+65%GGBS + 8%MS) by Soliman Bin Saleh Al-Mohileb Co.</t>
  </si>
  <si>
    <t xml:space="preserve">4800001272-FHD-CG - Material Submittal for Concrete Design Mix For C40 Mpa (OPC+65%GGBS + 8%MS) + CI by Soliman Bin Saleh Al-Mohileb Co. </t>
  </si>
  <si>
    <t>WF-000261</t>
  </si>
  <si>
    <t>WF-000350</t>
  </si>
  <si>
    <t>WF-000262</t>
  </si>
  <si>
    <t>WF-000263</t>
  </si>
  <si>
    <t>40-730007-4800001272-FHD-MEC-PQD-000006</t>
  </si>
  <si>
    <t>FHD-TRANSMIT-000113</t>
  </si>
  <si>
    <t>WF-000387</t>
  </si>
  <si>
    <t>LAN - Landscape</t>
  </si>
  <si>
    <t>40-730007-4800001272-FHD-LAN-MAT-000001</t>
  </si>
  <si>
    <t>40-730007-4800001272-FHD-LAN-CRS-000001</t>
  </si>
  <si>
    <t>40-730007-4800001272-FHD-LAN-MAT-000002</t>
  </si>
  <si>
    <t>40-730007-4800001272-FHD-LAN-CRS-000002</t>
  </si>
  <si>
    <t xml:space="preserve">4800001272-FHD-CG - Material Submittal for Precast Curbstone by Abdullah Abdin Factory </t>
  </si>
  <si>
    <t xml:space="preserve">4800001272-FHD-CG - Material Submittal for Precast Interlock by Abdullah Abdin Factory </t>
  </si>
  <si>
    <t>FHD-TRANSMIT-000121</t>
  </si>
  <si>
    <t>FHD-TRANSMIT-000122</t>
  </si>
  <si>
    <t>WF-000401</t>
  </si>
  <si>
    <t>40-730007-4800001272-FHD-MEC-PQD-000007</t>
  </si>
  <si>
    <t>40-730007-4800001272-FHD-MEC-CRS-000007</t>
  </si>
  <si>
    <t>4800001272-FHD-CG - Prequalification Document for OTIS Elevator Company - Supplier for Elevators and Dumbwaiter</t>
  </si>
  <si>
    <t>4800001272-FHD-CG - Prequalification Document for KOON Company - Supplier for PUMPS</t>
  </si>
  <si>
    <t>FHD-TRANSMIT-000125</t>
  </si>
  <si>
    <t>40-730007-4800001272-FHD-MEC-PQD-000008</t>
  </si>
  <si>
    <t>40-730007-4800001272-FHD-MEC-CRS-000008</t>
  </si>
  <si>
    <t>FHD-TRANSMIT-000126</t>
  </si>
  <si>
    <t>WF-000409</t>
  </si>
  <si>
    <t>WF-000411</t>
  </si>
  <si>
    <t>WF-000412</t>
  </si>
  <si>
    <t>40-730007-4800001272-FHD-ARC-MAT-000002</t>
  </si>
  <si>
    <t>40-730007-4800001272-FHD-ARC-CRS-000002</t>
  </si>
  <si>
    <t>4800001272-FHD-CG - Material Submittal for Block Wall (Solid, Hollow and Insulated) By Al Fahd Factory for Building Products</t>
  </si>
  <si>
    <t>FHD-TRANSMIT-000131</t>
  </si>
  <si>
    <t>40-730007-4800001272-FHD-ARC-MAT-000003</t>
  </si>
  <si>
    <t>40-730007-4800001272-FHD-ARC-CRS-000003</t>
  </si>
  <si>
    <t>4800001272-FHD-CG - Material Submittal for Concrete Masonry Unit by Abdullah Abdin Factory</t>
  </si>
  <si>
    <t>FHD-TRANSMIT-000133</t>
  </si>
  <si>
    <t>WF-000418</t>
  </si>
  <si>
    <t>WF-000419</t>
  </si>
  <si>
    <t>40-730007-4800001272-FHD-ARC-PQD-000001</t>
  </si>
  <si>
    <t xml:space="preserve">4800001272-FHD-CG - Prequalification Document for FAMECO Company - Supplier for Aluminum Doors, Windows and Accessories
</t>
  </si>
  <si>
    <t>40-730007-4800001272-FHD-MEC-PQD-000009</t>
  </si>
  <si>
    <t>40-730007-4800001272-FHD-MEC-CRS-000009</t>
  </si>
  <si>
    <t>4800001272-FHD-CG - Prequalification Document for Saudi Fan Company - Supplier for Electric Fans</t>
  </si>
  <si>
    <t>Terminated</t>
  </si>
  <si>
    <t>FHD-TRANSMIT-000136</t>
  </si>
  <si>
    <t>FHD-TRANSMIT-000137</t>
  </si>
  <si>
    <t>40-730007-4800001272-FHD-CIV-MST-000002</t>
  </si>
  <si>
    <t>40-730007-4800001272-FHD-CIV-CRS-000035</t>
  </si>
  <si>
    <t>4800001272-FHD-CG - Method Statement for Erection of Workshop</t>
  </si>
  <si>
    <t>40-730007-4800001272-FHD-CIV-MST-000003</t>
  </si>
  <si>
    <t>40-730007-4800001272-FHD-CIV-CRS-000036</t>
  </si>
  <si>
    <t>FHD-TRANSMIT-000138</t>
  </si>
  <si>
    <t>FHD-TRANSMIT-000139</t>
  </si>
  <si>
    <t>40-730007-4800001272-FHD-CIV-MST-000004</t>
  </si>
  <si>
    <t>40-730007-4800001272-FHD-CIV-CRS-000037</t>
  </si>
  <si>
    <t xml:space="preserve">4800001272-FHD-CG - Method Statement for Installation of Steel Rebar </t>
  </si>
  <si>
    <t>FHD-TRANSMIT-000140</t>
  </si>
  <si>
    <t>40-730007-4800001272-FHD-CIV-MST-000005</t>
  </si>
  <si>
    <t>40-730007-4800001272-FHD-CIV-CRS-000038</t>
  </si>
  <si>
    <t>WF-000444</t>
  </si>
  <si>
    <t>WF-000445</t>
  </si>
  <si>
    <t>WF-000446</t>
  </si>
  <si>
    <t>WF-000447</t>
  </si>
  <si>
    <t>WF-000448</t>
  </si>
  <si>
    <t>FHD-TRANSMIT-000143</t>
  </si>
  <si>
    <t>FHD-TRANSMIT-000144</t>
  </si>
  <si>
    <t>WF-000417</t>
  </si>
  <si>
    <t>40-730007-4800001272-FHD-CIV-MST-000006</t>
  </si>
  <si>
    <t>40-730007-4800001272-FHD-CIV-CRS-000039</t>
  </si>
  <si>
    <t>4800001272-FHD-CG - Method Statement for Water Proofing Works</t>
  </si>
  <si>
    <t>FHD-TRANSMIT-000145</t>
  </si>
  <si>
    <t>FHD-TRANSMIT-000146</t>
  </si>
  <si>
    <t>WF-000453</t>
  </si>
  <si>
    <t>WF-000454</t>
  </si>
  <si>
    <t>WF-000455</t>
  </si>
  <si>
    <t>WF-000456</t>
  </si>
  <si>
    <t>40-730007-4800001272-FHD-ELE-MAT-000001</t>
  </si>
  <si>
    <t>40-730007-4800001272-FHD-ELE-CRS-000006</t>
  </si>
  <si>
    <t>FHD-TRANSMIT-000150</t>
  </si>
  <si>
    <t>40-730007-4800001272-FHD-CIV-MST-000007</t>
  </si>
  <si>
    <t>40-730007-4800001272-FHD-CIV-CRS-000040</t>
  </si>
  <si>
    <t>4800001272-FHD-CG - Method Statement for Concrete Pouring Works</t>
  </si>
  <si>
    <t>FHD-TRANSMIT-000151</t>
  </si>
  <si>
    <t>WF-000465</t>
  </si>
  <si>
    <t>WF-000466</t>
  </si>
  <si>
    <t>40-730007-4800001272-FHD-ARC-PQD-000002</t>
  </si>
  <si>
    <t>40-730007-4800001272-FHD-ARC-CRS-000005</t>
  </si>
  <si>
    <t>4800001272-FHD-CG - Prequalification Document for LAVENCO Company - Supplier for Internal, External Glazing and Cladding.</t>
  </si>
  <si>
    <t>40-730007-4800001272-FHD-ARC-CRS-000004</t>
  </si>
  <si>
    <t>FHD-TRANSMIT-000152</t>
  </si>
  <si>
    <t>40-730007-4800001272-FHD-ARC-PQD-000003</t>
  </si>
  <si>
    <t>40-730007-4800001272-FHD-ARC-CRS-000006</t>
  </si>
  <si>
    <t>4800001272-FHD-CG - Prequalification Document for LAVENCO Company - Sub-Contractor for Internal, External Glazing and Cladding.</t>
  </si>
  <si>
    <t>FHD-TRANSMIT-000154</t>
  </si>
  <si>
    <t>WF-000470</t>
  </si>
  <si>
    <t>FHD-TRANSMIT-000156</t>
  </si>
  <si>
    <t>4800001272-FHD-CG - Inspection and Test Plan for Anti Termite Control Application.</t>
  </si>
  <si>
    <t>FHD-TRANSMIT-000157</t>
  </si>
  <si>
    <t>40-730007-4800001272-FHD-ARC-MAT-000004</t>
  </si>
  <si>
    <t xml:space="preserve">4800001272-FHD-CG - Material Submittal for Plastering Accessories by Unitech for Building &amp; Construction Materials </t>
  </si>
  <si>
    <t>FHD-TRANSMIT-000162</t>
  </si>
  <si>
    <t>40-730007-4800001272-FHD-ARC-PQD-000004</t>
  </si>
  <si>
    <t>40-730007-4800001272-FHD-ARC-CRS-000008</t>
  </si>
  <si>
    <t>4800001272-FHD-CG - Prequalification Document for Al-Dhayan Aluminum Factory (Dalco Bond) Company - Supplier for Aluminum Composite Panels</t>
  </si>
  <si>
    <t>FHD-TRANSMIT-000163</t>
  </si>
  <si>
    <t>WF-000476</t>
  </si>
  <si>
    <t>NEOM-WTRAN-000570</t>
  </si>
  <si>
    <t>WF-000487</t>
  </si>
  <si>
    <t>WF-000488</t>
  </si>
  <si>
    <t>4800001272-FHD-CG - Inspection and Test Plan for Cast in Place Concrete Works.</t>
  </si>
  <si>
    <t>FHD-TRANSMIT-000170</t>
  </si>
  <si>
    <t>40-730007-4800001272-FHD-CIV-ITP-000004</t>
  </si>
  <si>
    <t>40-730007-4800001272-FHD-CIV-ITP-000005</t>
  </si>
  <si>
    <t>40-730007-4800001272-FHD-CIV-CRS-000041</t>
  </si>
  <si>
    <t>40-730007-4800001272-FHD-CIV-CRS-000042</t>
  </si>
  <si>
    <t>4800001272-FHD-CG - Inspection and Test Plan for Concrete Formworks.</t>
  </si>
  <si>
    <t>FHD-TRANSMIT-000171</t>
  </si>
  <si>
    <t>4800001272-FHD-CG - Inspection and Test Plan for Steel Reinforcement</t>
  </si>
  <si>
    <t>FHD-TRANSMIT-000172</t>
  </si>
  <si>
    <t>40-730007-4800001272-FHD-CIV-CRS-000043</t>
  </si>
  <si>
    <t>40-730007-4800001272-FHD-CIV-ITP-000006</t>
  </si>
  <si>
    <t>4800001272-FHD-CG - Inspection and Test Plan for Waterproofing and Damp-Proofing of Underground Structures</t>
  </si>
  <si>
    <t>FHD-TRANSMIT-000177</t>
  </si>
  <si>
    <t>WF-000496</t>
  </si>
  <si>
    <t>WF-000497</t>
  </si>
  <si>
    <t>WF-000498</t>
  </si>
  <si>
    <t>ACONEX STATUS</t>
  </si>
  <si>
    <t>TOTAL SUBMISSION &amp; PERCENTAGE (ACONEX)</t>
  </si>
  <si>
    <t>Under Review</t>
  </si>
  <si>
    <t>Open</t>
  </si>
  <si>
    <t>Closed</t>
  </si>
  <si>
    <t>Cumulative/Actual</t>
  </si>
  <si>
    <t>40-730007-4800001272-FHD-ARC-PQD-000005</t>
  </si>
  <si>
    <t>40-730007-4800001272-FHD-ARC-CRS-000010</t>
  </si>
  <si>
    <t>4800001272-FHD-CG - Prequalification Document for Sultanah Allied Industries Company - Supplier for Fire/non Fire-Rated Wooden, Metal Doors, Curtain Wall and Aluminum Structure</t>
  </si>
  <si>
    <t>FHD-TRANSMIT-000191</t>
  </si>
  <si>
    <t>40-730007-4800001272-FHD-ARC-PQD-000006</t>
  </si>
  <si>
    <t>40-730007-4800001272-FHD-ARC-CRS-000011</t>
  </si>
  <si>
    <t>4800001272-FHD-CG - Prequalification Document for Sultanah Allied Industries Company - Sub-Contractor for Fire/non Fire-Rated Wooden, Metal Doors, Curtain Wall and Aluminum Structure</t>
  </si>
  <si>
    <t>FHD-TRANSMIT-000192</t>
  </si>
  <si>
    <t>FHD-TRANSMIT-000179</t>
  </si>
  <si>
    <t>WF-000524</t>
  </si>
  <si>
    <t>40-730007-4800001272-FHD-CIV-MST-000008</t>
  </si>
  <si>
    <t>40-730007-4800001272-FHD-CIV-CRS-000045</t>
  </si>
  <si>
    <t>WF-000523</t>
  </si>
  <si>
    <t>40-730007-4800001272-FHD-CIV-ITP-000007</t>
  </si>
  <si>
    <t>40-730007-4800001272-FHD-CIV-CRS-000044</t>
  </si>
  <si>
    <t>4800001272-FHD-CG - Inspection and Test Plan for Stormwater Drainage Network (Internal &amp; External)</t>
  </si>
  <si>
    <t>FHD-TRANSMIT-000186</t>
  </si>
  <si>
    <t>40-730007-4800001272-FHD-ARC-MAT-000005</t>
  </si>
  <si>
    <t>40-730007-4800001272-FHD-ARC-CRS-000009</t>
  </si>
  <si>
    <t>4800001272-FHD-CG - Material Submittal for Door Hardware’s and Accessories by Masdar Logic</t>
  </si>
  <si>
    <t>FHD-TRANSMIT-000183</t>
  </si>
  <si>
    <t>WF-000527</t>
  </si>
  <si>
    <t xml:space="preserve"> CIV - Civil</t>
  </si>
  <si>
    <t xml:space="preserve"> FLS - Fire &amp; Safety</t>
  </si>
  <si>
    <t>FHD-TRANSMIT-000197</t>
  </si>
  <si>
    <t>40-730007-4800001272-FHD-ARC-PQD-000007</t>
  </si>
  <si>
    <t>40-730007-4800001272-FHD-ARC-CRS-000012</t>
  </si>
  <si>
    <t>4800001272-FHD-CG - Prequalification Document for VASCO Company - Sub-Contractor for the Fence Works.</t>
  </si>
  <si>
    <t>FHD-TRANSMIT-000198</t>
  </si>
  <si>
    <t>4800001272-FHD-CG - Method Statement for Tower Crane Installation</t>
  </si>
  <si>
    <t>40-730007-4800001272-FHD-HSE-MST-000001</t>
  </si>
  <si>
    <t>40-730007-4800001272-FHD-HSE-CRS-000009</t>
  </si>
  <si>
    <t>HSE - Health &amp; Safety</t>
  </si>
  <si>
    <t>40-730007-4800001272-FHD-SEC-PQD-000001</t>
  </si>
  <si>
    <t>40-730007-4800001272-FHD-SEC-CRS-000002</t>
  </si>
  <si>
    <t>SEC - Security</t>
  </si>
  <si>
    <t>FHD-TRANSMIT-000206</t>
  </si>
  <si>
    <t>WF-000540</t>
  </si>
  <si>
    <t>WF-000549</t>
  </si>
  <si>
    <t>WF-000551</t>
  </si>
  <si>
    <t>WF-000552</t>
  </si>
  <si>
    <t>WF-000554</t>
  </si>
  <si>
    <t>WF-000555</t>
  </si>
  <si>
    <t>40-730007-4800001272-FHD-ELE-MAT-000002</t>
  </si>
  <si>
    <t>40-730007-4800001272-FHD-ELE-CRS-000007</t>
  </si>
  <si>
    <t>4800001272-FHD-CG - Material Submittal for UPVC Conduits and fittings by Bahra BC Conduit</t>
  </si>
  <si>
    <t>40-730007-4800001272-FHD-ELE-MAT-000003</t>
  </si>
  <si>
    <t>40-730007-4800001272-FHD-ELE-CRS-000008</t>
  </si>
  <si>
    <t>4800001272-FHD-CG - Material Submittal for PVC Conduits and fittings by Bahra BC Conduit</t>
  </si>
  <si>
    <t>FHD-TRANSMIT-000212</t>
  </si>
  <si>
    <t>FHD-TRANSMIT-000213</t>
  </si>
  <si>
    <t>FHD-TRANSMIT-000214</t>
  </si>
  <si>
    <t>40-730007-4800001272-FHD-ELE-PQD-000006</t>
  </si>
  <si>
    <t>40-730007-4800001272-FHD-ELE-CRS-000009</t>
  </si>
  <si>
    <t>4800001272-FHD-CG - Prequalification Document for Quantum Energy Solution Company as Supplier for Solar Energy PV System.</t>
  </si>
  <si>
    <t>FHD-TRANSMIT-000215</t>
  </si>
  <si>
    <t>40-730007-4800001272-FHD-MEC-PQD-000010</t>
  </si>
  <si>
    <t>40-730007-4800001272-FHD-MEC-CRS-000010</t>
  </si>
  <si>
    <t>4800001272-FHD-CG - Prequalification Document for National Kham Plastic Factory as Supplier for UPVC Pipes</t>
  </si>
  <si>
    <t>FHD-TRANSMIT-000216</t>
  </si>
  <si>
    <t>40-730007-4800001272-FHD-CIV-MAT-000028</t>
  </si>
  <si>
    <t>40-730007-4800001272-FHD-CIV-CRS-000046</t>
  </si>
  <si>
    <t>4800001272-FHD-CG - Material Submittal for Bitumen Impregnated Filler Board by Unitech for Building &amp; Construction Materials</t>
  </si>
  <si>
    <t>FHD-TRANSMIT-000217</t>
  </si>
  <si>
    <t>WF-000601</t>
  </si>
  <si>
    <t>WF-000602</t>
  </si>
  <si>
    <t>WF-000603</t>
  </si>
  <si>
    <t>FHD-TRANSMIT-000221</t>
  </si>
  <si>
    <t>WF-000618</t>
  </si>
  <si>
    <t>WF-000619</t>
  </si>
  <si>
    <t>WF-000620</t>
  </si>
  <si>
    <t>WF-000621</t>
  </si>
  <si>
    <t>40-730007-4800001272-FHD-CIV-MAT-000029</t>
  </si>
  <si>
    <t>40-730007-4800001272-FHD-CIV-CRS-000047</t>
  </si>
  <si>
    <t xml:space="preserve">4800001272-FHD-CG - Material Submittal for Structural Steel Framing by Maani Steel </t>
  </si>
  <si>
    <t>FHD-TRANSMIT-000224</t>
  </si>
  <si>
    <t>40-730007-4800001272-FHD-CIV-MST-000009</t>
  </si>
  <si>
    <t>40-730007-4800001272-FHD-CIV-CRS-000048</t>
  </si>
  <si>
    <t>4800001272-FHD-CG - Method Statement for Underground Pipes Hydrostatic Testing</t>
  </si>
  <si>
    <t>FHD-TRANSMIT-000226</t>
  </si>
  <si>
    <t>WF-000655</t>
  </si>
  <si>
    <t>WF-000663</t>
  </si>
  <si>
    <t>40-730007-4800001272-FHD-MEC-MAT-000001</t>
  </si>
  <si>
    <t>40-730007-4800001272-FHD-MEC-CRS-000011</t>
  </si>
  <si>
    <t>4800001272-FHD-CG - Material Submittal for HPDE Pipe and Fitting by Al-Wasail Industry Co.</t>
  </si>
  <si>
    <t>FHD-TRANSMIT-000230</t>
  </si>
  <si>
    <t>WF-000676</t>
  </si>
  <si>
    <r>
      <rPr>
        <b/>
        <sz val="16"/>
        <rFont val="Verdana"/>
        <family val="2"/>
      </rPr>
      <t>Discipline:</t>
    </r>
    <r>
      <rPr>
        <sz val="16"/>
        <rFont val="Verdana"/>
        <family val="2"/>
      </rPr>
      <t xml:space="preserve"> </t>
    </r>
  </si>
  <si>
    <t>Cancelled</t>
  </si>
  <si>
    <t>TOTAL</t>
  </si>
  <si>
    <t>40-730007-4800001272-FHD-MEC-PQD-000011</t>
  </si>
  <si>
    <t>40-730007-4800001272-FHD-MEC-CRS-000012</t>
  </si>
  <si>
    <t>FHD-TRANSMIT-000236</t>
  </si>
  <si>
    <t>40-730007-4800001272-FHD-ARC-PQD-000008</t>
  </si>
  <si>
    <t>40-730007-4800001272-FHD-ARC-CRS-000013</t>
  </si>
  <si>
    <t>4800001272-FHD-CG - Prequalification Document for AL-MOOSA Automatic Doors Factory as Supplier for Fire &amp; non-Fire Rated Hollow Metal Doors and Frames</t>
  </si>
  <si>
    <t>FHD-TRANSMIT-000237</t>
  </si>
  <si>
    <t>40-730007-4800001272-FHD-ARC-PQD-000009</t>
  </si>
  <si>
    <t>40-730007-4800001272-FHD-ARC-CRS-000014</t>
  </si>
  <si>
    <t>4800001272-FHD-CG - Prequalification Document for AL-MOOSA Automatic Doors Factory as Sub-Contractor for Fire &amp; non-Fire Rated Hollow Metal Doors and Frames</t>
  </si>
  <si>
    <t>FHD-TRANSMIT-000238</t>
  </si>
  <si>
    <t>40-730007-4800001272-FHD-ELE-PQD-000007</t>
  </si>
  <si>
    <t>40-730007-4800001272-FHD-ELE-CRS-000010</t>
  </si>
  <si>
    <t>4800001272-FHD-CG - Prequalification Document for CUMMINS Arabia Co. as Supplier for Diesel Generator</t>
  </si>
  <si>
    <t>FHD-TRANSMIT-000239</t>
  </si>
  <si>
    <t>40-730007-4800001272-FHD-CIV-PQD-000004</t>
  </si>
  <si>
    <t>40-730007-4800001272-FHD-CIV-CRS-000049</t>
  </si>
  <si>
    <t>4800001272-FHD-CG - Prequalification Document for Dorat Al-Tal Co. as Supplier for Pre-Cast Telecom Foundations, Manholes, RMU, Catch Basins, Lighting Pole Foundation, Pedestal and Enclosure Foundations</t>
  </si>
  <si>
    <t>FHD-TRANSMIT-000241</t>
  </si>
  <si>
    <t>40-730007-4800001272-FHD-MEC-PQD-000012</t>
  </si>
  <si>
    <t>40-730007-4800001272-FHD-MEC-CRS-000013</t>
  </si>
  <si>
    <t>4800001272-FHD-CG - Prequalification Document for Al-Koblan Thermopipe Factory as Supplier for PPR Pipes and Fittings</t>
  </si>
  <si>
    <t>FHD-TRANSMIT-000242</t>
  </si>
  <si>
    <t>40-730007-4800001272-FHD-CIV-MAT-000030</t>
  </si>
  <si>
    <t>40-730007-4800001272-FHD-CIV-CRS-000050</t>
  </si>
  <si>
    <t>FHD-TRANSMIT-000243</t>
  </si>
  <si>
    <t>40-730007-4800001272-FHD-MEC-PQD-000013</t>
  </si>
  <si>
    <t>40-730007-4800001272-FHD-MEC-CRS-000014</t>
  </si>
  <si>
    <t>4800001272-FHD-CG - Prequalification Document for Saudi Mas Co. as Supplier for Air Compressor of Vehicle's Tire Air Filling.</t>
  </si>
  <si>
    <t>FHD-TRANSMIT-000244</t>
  </si>
  <si>
    <t>40-730007-4800001272-FHD-ARC-PQD-000010</t>
  </si>
  <si>
    <t>40-730007-4800001272-FHD-ARC-CRS-000015</t>
  </si>
  <si>
    <t>4800001272-FHD-CG - Prequalification Document for Al-Mareiyah Advertising Co. as Sub-Contractor for Signages and Wayfinding.</t>
  </si>
  <si>
    <t>FHD-TRANSMIT-000245</t>
  </si>
  <si>
    <t>WF-000688</t>
  </si>
  <si>
    <t>WF-000687</t>
  </si>
  <si>
    <t>WF-000686</t>
  </si>
  <si>
    <t>WF-000685</t>
  </si>
  <si>
    <t>WF-000684</t>
  </si>
  <si>
    <t>WF-000689</t>
  </si>
  <si>
    <t>WF-000690</t>
  </si>
  <si>
    <t>WF-000691</t>
  </si>
  <si>
    <t>WF-000693</t>
  </si>
  <si>
    <t>40-730007-4800001272-FHD-ELE-PQD-000008</t>
  </si>
  <si>
    <t>40-730007-4800001272-FHD-ELE-CRS-000011</t>
  </si>
  <si>
    <t>4800001272-FHD-CG - Prequalification Document for Al-Amal Co. as Supplier for Electric Cable Trays and Trunks.</t>
  </si>
  <si>
    <t>40-730007-4800001272-FHD-ARC-PQD-000011</t>
  </si>
  <si>
    <t>40-730007-4800001272-FHD-ARC-PQD-000012</t>
  </si>
  <si>
    <t>40-730007-4800001272-FHD-ARC-CRS-000016</t>
  </si>
  <si>
    <t>40-730007-4800001272-FHD-ARC-CRS-000017</t>
  </si>
  <si>
    <t>4800001272-FHD-CG - Prequalification Document for ARTS Factory as Supplier for Steel Railings.</t>
  </si>
  <si>
    <t>4800001272-FHD-CG - Prequalification Document for ARTS Factory as Sub-Contractor for Steel Railings.</t>
  </si>
  <si>
    <t>FHD-TRANSMIT-000249</t>
  </si>
  <si>
    <t>FHD-TRANSMIT-000250</t>
  </si>
  <si>
    <t>FHD-TRANSMIT-000251</t>
  </si>
  <si>
    <t>WF-000705</t>
  </si>
  <si>
    <t>FHD-TRANSMIT-000248</t>
  </si>
  <si>
    <t>WF-000706</t>
  </si>
  <si>
    <t>WF-000708</t>
  </si>
  <si>
    <t>WF-000709</t>
  </si>
  <si>
    <t>FHD-TRANSMIT-000254</t>
  </si>
  <si>
    <t>FHD-TRANSMIT-000257</t>
  </si>
  <si>
    <t>40-730007-4800001272-FHD-ELE-CRS-000012</t>
  </si>
  <si>
    <t>40-730007-4800001272-FHD-ELE-PQD-000009</t>
  </si>
  <si>
    <t>4800001272-FHD-CG - Prequalification Document for Fast Growth Energies as Supplier for Solar Energy PV System.</t>
  </si>
  <si>
    <t>FHD-TRANSMIT-000259</t>
  </si>
  <si>
    <t>WF-000739</t>
  </si>
  <si>
    <t>WF-000741</t>
  </si>
  <si>
    <t>WF-000742</t>
  </si>
  <si>
    <t>40-730007-4800001272-FHD-ELE-PQD-000010</t>
  </si>
  <si>
    <t>40-730007-4800001272-FHD-ELE-CRS-000013</t>
  </si>
  <si>
    <t>4800001272-FHD-CG - Prequalification Document for Arab Gulf United Company as Supplier for PLC and SCADA Syetem by Siemens Co.</t>
  </si>
  <si>
    <t>FHD-TRANSMIT-000265</t>
  </si>
  <si>
    <t>FHD-TRANSMIT-000267</t>
  </si>
  <si>
    <t>40-730007-4800001272-FHD-CIV-ITP-000008</t>
  </si>
  <si>
    <t>40-730007-4800001272-FHD-CIV-CRS-000051</t>
  </si>
  <si>
    <t>4800001272-FHD-CG - Inspection and Test Plan for Drainage Sewerage Network.</t>
  </si>
  <si>
    <t>FHD-TRANSMIT-000268</t>
  </si>
  <si>
    <t>03</t>
  </si>
  <si>
    <t>FHD-TRANSMIT-000269</t>
  </si>
  <si>
    <t>4800001272-FHD-CG - Prequalification Document for FAMECO Company as Sub-Contractor for Aluminum Doors, Windows and Accessories</t>
  </si>
  <si>
    <t>40-730007-4800001272-FHD-ARC-PQD-000013</t>
  </si>
  <si>
    <t>40-730007-4800001272-FHD-ARC-CRS-000018</t>
  </si>
  <si>
    <t>40-730007-4800001272-FHD-ARC-PQD-000014</t>
  </si>
  <si>
    <t>40-730007-4800001272-FHD-ARC-CRS-000019</t>
  </si>
  <si>
    <t>4800001272-FHD-CG - Prequalification Document for AL-HADAF International industries as Sub-Contractor for Architectural Works Doors, Steel Structure and Finishings</t>
  </si>
  <si>
    <t>FHD-TRANSMIT-000271</t>
  </si>
  <si>
    <t>FHD-TRANSMIT-000270</t>
  </si>
  <si>
    <t>WF-000765</t>
  </si>
  <si>
    <t>40-730007-4800001272-FHD-ELE-PQD-000011</t>
  </si>
  <si>
    <t>40-730007-4800001272-FHD-ELE-CRS-000014</t>
  </si>
  <si>
    <t>4800001272-FHD-CG - Prequalification Document for ERCON Group as Supplier for Distribution Boards, RMU, Transformers and MCC.</t>
  </si>
  <si>
    <t>FHD-TRANSMIT-000273</t>
  </si>
  <si>
    <t>40-730007-4800001272-FHD-ELE-MAT-000004</t>
  </si>
  <si>
    <t>40-730007-4800001272-FHD-ELE-CRS-000015</t>
  </si>
  <si>
    <t>4800001272-FHD-CG - Material Submittal for MV &amp; LV Cables and Wires by Al Fahd Idahah Co - Bahra</t>
  </si>
  <si>
    <t>FHD-TRANSMIT-000274</t>
  </si>
  <si>
    <t>WF-000767</t>
  </si>
  <si>
    <t>WF-000768</t>
  </si>
  <si>
    <t>WF-000769</t>
  </si>
  <si>
    <t>WF-000770</t>
  </si>
  <si>
    <t>WF-000771</t>
  </si>
  <si>
    <t>WF-000772</t>
  </si>
  <si>
    <t>WF-000773</t>
  </si>
  <si>
    <t>40-730007-4800001272-FHD-MEC-CRS-000015</t>
  </si>
  <si>
    <t>40-730007-4800001272-FHD-MEC-PQD-000014</t>
  </si>
  <si>
    <t>4800001272-FHD-CG - Prequalification Document for Issam Kabbani &amp; Partners (Unitech Co.) as Supplier for Fire Stop Sealant and Farpok Foam Backing Rod.</t>
  </si>
  <si>
    <t>FHD-TRANSMIT-000280</t>
  </si>
  <si>
    <t>40-730007-4800001272-FHD-ARC-MAT-000006</t>
  </si>
  <si>
    <t>40-730007-4800001272-FHD-ARC-CRS-000020</t>
  </si>
  <si>
    <t xml:space="preserve">4800001272-FHD-CG - Material Submittal for Interior Paints by Sigma Paints </t>
  </si>
  <si>
    <t>FHD-TRANSMIT-000285</t>
  </si>
  <si>
    <t>40-730007-4800001272-FHD-SEC-MAT-000001</t>
  </si>
  <si>
    <t>40-730007-4800001272-FHD-SEC-CRS-000003</t>
  </si>
  <si>
    <t>4800001272-FHD-CG - Material Submittal for Gate Scanner X -Ray - Inspection System by Pais Gulf Co. - Diagnostika-M Asset</t>
  </si>
  <si>
    <t>FHD-TRANSMIT-000286</t>
  </si>
  <si>
    <t>_</t>
  </si>
  <si>
    <t>XX</t>
  </si>
  <si>
    <t>FHD-TRANSMIT-000287</t>
  </si>
  <si>
    <t>WF-000794</t>
  </si>
  <si>
    <t>WF-000805</t>
  </si>
  <si>
    <t>WF-000806</t>
  </si>
  <si>
    <t>40-730007-4800001272-FHD-ELE-MAT-000005</t>
  </si>
  <si>
    <t>40-730007-4800001272-FHD-ELE-CRS-000016</t>
  </si>
  <si>
    <t>4800001272-FHD-CG - Material Submittal for Lighting Control System and Sensors by Armada Solutions Company</t>
  </si>
  <si>
    <t>FHD-TRANSMIT-000301</t>
  </si>
  <si>
    <t>40-730007-4800001272-FHD-ARC-MAT-000007</t>
  </si>
  <si>
    <t>40-730007-4800001272-FHD-ARC-CRS-000021</t>
  </si>
  <si>
    <t>4800001272-FHD-CG - Material Submittal for Epoxy Flooring by Sigma Paints</t>
  </si>
  <si>
    <t>FHD-TRANSMIT-000302</t>
  </si>
  <si>
    <t>WF-000845</t>
  </si>
  <si>
    <t>WF-000846</t>
  </si>
  <si>
    <t>40-730007-4800001272-FHD-MEC-CRS-000016</t>
  </si>
  <si>
    <t>40-730007-4800001272-FHD-MEC-PQD-000015</t>
  </si>
  <si>
    <t>4800001272-FHD-CG - Prequalification Document for Sanam Al-Jazeera Co. as Supplier for Pumps and Water Heater</t>
  </si>
  <si>
    <t>FHD-TRANSMIT-000305</t>
  </si>
  <si>
    <t>40-730007-4800001272-FHD-ELE-PQD-000012</t>
  </si>
  <si>
    <t>4800001272-FHD-CG - Prequalification Document for Saudi Technic Energy Co. as Supplier for Diesel Generator</t>
  </si>
  <si>
    <t>40-730007-4800001272-FHD-HSE-MST-000002</t>
  </si>
  <si>
    <t>4800001272-FHD-CG - Method Statement for Work At Height Methodology for Loading and Unloading Steel Cage and Rebar to Trailers</t>
  </si>
  <si>
    <t>FHD-TRANSMIT-000308</t>
  </si>
  <si>
    <t>40-730007-4800001272-FHD-HSE-CRS-000012</t>
  </si>
  <si>
    <t>40-730007-4800001272-FHD-ARC-MAT-000008</t>
  </si>
  <si>
    <t>40-730007-4800001272-FHD-ARC-CRS-000022</t>
  </si>
  <si>
    <t>4800001272-FHD-CG - Material Submittal for Aluminum Window, Curtain Wall, Louver &amp; Cladding by Lavenco Company</t>
  </si>
  <si>
    <t>FHD-TRANSMIT-000309</t>
  </si>
  <si>
    <t>40-730007-4800001272-FHD-ELE-CRS-000017</t>
  </si>
  <si>
    <t>40-730007-4800001272-FHD-ELE-CRS-000018</t>
  </si>
  <si>
    <t>40-730007-4800001272-FHD-ELE-CRS-000019</t>
  </si>
  <si>
    <t>40-730007-4800001272-FHD-ELE-MAT-000006</t>
  </si>
  <si>
    <t>40-730007-4800001272-FHD-ELE-MAT-000007</t>
  </si>
  <si>
    <t>4800001272-FHD-CG - Material Submittal for Transformer- Panel Board- MCC- Capctior Bank- RMU- Bus Riser by ERCO Company</t>
  </si>
  <si>
    <t>FHD-TRANSMIT-000310</t>
  </si>
  <si>
    <t>FHD-TRANSMIT-000311</t>
  </si>
  <si>
    <t>40-730007-4800001272-FHD-MEC-PQD-000016</t>
  </si>
  <si>
    <t>40-730007-4800001272-FHD-MEC-CRS-000017</t>
  </si>
  <si>
    <t>4800001272-FHD-CG - Prequalification Document for Daikin Air Conditioning Saudi Arabia - Supplier for Air Handling Units and Fan Coil Units</t>
  </si>
  <si>
    <t>FHD-TRANSMIT-000317</t>
  </si>
  <si>
    <t>40-730007-4800001272-FHD-ELE-PQD-000013</t>
  </si>
  <si>
    <t>40-730007-4800001272-FHD-ELE-CRS-000020</t>
  </si>
  <si>
    <t>4800001272-FHD-CG - Prequalification Document for Al-Fahd Idah'Ah Co. as Supplier for Ducts by Cubis Company.</t>
  </si>
  <si>
    <t>FHD-TRANSMIT-000320</t>
  </si>
  <si>
    <t>FHD-TRANSMIT-000321</t>
  </si>
  <si>
    <t>WF-000876</t>
  </si>
  <si>
    <t>WF-000877</t>
  </si>
  <si>
    <t>WF-000878</t>
  </si>
  <si>
    <t>40-730007-4800001272-FHD-ELE-CRS-000021</t>
  </si>
  <si>
    <t>40-730007-4800001272-FHD-ELE-MAT-000008</t>
  </si>
  <si>
    <t>4800001272-FHD-CG - Material Submittal for PVC Pipe &amp; Fitting by Al Fahd Idahah National Kham Plastic Factory</t>
  </si>
  <si>
    <t>40-730007-4800001272-FHD-MEC-MAT-000002</t>
  </si>
  <si>
    <t>40-730007-4800001272-FHD-MEC-CRS-000018</t>
  </si>
  <si>
    <t>4800001272-FHD-CG - Material Submittal for HVAC System by Daikin Company</t>
  </si>
  <si>
    <t>FHD-TRANSMIT-000323</t>
  </si>
  <si>
    <t>FHD-TRANSMIT-000324</t>
  </si>
  <si>
    <t>FHD-TRANSMIT-000326</t>
  </si>
  <si>
    <t>WF-000879</t>
  </si>
  <si>
    <t>WF-000880</t>
  </si>
  <si>
    <t>WF-000881</t>
  </si>
  <si>
    <t>WF-000882</t>
  </si>
  <si>
    <t>WF-000888</t>
  </si>
  <si>
    <t>WF-000890</t>
  </si>
  <si>
    <t>WF-000892</t>
  </si>
  <si>
    <t>WF-000893</t>
  </si>
  <si>
    <t>WF-000894</t>
  </si>
  <si>
    <t>40-730007-4800001272-FHD-CIV-ITP-000009</t>
  </si>
  <si>
    <t>40-730007-4800001272-FHD-CIV-CRS-000052</t>
  </si>
  <si>
    <t>40-730007-4800001272-FHD-ELE-MAT-000009</t>
  </si>
  <si>
    <t>40-730007-4800001272-FHD-ELE-CRS-000022</t>
  </si>
  <si>
    <t>4800001272-FHD-CG - Inspection and Test Plan for Vendor (Al Wasail Industrial Company) for HDPE Pipes and Fittings at Manufacturer Facility.</t>
  </si>
  <si>
    <t>FHD-TRANSMIT-000328</t>
  </si>
  <si>
    <t>4800001272-FHD-CG - Material Submittal for Cable Management Systems (Cable Trays-Ladders-Trunks) by AL-AMAL CO.</t>
  </si>
  <si>
    <t>FHD-TRANSMIT-000329</t>
  </si>
  <si>
    <t>40-730007-4800001272-FHD-CIV-MAT-000031</t>
  </si>
  <si>
    <t>40-730007-4800001272-FHD-CIV-CRS-000053</t>
  </si>
  <si>
    <t>4800001272-FHD-CG - Material Submittal for Sika Igasol® Emulsion BA Rubberized Bituminous Waterproofing Emulsion by Color Diversity Decoration Co.</t>
  </si>
  <si>
    <t>FHD-TRANSMIT-000330</t>
  </si>
  <si>
    <t>WF-000917</t>
  </si>
  <si>
    <t>40-730007-4800001272-FHD-MEC-PQD-000017</t>
  </si>
  <si>
    <t>40-730007-4800001272-FHD-MEC-CRS-000019</t>
  </si>
  <si>
    <t>4800001272-FHD-CG - Prequalification Document for Muhammed Fawaz Alanzi Est Co. as Supplier for Plumbing Valves and Accessories</t>
  </si>
  <si>
    <t>FHD-TRANSMIT-000335</t>
  </si>
  <si>
    <t>WF-000931</t>
  </si>
  <si>
    <t>WF-000932</t>
  </si>
  <si>
    <t>WF-000558</t>
  </si>
  <si>
    <t>40-730007-4800001272-FHD-MEC-PQD-000018</t>
  </si>
  <si>
    <t>40-730007-4800001272-FHD-MEC-CRS-000021</t>
  </si>
  <si>
    <t>4800001272-FHD-CG - Prequalification Document for Convergent Technologies as Supplier for Crac Units by Stulz Co.</t>
  </si>
  <si>
    <t>FHD-TRANSMIT-000337</t>
  </si>
  <si>
    <t>FHD-TRANSMIT-000338</t>
  </si>
  <si>
    <t>WF-000938</t>
  </si>
  <si>
    <t>WF-000940</t>
  </si>
  <si>
    <t>WF-000941</t>
  </si>
  <si>
    <t>40-730007-4800001272-FHD-MEC-PQD-000019</t>
  </si>
  <si>
    <t>40-730007-4800001272-FHD-MEC-CRS-000022</t>
  </si>
  <si>
    <t>FHD-TRANSMIT-000346</t>
  </si>
  <si>
    <t>04</t>
  </si>
  <si>
    <t>40-730007-4800001272-FHD-CIV-MAT-000032</t>
  </si>
  <si>
    <t>40-730007-4800001272-FHD-CIV-CRS-000054</t>
  </si>
  <si>
    <t>4800001272-FHD-CG - Material Submittal for Nitoproof 30 (Rubberised Bitumen Emulsion) by Fosam Company Limited</t>
  </si>
  <si>
    <t>FHD-TRANSMIT-000349</t>
  </si>
  <si>
    <t>40-730007-4800001272-FHD-ELE-MAT-000010</t>
  </si>
  <si>
    <t>40-730007-4800001272-FHD-ELE-CRS-000023</t>
  </si>
  <si>
    <t>FHD-TRANSMIT-000350</t>
  </si>
  <si>
    <t>40-730007-4800001272-FHD-ELE-PQD-000014</t>
  </si>
  <si>
    <t>40-730007-4800001272-FHD-ELE-CRS-000024</t>
  </si>
  <si>
    <t>4800001272-FHD-CG - Prequalification Document for GulfNet Solutions Limited Company as Supplier for SCADA, PMS, PLC, RTU System</t>
  </si>
  <si>
    <t>FHD-TRANSMIT-000352</t>
  </si>
  <si>
    <t>40-730007-4800001272-FHD-MEC-PQD-000020</t>
  </si>
  <si>
    <t>40-730007-4800001272-FHD-MEC-CRS-000023</t>
  </si>
  <si>
    <t>40-730007-4800001272-FHD-ELE-PQD-000015</t>
  </si>
  <si>
    <t>40-730007-4800001272-FHD-ELE-CRS-000025</t>
  </si>
  <si>
    <t xml:space="preserve">4800001272-FHD-CG - Prequalification Document for Al-Khoyaref Commercial Industries Co. for the Manufacture and Supply of Diesel Generator
</t>
  </si>
  <si>
    <t>FHD-TRANSMIT-000354</t>
  </si>
  <si>
    <t>4800001272/000 - Pre-qualification Document for Union Pipes Industry for the Supply of HDPE Pipes and Fittings.</t>
  </si>
  <si>
    <t>40-730007-4800001272-FHD-ARC-CRS-000023</t>
  </si>
  <si>
    <t>40-730007-4800001272-FHD-ARC-CRS-000024</t>
  </si>
  <si>
    <t>40-730007-4800001272-FHD-ARC-PQD-000015</t>
  </si>
  <si>
    <t>40-730007-4800001272-FHD-ARC-PQD-000016</t>
  </si>
  <si>
    <t xml:space="preserve">4800001272-FHD-CG - Prequalification Document for Saudi Company for Pre-Fab Building (NEWFAB) Co. as Supplier for Steel Handrail, Suspended Ceiling, Partition and Doors &amp; Windows. </t>
  </si>
  <si>
    <t>FHD-TRANSMIT-000356</t>
  </si>
  <si>
    <t xml:space="preserve">4800001272-FHD-CG - Prequalification Document for Saudi Company for Pre-Fab Building (NEWFAB) Co. as Sub-Contractor for Steel Handrail, Suspended Ceiling, Partition and Doors &amp; Windows. </t>
  </si>
  <si>
    <t>FHD-TRANSMIT-000357</t>
  </si>
  <si>
    <t>40-730007-4800001272-FHD-CIV-ITP-000010</t>
  </si>
  <si>
    <t>40-730007-4800001272-FHD-CIV-CRS-000055</t>
  </si>
  <si>
    <t>4800001272-FHD-CG - Inspection and Test Plan for Cast In Situ (Formwork, Reinforcement &amp; Concrete Works)</t>
  </si>
  <si>
    <t>FHD-TRANSMIT-000358</t>
  </si>
  <si>
    <t xml:space="preserve">Reason: The same ITP was submitted refer to 40-730007-4800001272-FHD-CIV-ITP-000010 </t>
  </si>
  <si>
    <t>40-730007-4800001272-FHD-CIV-MAT-000033</t>
  </si>
  <si>
    <t>40-730007-4800001272-FHD-CIV-MAT-000034</t>
  </si>
  <si>
    <t>40-730007-4800001272-FHD-CIV-CRS-000056</t>
  </si>
  <si>
    <t>40-730007-4800001272-FHD-CIV-CRS-000057</t>
  </si>
  <si>
    <t>4800001272-FHD-CG - Material Submittal for Anchor Bolts by Masdar Technical Service Co.</t>
  </si>
  <si>
    <t>FHD-TRANSMIT-000359</t>
  </si>
  <si>
    <t>4800001272-FHD-CG - Material Submittal for Geotextiles by Terram Geosynthetics Ltd- UNITECH</t>
  </si>
  <si>
    <t>FHD-TRANSMIT-000360</t>
  </si>
  <si>
    <t>40-730007-4800001272-FHD-CIV-MAT-000035</t>
  </si>
  <si>
    <t>40-730007-4800001272-FHD-CIV-CRS-000058</t>
  </si>
  <si>
    <t>4800001272-FHD-CG - Material Submittal for Salt Barrier SB4-D285 (Geotextile) By ALYAF</t>
  </si>
  <si>
    <t>40-730007-4800001272-FHD-MEC-MAT-000003</t>
  </si>
  <si>
    <t>40-730007-4800001272-FHD-MEC-MAT-000004</t>
  </si>
  <si>
    <t>40-730007-4800001272-FHD-MEC-CRS-000024</t>
  </si>
  <si>
    <t>40-730007-4800001272-FHD-MEC-CRS-000025</t>
  </si>
  <si>
    <t>4800001272-FHD-CG - Material Submittal for Pumps By Koon Company.</t>
  </si>
  <si>
    <t>4800001272-FHD-CG - Material Submittal for Ducting Accessories By Alrabie Company.</t>
  </si>
  <si>
    <t>WF-000980</t>
  </si>
  <si>
    <t>WF-000982</t>
  </si>
  <si>
    <t>WF-000983</t>
  </si>
  <si>
    <t>WF-000984</t>
  </si>
  <si>
    <t>WF-000985</t>
  </si>
  <si>
    <t>WF-000986</t>
  </si>
  <si>
    <t>FHD-TRANSMIT-000355</t>
  </si>
  <si>
    <t>WF-000987</t>
  </si>
  <si>
    <t>WF-000988</t>
  </si>
  <si>
    <t>WF-001022</t>
  </si>
  <si>
    <t>WF-001023</t>
  </si>
  <si>
    <t>WF-001024</t>
  </si>
  <si>
    <t>FHD-TRANSMIT-000363</t>
  </si>
  <si>
    <t>FHD-TRANSMIT-000364</t>
  </si>
  <si>
    <t>FHD-TRANSMIT-000365</t>
  </si>
  <si>
    <t>40-730007-4800001272-FHD-MEC-PQD-000021</t>
  </si>
  <si>
    <t>40-730007-4800001272-FHD-MEC-CRS-000026</t>
  </si>
  <si>
    <t>4800001272/000 - Pre-qualification Document for Saudi Factory for Fire Equipment Co. (SFFECO) as Supplier for Fire Fighting System Material.</t>
  </si>
  <si>
    <t>FHD-TRANSMIT-000367</t>
  </si>
  <si>
    <t>40-730007-4800001272-FHD-ELE-MAT-000011</t>
  </si>
  <si>
    <t>40-730007-4800001272-FHD-ELE-CRS-000026</t>
  </si>
  <si>
    <t>4800001272-FHD-CG - Material Submittal for Lighting Fixtures By Saudi Lighting Company (Philips-SLC)</t>
  </si>
  <si>
    <t>FHD-TRANSMIT-000368</t>
  </si>
  <si>
    <t>40-730007-4800001272-FHD-ELE-MAT-000012</t>
  </si>
  <si>
    <t>40-730007-4800001272-FHD-ELE-CRS-000027</t>
  </si>
  <si>
    <t>4800001272-FHD-CG - Material Submittal for PVC &amp; UPVC Fitting By Saudi Plastic Products Co. (SAPPCO)</t>
  </si>
  <si>
    <t>40-730007-4800001272-FHD-ELE-MAT-000013</t>
  </si>
  <si>
    <t>40-730007-4800001272-FHD-ELE-CRS-000028</t>
  </si>
  <si>
    <t>4800001272-FHD-CG - Material Submittal for Generator 1000 KVA By Alkhorayef Commercial</t>
  </si>
  <si>
    <t>Reason: The same ITP was submitted refer to 40-730007-4800001272-FHD-CIV-ITP-000011</t>
  </si>
  <si>
    <t>40-730007-4800001272-FHD-CIV-ITP-000011</t>
  </si>
  <si>
    <t>40-730007-4800001272-FHD-CIV-CRS-000059</t>
  </si>
  <si>
    <t>4800001272-FHD-CG - Inspection and Test Plan for Water/Damp-Proofing</t>
  </si>
  <si>
    <t>FHD-TRANSMIT-000372</t>
  </si>
  <si>
    <t>40-730007-4800001272-FHD-MEC-MAT-000005</t>
  </si>
  <si>
    <t>40-730007-4800001272-FHD-MEC-MAT-000006</t>
  </si>
  <si>
    <t>40-730007-4800001272-FHD-MEC-CRS-000027</t>
  </si>
  <si>
    <t>40-730007-4800001272-FHD-MEC-CRS-000028</t>
  </si>
  <si>
    <t>4800001272-FHD-CG - Material Submittal for Chilled Water Pipe and Fittings By Al Sayed Center Co.</t>
  </si>
  <si>
    <t>WF-001045</t>
  </si>
  <si>
    <t>WF-001046</t>
  </si>
  <si>
    <t>WF-001047</t>
  </si>
  <si>
    <t>WF-001049</t>
  </si>
  <si>
    <t>WF-001050</t>
  </si>
  <si>
    <t>WF-001063</t>
  </si>
  <si>
    <t>SUS - Sustainability</t>
  </si>
  <si>
    <t>40-730007-4800001272-FHD-SUS-PQD-000001</t>
  </si>
  <si>
    <t>40-730007-4800001272-FHD-SUS-CRS-000002</t>
  </si>
  <si>
    <t>FHD-TRANSMIT-000377</t>
  </si>
  <si>
    <t>FHD-TRANSMIT-000378</t>
  </si>
  <si>
    <t>4800001272-FHD-CG - Method Statement for Formworks Installation</t>
  </si>
  <si>
    <t>40-730007-4800001272-FHD-ELE-MAT-000014</t>
  </si>
  <si>
    <t>40-730007-4800001272-FHD-ELE-CRS-000029</t>
  </si>
  <si>
    <t>4800001272-FHD-CG - Material Submittal for EMT &amp; Box &amp; Flexible Liquid Tight By Idahah - ITCC</t>
  </si>
  <si>
    <t>FHD-TRANSMIT-000382</t>
  </si>
  <si>
    <t>WF-001085</t>
  </si>
  <si>
    <t>WF-001086</t>
  </si>
  <si>
    <t>FHD-TRANSMIT-000383</t>
  </si>
  <si>
    <t>FHD-TRANSMIT-000384</t>
  </si>
  <si>
    <t>FHD-TRANSMIT-000385</t>
  </si>
  <si>
    <t>WF-001102</t>
  </si>
  <si>
    <t>WF-001103</t>
  </si>
  <si>
    <t>WF-001104</t>
  </si>
  <si>
    <t>WF-001105</t>
  </si>
  <si>
    <t>40-730007-4800001272-FHD-ELE-PQD-000016</t>
  </si>
  <si>
    <t>40-730007-4800001272-FHD-ELE-CRS-000030</t>
  </si>
  <si>
    <t xml:space="preserve">4800001272-FHD-CG - Prequalification Document for Advanced Electric Co. (SAKIT) for the Supply of DB's, MCC, RMU and Dry-Type Transformer.
</t>
  </si>
  <si>
    <t>40-730007-4800001272-FHD-MEC-PQD-000022</t>
  </si>
  <si>
    <t>40-730007-4800001272-FHD-MEC-CRS-000029</t>
  </si>
  <si>
    <t>FHD-TRANSMIT-000394</t>
  </si>
  <si>
    <t>FHD-TRANSMIT-000395</t>
  </si>
  <si>
    <t>40-730007-4800001272-FHD-MEC-MAT-000007</t>
  </si>
  <si>
    <t>40-730007-4800001272-FHD-MEC-CRS-000030</t>
  </si>
  <si>
    <t>4800001272-FHD-CG - Material Submittal for Pegler Valves by Muhammed Fawaz Alanizi Est For Trading</t>
  </si>
  <si>
    <t>FHD-TRANSMIT-000396</t>
  </si>
  <si>
    <t>40-730007-4800001272-FHD-ARC-MAT-000009</t>
  </si>
  <si>
    <t>40-730007-4800001272-FHD-ARC-CRS-000025</t>
  </si>
  <si>
    <t>4800001272-FHD-CG - Material Submittal for Concrete Masonry Units – Hollow Blocks by Abdullah Abdin Factory</t>
  </si>
  <si>
    <t>FHD-TRANSMIT-000397</t>
  </si>
  <si>
    <t>40-730007-4800001272-FHD-MEC-MAT-000008</t>
  </si>
  <si>
    <t>40-730007-4800001272-FHD-MEC-CRS-000031</t>
  </si>
  <si>
    <t>4800001272-FHD-CG - Material Submittal for CRAC Unit for Main Building By Convergent Technology - Stulz</t>
  </si>
  <si>
    <t>40-730007-4800001272-FHD-ELE-MAT-000015</t>
  </si>
  <si>
    <t>40-730007-4800001272-FHD-ELE-CRS-000031</t>
  </si>
  <si>
    <t>FHD-TRANSMIT-000398</t>
  </si>
  <si>
    <t>4800001272-FHD-CG - Material Submittal for Safety Switch By Idahah - Scame</t>
  </si>
  <si>
    <t>FHD-TRANSMIT-000399</t>
  </si>
  <si>
    <t>40-730007-4800001272-FHD-MEC-CRS-000032</t>
  </si>
  <si>
    <t>40-730007-4800001272-FHD-MEC-MAT-000009</t>
  </si>
  <si>
    <t>4800001272-FHD-CG - Material Submittal for HDPE Fittings By Union Pipes Industry</t>
  </si>
  <si>
    <t>FHD-TRANSMIT-000400</t>
  </si>
  <si>
    <t>40-730007-4800001272-FHD-ARC-MAT-000010</t>
  </si>
  <si>
    <t>40-730007-4800001272-FHD-ARC-CRS-000026</t>
  </si>
  <si>
    <t>4800001272-FHD-CG - Material Submittal for Carpet Tiles Size 500x500mm By Carpet International</t>
  </si>
  <si>
    <t>4800001272-FHD-CG - Material Submittal for Wires and Cables By Idahah - Bahra</t>
  </si>
  <si>
    <t>40-730007-4800001272-FHD-ELE-MAT-000016</t>
  </si>
  <si>
    <t>40-730007-4800001272-FHD-ELE-CRS-000032</t>
  </si>
  <si>
    <t>40-730007-4800001272-FHD-ELE-PQD-000017</t>
  </si>
  <si>
    <t>40-730007-4800001272-FHD-ELE-CRS-000033</t>
  </si>
  <si>
    <t xml:space="preserve">4800001272-FHD-CG - Prequalification Documents for Al-Kashim Contracting Co. as Sub-Contractor for Electrical System Works.
</t>
  </si>
  <si>
    <t>FHD-TRANSMIT-000403</t>
  </si>
  <si>
    <t>FHD-TRANSMIT-000404</t>
  </si>
  <si>
    <t>FHD-TRANSMIT-000405</t>
  </si>
  <si>
    <t>FHD-TRANSMIT-000406</t>
  </si>
  <si>
    <t>40-730007-4800001272-FHD-ARC-PQD-000017</t>
  </si>
  <si>
    <t>4800001272-FHD-CG - Prequalification Documents for Al-Dhayan Aluminum Factory (Dalco Bond) Company - Sub-Contractor for Aluminum Composite Panels</t>
  </si>
  <si>
    <t>40-730007-4800001272-FHD-ARC-CRS-000027</t>
  </si>
  <si>
    <t>FHD-TRANSMIT-000407</t>
  </si>
  <si>
    <t>WF-001178</t>
  </si>
  <si>
    <t>WF-001179</t>
  </si>
  <si>
    <t>WF-001181</t>
  </si>
  <si>
    <t>WF-001183</t>
  </si>
  <si>
    <t>WF-001184</t>
  </si>
  <si>
    <t>WF-001185</t>
  </si>
  <si>
    <t>WF-001186</t>
  </si>
  <si>
    <t>WF-001187</t>
  </si>
  <si>
    <t>WF-001188</t>
  </si>
  <si>
    <t>WF-001189</t>
  </si>
  <si>
    <t>WF-001190</t>
  </si>
  <si>
    <t>WF-001191</t>
  </si>
  <si>
    <t>40-730007-4800001272-FHD-ARC-MAT-000011</t>
  </si>
  <si>
    <t>40-730007-4800001272-FHD-ARC-MAT-000012</t>
  </si>
  <si>
    <t>40-730007-4800001272-FHD-ARC-MAT-000013</t>
  </si>
  <si>
    <t>40-730007-4800001272-FHD-ARC-CRS-000028</t>
  </si>
  <si>
    <t>40-730007-4800001272-FHD-ARC-CRS-000029</t>
  </si>
  <si>
    <t>40-730007-4800001272-FHD-ARC-CRS-000030</t>
  </si>
  <si>
    <t>4800001272-FHD-CG - Material Submittal for Acoustical Tile By Isam Kabbani Unitech - USG ME</t>
  </si>
  <si>
    <t xml:space="preserve">4800001272-FHD-CG - Material Submittal for Vinyl Flooring Sheets By Carpet International </t>
  </si>
  <si>
    <t xml:space="preserve">4800001272-FHD-CG - Material Submittal for Internal and External Signs By Al Mareiyah </t>
  </si>
  <si>
    <t>FHD-TRANSMIT-000413</t>
  </si>
  <si>
    <t>FHD-TRANSMIT-000414</t>
  </si>
  <si>
    <t>FHD-TRANSMIT-000415</t>
  </si>
  <si>
    <t>WF-001215</t>
  </si>
  <si>
    <t>40-730007-4800001272-FHD-ELE-MAT-000017</t>
  </si>
  <si>
    <t>40-730007-4800001272-FHD-ELE-CRS-000034</t>
  </si>
  <si>
    <t>4800001272-FHD-CG - Material Submittal for Generator By Saudi Technical Co.- Cummins</t>
  </si>
  <si>
    <t>FHD-TRANSMIT-000419</t>
  </si>
  <si>
    <t>WF-001223</t>
  </si>
  <si>
    <t>WF-001224</t>
  </si>
  <si>
    <t>WF-001225</t>
  </si>
  <si>
    <t>4800001272-FHD-CG - Prequalification Documents for Green Consulting Engineers L.L.C as Sustainability Sub-Consultants</t>
  </si>
  <si>
    <t>FHD-TRANSMIT-000422</t>
  </si>
  <si>
    <t>40-730007-4800001272-FHD-MEC-MAT-000010</t>
  </si>
  <si>
    <t>40-730007-4800001272-FHD-MEC-CRS-000033</t>
  </si>
  <si>
    <t>4800001272-FHD-CG - Material Submittal for UPVC Pipes by SAPPCO Company</t>
  </si>
  <si>
    <t>FHD-TRANSMIT-000423</t>
  </si>
  <si>
    <t>4800001272-FHD-CG - Prequalification Documents for Saudi Ceramics Co. for the Supply of Electric Water Heaters</t>
  </si>
  <si>
    <t>40-730007-4800001272-FHD-MEC-PQD-000023</t>
  </si>
  <si>
    <t>40-730007-4800001272-FHD-MEC-CRS-000034</t>
  </si>
  <si>
    <t>FHD-TRANSMIT-000424</t>
  </si>
  <si>
    <t>WF-001258</t>
  </si>
  <si>
    <t>WF-001259</t>
  </si>
  <si>
    <t>WF-001260</t>
  </si>
  <si>
    <t>FHD-TRANSMIT-000425</t>
  </si>
  <si>
    <t>FHD-TRANSMIT-000426</t>
  </si>
  <si>
    <t>Reason: The same PQD title was submitted under the  SEC-Security discipline, refer to 40-730007-4800001272-FHD-SEC-PQD-000001 with Code -E.</t>
  </si>
  <si>
    <t>FHD-TRANSMIT-000428</t>
  </si>
  <si>
    <t>FHD-TRANSMIT-000429</t>
  </si>
  <si>
    <t>This document is incorrect as it does not (MST)</t>
  </si>
  <si>
    <t>FHD-TRANSMIT-000434</t>
  </si>
  <si>
    <t>FHD-TRANSMIT-000435</t>
  </si>
  <si>
    <t>FHD-TRANSMIT-000436</t>
  </si>
  <si>
    <t>FHD-TRANSMIT-000437</t>
  </si>
  <si>
    <t>WF-001281</t>
  </si>
  <si>
    <t>WF-001282</t>
  </si>
  <si>
    <t>Expected of Response</t>
  </si>
  <si>
    <t>Delay of Days</t>
  </si>
  <si>
    <t>40-730007-4800001272-FHD-ELE-PQD-000018</t>
  </si>
  <si>
    <t>40-730007-4800001272-FHD-ELE-CRS-000035</t>
  </si>
  <si>
    <t>4800001272-FHD-CG - Prequalification Documents for Electric House Co. as Supplier for EV Charger</t>
  </si>
  <si>
    <t>FHD-TRANSMIT-000440</t>
  </si>
  <si>
    <t>WF-001331</t>
  </si>
  <si>
    <t>40-730007-4800001272-FHD-ELE-PQD-000019</t>
  </si>
  <si>
    <t>40-730007-4800001272-FHD-ELE-CRS-000036</t>
  </si>
  <si>
    <t>4800001272-FHD-CG - Prequalification Documents for Renewable Lighting Factory for Industry as Supplier for Lighting Poles and LED Fixtures</t>
  </si>
  <si>
    <t>FHD-TRANSMIT-000444</t>
  </si>
  <si>
    <t>40-730007-4800001272-FHD-MEC-ITP-000001</t>
  </si>
  <si>
    <t>Reason: The submission was made under the wrong discipline, and the contractor will resubmit it under the Mechanical discipline refer to. 40-730007-4800001272-FHD-MEC-ITP-000001</t>
  </si>
  <si>
    <t>40-730007-4800001272-FHD-MEC-CRS-000035</t>
  </si>
  <si>
    <t>40-730007-4800001272-FHD-ELE-PQD-000020</t>
  </si>
  <si>
    <t>40-730007-4800001272-FHD-ELE-CRS-000037</t>
  </si>
  <si>
    <t>4800001272-FHD-CG - Prequalification Documents for BAHRA-TBS as Supplier and Manufacturer for Cast-Resin Transformer</t>
  </si>
  <si>
    <t>FHD-TRANSMIT-000445</t>
  </si>
  <si>
    <t>FHD-TRANSMIT-000446</t>
  </si>
  <si>
    <t>FHD-TRANSMIT-000447</t>
  </si>
  <si>
    <t>FHD-TRANSMIT-000304</t>
  </si>
  <si>
    <t>WF-001346</t>
  </si>
  <si>
    <t>WF-001347</t>
  </si>
  <si>
    <t>WF-001348</t>
  </si>
  <si>
    <t>FHD-TRANSMIT-000452</t>
  </si>
  <si>
    <t>40-730007-4800001272-FHD-ARC-MAT-000014</t>
  </si>
  <si>
    <t>40-730007-4800001272-FHD-ARC-CRS-000031</t>
  </si>
  <si>
    <t>4800001272-FHD-CG - Material Submittal for Standing Seam Sheet By Roof Metal Industries L.L.C (RMI)</t>
  </si>
  <si>
    <t>40-730007-4800001272-FHD-MEC-PQD-000024</t>
  </si>
  <si>
    <t>40-730007-4800001272-FHD-MEC-CRS-000036</t>
  </si>
  <si>
    <t>4800001272-FHD-CG - Prequalification Documents for Al Salem Air Conditioning (Johnson Controls Arabia Company) as Supplier for CRAC Units.</t>
  </si>
  <si>
    <t>FHD-TRANSMIT-000456</t>
  </si>
  <si>
    <t>40-730007-4800001272-FHD-ELE-PQD-000021</t>
  </si>
  <si>
    <t>40-730007-4800001272-FHD-ELE-CRS-000038</t>
  </si>
  <si>
    <t>4800001272-FHD-CG - Prequalification Documents for Giza Arabia as Sub-Contractor for ICT Network Infrastructure Works</t>
  </si>
  <si>
    <t>FHD-TRANSMIT-000458</t>
  </si>
  <si>
    <t>WF-001406</t>
  </si>
  <si>
    <t>WF-001407</t>
  </si>
  <si>
    <t>FHD-TRANSMIT-000461</t>
  </si>
  <si>
    <t>40-730007-4800001272-FHD-MEC-PQD-000025</t>
  </si>
  <si>
    <t>40-730007-4800001272-FHD-MEC-CRS-000037</t>
  </si>
  <si>
    <t>4800001272-FHD-CG - Prequalification Documents for Samnan Petroleum Services as Supplier for Fuel System</t>
  </si>
  <si>
    <t>FHD-TRANSMIT-000468</t>
  </si>
  <si>
    <t>WF-001409</t>
  </si>
  <si>
    <t>FHD-TRANSMIT-000469</t>
  </si>
  <si>
    <t>40-730007-4800001272-FHD-CIV-PQD-000005</t>
  </si>
  <si>
    <t>4800001272-FHD-CG - Prequalification Documents for Building Control General Contracting EST. as Supplier for RCC Pipes</t>
  </si>
  <si>
    <t>FHD-TRANSMIT-000472</t>
  </si>
  <si>
    <t>4800001272-FHD-CG - Prequalification Documents for Maani Solar Co. as Supplier Solar PV System</t>
  </si>
  <si>
    <t>40-730007-4800001272-FHD-ELE-PQD-000022</t>
  </si>
  <si>
    <t>40-730007-4800001272-FHD-ELE-CRS-000039</t>
  </si>
  <si>
    <t>FHD-TRANSMIT-000473</t>
  </si>
  <si>
    <t>40-730007-4800001272-FHD-MEC-MAT-000011</t>
  </si>
  <si>
    <t>40-730007-4800001272-FHD-MEC-CRS-000038</t>
  </si>
  <si>
    <t>4800001272-FHD-CG - Material Submittal for UPVC Pipes for Storm System By SAPPCO Company</t>
  </si>
  <si>
    <t>FHD-TRANSMIT-000474</t>
  </si>
  <si>
    <t>WF-001443</t>
  </si>
  <si>
    <t>WF-001444</t>
  </si>
  <si>
    <t>WF-001446</t>
  </si>
  <si>
    <t>WF-001447</t>
  </si>
  <si>
    <t>FHD-TRANSMIT-000477</t>
  </si>
  <si>
    <t>WF-001451</t>
  </si>
  <si>
    <t>WF-001454</t>
  </si>
  <si>
    <t>40-730007-4800001272-FHD-MEC-PQD-000026</t>
  </si>
  <si>
    <t>40-730007-4800001272-FHD-MEC-CRS-000039</t>
  </si>
  <si>
    <t>4800001272-FHD-CG - Prequalification Documents for Al-Munif Co. as Supplier for GRP Pipes and Fittings</t>
  </si>
  <si>
    <t>FHD-TRANSMIT-000480</t>
  </si>
  <si>
    <t>FHD-TRANSMIT-000489</t>
  </si>
  <si>
    <t>40-730007-4800001272-FHD-CIV-MAT-000036</t>
  </si>
  <si>
    <t>40-730007-4800001272-FHD-CIV-CRS-000061</t>
  </si>
  <si>
    <t>4800001272-FHD-CG - Material Submittal for Steel Floor Decking By Maani Steel</t>
  </si>
  <si>
    <t>FHD-TRANSMIT-000490</t>
  </si>
  <si>
    <t>WF-001469</t>
  </si>
  <si>
    <t>WF-001470</t>
  </si>
  <si>
    <t>40-730007-4800001272-FHD-MEC-MAT-000012</t>
  </si>
  <si>
    <t>40-730007-4800001272-FHD-MEC-CRS-000040</t>
  </si>
  <si>
    <t>4800001272-FHD-CG - Material Submittal for DX HVAC System By Daikin Company</t>
  </si>
  <si>
    <t>FHD-TRANSMIT-000493</t>
  </si>
  <si>
    <t>40-730007-4800001272-FHD-STR-CRS-000002</t>
  </si>
  <si>
    <t>40-730007-4800001272-FHD-STR-MST-000001</t>
  </si>
  <si>
    <t>FHD-TRANSMIT-000494</t>
  </si>
  <si>
    <t>FHD-TRANSMIT-000497</t>
  </si>
  <si>
    <t>Reason: This submission was made under the wrong discipline, and the contractor will resubmit it under the Mechanical discipline</t>
  </si>
  <si>
    <t>40-730007-4800001272-FHD-ELE-MAT-000018</t>
  </si>
  <si>
    <t>40-730007-4800001272-FHD-ELE-CRS-000040</t>
  </si>
  <si>
    <t>4800001272-FHD-CG - Material Submittal for Wiring Devices By Edhaah - Legrand</t>
  </si>
  <si>
    <t>FHD-TRANSMIT-000499</t>
  </si>
  <si>
    <t>WF-001489</t>
  </si>
  <si>
    <t>WF-001491</t>
  </si>
  <si>
    <t>WF-001492</t>
  </si>
  <si>
    <t>40-730007-4800001272-FHD-MEC-MAT-000013</t>
  </si>
  <si>
    <t>4800001272-FHD-CG - Material Submittal for Ecology System by Daikin-AAF</t>
  </si>
  <si>
    <t>40-730007-4800001272-FHD-MEC-CRS-000041</t>
  </si>
  <si>
    <t>40-730007-4800001272-FHD-ELE-PQD-000023</t>
  </si>
  <si>
    <t>40-730007-4800001272-FHD-ELE-CRS-000041</t>
  </si>
  <si>
    <t>4800001272-FHD-CG - Prequalification Documents for Saudi Technic Energy Co. as Supplier for Ups System by STATRON AG</t>
  </si>
  <si>
    <t>FHD-TRANSMIT-000500</t>
  </si>
  <si>
    <t>Contractor will like to cancel this document due to aconex Code -D</t>
  </si>
  <si>
    <t>FHD-TRANSMIT-000501</t>
  </si>
  <si>
    <t>FHD-TRANSMIT-000503</t>
  </si>
  <si>
    <t>WF-001505</t>
  </si>
  <si>
    <t>WF-001506</t>
  </si>
  <si>
    <t>WF-001507</t>
  </si>
  <si>
    <t>WF-001508</t>
  </si>
  <si>
    <t>40-730007-4800001272-FHD-ELE-MAT-000019</t>
  </si>
  <si>
    <t>40-730007-4800001272-FHD-ELE-MAT-000020</t>
  </si>
  <si>
    <t>40-730007-4800001272-FHD-ELE-MAT-000021</t>
  </si>
  <si>
    <t>40-730007-4800001272-FHD-ELE-CRS-000042</t>
  </si>
  <si>
    <t>40-730007-4800001272-FHD-ELE-CRS-000043</t>
  </si>
  <si>
    <t>40-730007-4800001272-FHD-ELE-CRS-000044</t>
  </si>
  <si>
    <t xml:space="preserve">4800001272-FHD-CG - Material Submittal for HDPE Pipe by Alwasail </t>
  </si>
  <si>
    <t>FHD-TRANSMIT-000508</t>
  </si>
  <si>
    <t>4800001272-FHD-CG - Material Submittal for Cable Accessories Lugs Supply by Idahah -Elmassalla</t>
  </si>
  <si>
    <t>FHD-TRANSMIT-000509</t>
  </si>
  <si>
    <t>4800001272-FHD-CG - Material Submittal for LED Lighting Fixture for Lighting Pole by Renewable Lighting Factory for Industry L.L.C (RLCO)</t>
  </si>
  <si>
    <t>FHD-TRANSMIT-000510</t>
  </si>
  <si>
    <t>FHD-TRANSMIT-000511</t>
  </si>
  <si>
    <t>40-730007-4800001272-FHD-MEC-MAT-000014</t>
  </si>
  <si>
    <t>40-730007-4800001272-FHD-MEC-CRS-000042</t>
  </si>
  <si>
    <t>4800001272-FHD-CG - Material Submittal for HDPE Pipe and Fittings for Irrigation Pip by Alwasil Company</t>
  </si>
  <si>
    <t>40-730007-4800001272-FHD-ELV-MAT-000001</t>
  </si>
  <si>
    <t>40-730007-4800001272-FHD-ELV-CRS-000001</t>
  </si>
  <si>
    <t>40-730007-4800001272-FHD-ELV-CRS-000002</t>
  </si>
  <si>
    <t>40-730007-4800001272-FHD-ELV-MAT-000002</t>
  </si>
  <si>
    <t xml:space="preserve">4800001272-FHD-CG - Material Submittal for Control Cables (Speakers &amp; Access Control &amp; BMS) by ALFAHD - Belden </t>
  </si>
  <si>
    <t>40-730007-4800001272-FHD-ELE-PQD-000024</t>
  </si>
  <si>
    <t>4800001272-FHD-CG - Prequalification Documents for Electric House Co. as Supplier for Cable Management System by Bahra Advanced</t>
  </si>
  <si>
    <t>40-730007-4800001272-FHD-ARC-MAT-000015</t>
  </si>
  <si>
    <t>40-730007-4800001272-FHD-ARC-CRS-000032</t>
  </si>
  <si>
    <t>4800001272-FHD-CG - Material Submittal for Aluminum Baffle Ceiling By Jawdah Industrial Company</t>
  </si>
  <si>
    <t>40-730007-4800001272-FHD-ARC-CRS-000033</t>
  </si>
  <si>
    <t>40-730007-4800001272-FHD-ARC-MAT-000016</t>
  </si>
  <si>
    <t>4800001272-FHD-CG - Material Submittal for Internal - External and Road Sign By Nine Degrees</t>
  </si>
  <si>
    <t>FHD-TRANSMIT-000518</t>
  </si>
  <si>
    <t>ELV - Extra Low Voltage</t>
  </si>
  <si>
    <t>FHD-TRANSMIT-000519</t>
  </si>
  <si>
    <t>FHD-TRANSMIT-000520</t>
  </si>
  <si>
    <t>40-730007-4800001272-FHD-ELE-CRS-000045</t>
  </si>
  <si>
    <t>FHD-TRANSMIT-000521</t>
  </si>
  <si>
    <t>FHD-TRANSMIT-000522</t>
  </si>
  <si>
    <t>FHD-TRANSMIT-000523</t>
  </si>
  <si>
    <t>40-730007-4800001272-FHD-SRV-MST-000002</t>
  </si>
  <si>
    <t>40-730007-4800001272-FHD-SRV-CRS-000003</t>
  </si>
  <si>
    <t>FHD-TRANSMIT-000524</t>
  </si>
  <si>
    <t>Updated Survey Works - Method Statement have been submitted refer to 40-730007-4800001272-FHD-SRV-MST-000002</t>
  </si>
  <si>
    <t>40-730007-4800001272-FHD-MEC-CRS-000043</t>
  </si>
  <si>
    <t>40-730007-4800001272-FHD-MEC-PQD-000027</t>
  </si>
  <si>
    <t>4800001272-FHD-CG - Prequalification Documents for Fuji Saudi Arabia Company for the Supplier of Elevators</t>
  </si>
  <si>
    <t>FHD-TRANSMIT-000525</t>
  </si>
  <si>
    <t>WF-001527</t>
  </si>
  <si>
    <t>WF-001528</t>
  </si>
  <si>
    <t>WF-001529</t>
  </si>
  <si>
    <t>WF-001530</t>
  </si>
  <si>
    <t>FHD-TRANSMIT-000538</t>
  </si>
  <si>
    <t>WF-001537</t>
  </si>
  <si>
    <t>40-730007-4800001272-FHD-CIV-MAT-000037</t>
  </si>
  <si>
    <t>40-730007-4800001272-FHD-CIV-MAT-000038</t>
  </si>
  <si>
    <t>40-730007-4800001272-FHD-CIV-MAT-000039</t>
  </si>
  <si>
    <t>40-730007-4800001272-FHD-CIV-CRS-000063</t>
  </si>
  <si>
    <t>40-730007-4800001272-FHD-CIV-CRS-000064</t>
  </si>
  <si>
    <t>40-730007-4800001272-FHD-CIV-CRS-000065</t>
  </si>
  <si>
    <t>4800001272-FHD-CG - Material Submittal for Primer Paint for Steel Structure By Modern Paints - AkzoNobe</t>
  </si>
  <si>
    <t>WF-001558</t>
  </si>
  <si>
    <t>WF-001559</t>
  </si>
  <si>
    <t>WF-001560</t>
  </si>
  <si>
    <t>WF-001561</t>
  </si>
  <si>
    <t>WF-001562</t>
  </si>
  <si>
    <t>WF-001563</t>
  </si>
  <si>
    <t>WF-001564</t>
  </si>
  <si>
    <t>WF-001565</t>
  </si>
  <si>
    <t>WF-001566</t>
  </si>
  <si>
    <t>40-730007-4800001272-FHD-SUS-PQD-000002</t>
  </si>
  <si>
    <t>40-730007-4800001272-FHD-SUS-CRS-000003</t>
  </si>
  <si>
    <t>4800001272-FHD-CG - Prequalification Documents for Conserve as Sustainability Consultants</t>
  </si>
  <si>
    <t>FHD-TRANSMIT-000547</t>
  </si>
  <si>
    <t>40-730007-4800001272-FHD-MEC-PQD-000028</t>
  </si>
  <si>
    <t>40-730007-4800001272-FHD-MEC-CRS-000045</t>
  </si>
  <si>
    <t>FHD-TRANSMIT-000549</t>
  </si>
  <si>
    <t>Contractor will apply as another supplier as new submittal</t>
  </si>
  <si>
    <t>WF-001577</t>
  </si>
  <si>
    <t>4800001272-FHD-CG - Material Submittal for Sabit Insutherm Extruded Polystyrene sabit Selfado sabit Plasto - SPP By Unitech - SABIT</t>
  </si>
  <si>
    <t>4800001272-FHD-CG - Material Submittal for ClearVu 44 High Security Fence By Cochrane Gulf FZE- Cochrane</t>
  </si>
  <si>
    <t>FHD-TRANSMIT-000568</t>
  </si>
  <si>
    <t>FHD-TRANSMIT-000563</t>
  </si>
  <si>
    <t>FHD-TRANSMIT-000569</t>
  </si>
  <si>
    <t>40-730007-4800001272-FHD-ARC-MAT-000017</t>
  </si>
  <si>
    <t>40-730007-4800001272-FHD-ARC-CRS-000034</t>
  </si>
  <si>
    <t>4800001272-FHD-CG - Material Submittal for Door Hardware By Saudi Etqaan Co (Simplex)</t>
  </si>
  <si>
    <t>40-730007-4800001272-FHD-ARC-MAT-000018</t>
  </si>
  <si>
    <t>40-730007-4800001272-FHD-ARC-CRS-000035</t>
  </si>
  <si>
    <t>4800001272-FHD-CG - Material Submittal for Wooden Flooring By Al Sawaed Co - HAKWOOD INC</t>
  </si>
  <si>
    <t>40-730007-4800001272-FHD-ARC-CRS-000036</t>
  </si>
  <si>
    <t>40-730007-4800001272-FHD-ARC-MAT-000019</t>
  </si>
  <si>
    <t>4800001272-FHD-CG - Material Submittal for Gym RDX Rubber Flooring 8mm By Life Time Fitness Co.</t>
  </si>
  <si>
    <t>40-730007-4800001272-FHD-ARC-CRS-000037</t>
  </si>
  <si>
    <t>40-730007-4800001272-FHD-ARC-MAT-000020</t>
  </si>
  <si>
    <t>4800001272-FHD-CG - Material Submittal for Gypsum and Fiber Cement Board Assemblies By Beam Consolidated-ASK Gypsum Factory Ltd.</t>
  </si>
  <si>
    <t>40-730007-4800001272-FHD-ARC-MAT-000021</t>
  </si>
  <si>
    <t>40-730007-4800001272-FHD-ARC-CRS-000038</t>
  </si>
  <si>
    <t>4800001272-FHD-CG - Material Submittal for Electrically Operated Roll-up Shutter with Aluminum Slats (Somfy) By FAMECO</t>
  </si>
  <si>
    <t>FHD-TRANSMIT-000570</t>
  </si>
  <si>
    <t>FHD-TRANSMIT-000571</t>
  </si>
  <si>
    <t>FHD-TRANSMIT-000572</t>
  </si>
  <si>
    <t>FHD-TRANSMIT-000573</t>
  </si>
  <si>
    <t>FHD-TRANSMIT-000574</t>
  </si>
  <si>
    <t>40-730007-4800001272-FHD-ELV-MST-000001</t>
  </si>
  <si>
    <t>40-730007-4800001272-FHD-ELV-CRS-000003</t>
  </si>
  <si>
    <t>4800001272-FHD-CG - Method Statement for Earthing and Lightning Protection System</t>
  </si>
  <si>
    <t>FHD-TRANSMIT-000575</t>
  </si>
  <si>
    <t>WF-001593</t>
  </si>
  <si>
    <t>WF-001627</t>
  </si>
  <si>
    <t>WF-001628</t>
  </si>
  <si>
    <t>WF-001629</t>
  </si>
  <si>
    <t>WF-001630</t>
  </si>
  <si>
    <t>WF-001631</t>
  </si>
  <si>
    <t>WF-001632</t>
  </si>
  <si>
    <t>WF-001633</t>
  </si>
  <si>
    <t>WF-001635</t>
  </si>
  <si>
    <t>40-730007-4800001272-FHD-MEC-PQD-000029</t>
  </si>
  <si>
    <t>40-730007-4800001272-FHD-MEC-CRS-000046</t>
  </si>
  <si>
    <t>4800001272-FHD-CG - Prequalification Documents for Al-Zarabi Technical Trading Co. as Supplier for Plate Heat Exchangers By HEXONIC Co.</t>
  </si>
  <si>
    <t>FHD-TRANSMIT-000587</t>
  </si>
  <si>
    <t>40-730007-4800001272-FHD-ELE-PQD-000025</t>
  </si>
  <si>
    <t>40-730007-4800001272-FHD-ELE-CRS-000046</t>
  </si>
  <si>
    <t>4800001272-FHD-CG - Prequalification Documents for Al Fahd Co. as Sub-Contractor for Splicing,Termination,Testing &amp; Reporting for Network Cables (Fiber &amp; Copper) Works</t>
  </si>
  <si>
    <t>FHD-TRANSMIT-000588</t>
  </si>
  <si>
    <t>40-730007-4800001272-FHD-ELE-ITP-000001</t>
  </si>
  <si>
    <t>4800001272-FHD-CG - Inspection and Test Plan for Earthing and Lightning Protection System</t>
  </si>
  <si>
    <t>40-730007-4800001272-FHD-ELE-CRS-000047</t>
  </si>
  <si>
    <t>FHD-TRANSMIT-000591</t>
  </si>
  <si>
    <t>WF-001670</t>
  </si>
  <si>
    <t>WF-001673</t>
  </si>
  <si>
    <t>FHD-TRANSMIT-000593</t>
  </si>
  <si>
    <t>40-730007-4800001272-FHD-ELE-MAT-000022</t>
  </si>
  <si>
    <t>40-730007-4800001272-FHD-ELE-MAT-000023</t>
  </si>
  <si>
    <t>40-730007-4800001272-FHD-ELE-CRS-000048</t>
  </si>
  <si>
    <t>40-730007-4800001272-FHD-ELE-CRS-000049</t>
  </si>
  <si>
    <t>4800001272-FHD-CG - Material Submittal for Warning Tape By Idhaah - Glopal Source</t>
  </si>
  <si>
    <t>4800001272-FHD-CG - Material Submittal for Electrical Vehicle Charging System By Electrical House - Scame</t>
  </si>
  <si>
    <t>FHD-TRANSMIT-000596</t>
  </si>
  <si>
    <t>FHD-TRANSMIT-000597</t>
  </si>
  <si>
    <t>WF-001723</t>
  </si>
  <si>
    <t>WF-001724</t>
  </si>
  <si>
    <t>40-730007-4800001272-FHD-MEC-PQD-000030</t>
  </si>
  <si>
    <t>40-730007-4800001272-FHD-MEC-CRS-000047</t>
  </si>
  <si>
    <t>FHD-TRANSMIT-000601</t>
  </si>
  <si>
    <t>40-730007-4800001272-FHD-CIV-MST-000010</t>
  </si>
  <si>
    <t>40-730007-4800001272-FHD-CIV-CRS-000066</t>
  </si>
  <si>
    <t>4800001272-FHD-CG - Method Statement for Scaffolding</t>
  </si>
  <si>
    <t>FHD-TRANSMIT-000604</t>
  </si>
  <si>
    <t>4800001272-FHD-CG - Method Statement for Anti-Termite Application.</t>
  </si>
  <si>
    <t>40-730007-4800001272-FHD-MEC-ITP-000002</t>
  </si>
  <si>
    <t>40-730007-4800001272-FHD-MEC-CRS-000048</t>
  </si>
  <si>
    <t>4800001272-FHD-CG - Inspection and Test Plan for Installation &amp; Testing of Potable Water Network / Irrigation Water Network</t>
  </si>
  <si>
    <t>FHD-TRANSMIT-000607</t>
  </si>
  <si>
    <t>FHD-TRANSMIT-000608</t>
  </si>
  <si>
    <t>WF-001742</t>
  </si>
  <si>
    <t>WF-001745</t>
  </si>
  <si>
    <t>WF-001746</t>
  </si>
  <si>
    <t>40-730007-4800001272-FHD-CIV-MAT-000040</t>
  </si>
  <si>
    <t>40-730007-4800001272-FHD-CIV-CRS-000067</t>
  </si>
  <si>
    <t>4800001272-FHD-CG - Material Submittal for Primer Paint for Steel Structure By Jotun Group</t>
  </si>
  <si>
    <t>FHD-TRANSMIT-000609</t>
  </si>
  <si>
    <t>40-730007-4800001272-FHD-MEC-MAT-000015</t>
  </si>
  <si>
    <t>40-730007-4800001272-FHD-MEC-CRS-000049</t>
  </si>
  <si>
    <t>4800001272-FHD-CG - Material Submittal for Ductwork &amp; Accessories By Al-MABANI Company</t>
  </si>
  <si>
    <t>40-730007-4800001272-FHD-MEC-MAT-000016</t>
  </si>
  <si>
    <t>40-730007-4800001272-FHD-MEC-CRS-000050</t>
  </si>
  <si>
    <t>4800001272-FHD-CG - Material Submittal for Exhaust Fans By Saudi Fan</t>
  </si>
  <si>
    <t>FHD-TRANSMIT-000610</t>
  </si>
  <si>
    <t>FHD-TRANSMIT-000611</t>
  </si>
  <si>
    <t>40-730007-4800001272-FHD-MEC-MAT-000017</t>
  </si>
  <si>
    <t>40-730007-4800001272-FHD-MEC-CRS-000051</t>
  </si>
  <si>
    <t>FHD-TRANSMIT-000612</t>
  </si>
  <si>
    <t>40-730007-4800001272-FHD-ELV-MAT-000003</t>
  </si>
  <si>
    <t>40-730007-4800001272-FHD-ELV-CRS-000004</t>
  </si>
  <si>
    <t>4800001272-FHD-CG - Material Submittal for Public Address System By ALFAHD (Bosch)</t>
  </si>
  <si>
    <t>FHD-TRANSMIT-000613</t>
  </si>
  <si>
    <t>40-730007-4800001272-FHD-ELV-MAT-000004</t>
  </si>
  <si>
    <t>40-730007-4800001272-FHD-ELV-CRS-000005</t>
  </si>
  <si>
    <t>4800001272-FHD-CG - Material Submittal for Passive Components for ICT &amp; SEC &amp; ELV Network By Al Fahd (Nexans/Aginode)</t>
  </si>
  <si>
    <t>FHD-TRANSMIT-000618</t>
  </si>
  <si>
    <t>40-730007-4800001272-FHD-MEC-MAT-000018</t>
  </si>
  <si>
    <t>40-730007-4800001272-FHD-MEC-CRS-000052</t>
  </si>
  <si>
    <t>4800001272-FHD-CG - Material Submittal for Water Heater By Saudi Ceramic Company</t>
  </si>
  <si>
    <t>FHD-TRANSMIT-000619</t>
  </si>
  <si>
    <t>40-730007-4800001272-FHD-CIV-MAT-000041</t>
  </si>
  <si>
    <t>40-730007-4800001272-FHD-CIV-CRS-000068</t>
  </si>
  <si>
    <t>4800001272-FHD-CG - Material Submittal for RCC Pipes for Storm Network by Building Control Company</t>
  </si>
  <si>
    <t>40-730007-4800001272-FHD-ELE-MAT-000024</t>
  </si>
  <si>
    <t>40-730007-4800001272-FHD-ELE-MAT-000025</t>
  </si>
  <si>
    <t>40-730007-4800001272-FHD-ELE-CRS-000050</t>
  </si>
  <si>
    <t>40-730007-4800001272-FHD-ELE-CRS-000051</t>
  </si>
  <si>
    <t>4800001272-FHD-CG - Material Submittal for Cable Accessories / Lugs &amp; Glands By Idahah (Raychem)</t>
  </si>
  <si>
    <t>FHD-TRANSMIT-000622</t>
  </si>
  <si>
    <t>4800001272-FHD-CG - Material Submittal for UPS By Saudi Technic Energy Co. (Statron)</t>
  </si>
  <si>
    <t>FHD-TRANSMIT-000623</t>
  </si>
  <si>
    <t>40-730007-4800001272-FHD-ELE-MAT-000026</t>
  </si>
  <si>
    <t>40-730007-4800001272-FHD-ELE-CRS-000052</t>
  </si>
  <si>
    <t>4800001272-FHD-CG - Material Submittal for Photovoltaic Solar Panel &amp; Solar Inverters By Maani Solar Co.</t>
  </si>
  <si>
    <t>FHD-TRANSMIT-000624</t>
  </si>
  <si>
    <t>WF-001781</t>
  </si>
  <si>
    <t>WF-001782</t>
  </si>
  <si>
    <t>WF-001783</t>
  </si>
  <si>
    <t>WF-001786</t>
  </si>
  <si>
    <t>WF-001787</t>
  </si>
  <si>
    <t>WF-001788</t>
  </si>
  <si>
    <t>WF-001789</t>
  </si>
  <si>
    <t>WF-001790</t>
  </si>
  <si>
    <t>WF-001791</t>
  </si>
  <si>
    <t>WF-001792</t>
  </si>
  <si>
    <t>WF-001793</t>
  </si>
  <si>
    <t>WF-001795</t>
  </si>
  <si>
    <t>40-730007-4800001272-FHD-MEC-PQD-000031</t>
  </si>
  <si>
    <t>40-730007-4800001272-FHD-MEC-CRS-000053</t>
  </si>
  <si>
    <t>FHD-TRANSMIT-000630</t>
  </si>
  <si>
    <t>FHD-TRANSMIT-000633</t>
  </si>
  <si>
    <t>FHD-TRANSMIT-000634</t>
  </si>
  <si>
    <t>40-730007-4800001272-FHD-CIV-MAT-000042</t>
  </si>
  <si>
    <t>40-730007-4800001272-FHD-CIV-CRS-000069</t>
  </si>
  <si>
    <t>FHD-TRANSMIT-000639</t>
  </si>
  <si>
    <t>FHD-TRANSMIT-000640</t>
  </si>
  <si>
    <t>WF-001822</t>
  </si>
  <si>
    <t>WF-001823</t>
  </si>
  <si>
    <t>WF-001824</t>
  </si>
  <si>
    <t>WF-001826</t>
  </si>
  <si>
    <t>40-730007-4800001272-FHD-MEC-MAT-000019</t>
  </si>
  <si>
    <t>40-730007-4800001272-FHD-MEC-CRS-000054</t>
  </si>
  <si>
    <t>FHD-TRANSMIT-000642</t>
  </si>
  <si>
    <t>40-730007-4800001272-FHD-ELE-MAT-000027</t>
  </si>
  <si>
    <t>40-730007-4800001272-FHD-ELE-CRS-000053</t>
  </si>
  <si>
    <t>4800001272-FHD-CG - Material Submittal for Generator By CUMMINS</t>
  </si>
  <si>
    <t>FHD-TRANSMIT-000643</t>
  </si>
  <si>
    <t>FHD-TRANSMIT-000644</t>
  </si>
  <si>
    <t>FHD-TRANSMIT-000645</t>
  </si>
  <si>
    <t>40-730007-4800001272-FHD-ARC-MAT-000022</t>
  </si>
  <si>
    <t>40-730007-4800001272-FHD-ARC-CRS-000039</t>
  </si>
  <si>
    <t>4800001272-FHD-CG - Material Submittal for Porcelain Tiles By Exa Ceramic Company</t>
  </si>
  <si>
    <t>FHD-TRANSMIT-000646</t>
  </si>
  <si>
    <t>40-730007-4800001272-FHD-ARC-MAT-000023</t>
  </si>
  <si>
    <t>40-730007-4800001272-FHD-ARC-CRS-000040</t>
  </si>
  <si>
    <t>4800001272-FHD-CG - Material Submittal for Carpet Tiles By Arch17</t>
  </si>
  <si>
    <t>FHD-TRANSMIT-000647</t>
  </si>
  <si>
    <t>40-730007-4800001272-FHD-ARC-MAT-000024</t>
  </si>
  <si>
    <t>40-730007-4800001272-FHD-ARC-CRS-000041</t>
  </si>
  <si>
    <t>4800001272-FHD-CG - Material Submittal for Strongcoat HB400, Solvent Free High Build Epoxy Floor Coating By DCP</t>
  </si>
  <si>
    <t>FHD-TRANSMIT-000648</t>
  </si>
  <si>
    <t>40-730007-4800001272-FHD-ARC-CRS-000042</t>
  </si>
  <si>
    <t>40-730007-4800001272-FHD-ARC-MAT-000025</t>
  </si>
  <si>
    <t>4800001272-FHD-CG - Material Submittal for Strongcoat EPU100 High Performance Flexible Epoxy Polyurethane Resin By DCP</t>
  </si>
  <si>
    <t>FHD-TRANSMIT-000649</t>
  </si>
  <si>
    <t>40-730007-4800001272-FHD-ARC-CRS-000043</t>
  </si>
  <si>
    <t>40-730007-4800001272-FHD-ARC-MAT-000026</t>
  </si>
  <si>
    <t>4800001272-FHD-CG - Material Submittal for Vitra Tiles C22.324 C22.325C22.326 By Bayt Alebaa (Vitra)</t>
  </si>
  <si>
    <t>FHD-TRANSMIT-000650</t>
  </si>
  <si>
    <t>40-730007-4800001272-FHD-ARC-MAT-000027</t>
  </si>
  <si>
    <t>40-730007-4800001272-FHD-ARC-CRS-000044</t>
  </si>
  <si>
    <t>4800001272-FHD-CG - Material Submittal for Wooden Cladding, Acoustic Wood, Veneer Wooden, Laminate Wooden By Al Sawaed Wood Factory</t>
  </si>
  <si>
    <t>FHD-TRANSMIT-000651</t>
  </si>
  <si>
    <t>40-730007-4800001272-FHD-ARC-CRS-000045</t>
  </si>
  <si>
    <t>40-730007-4800001272-FHD-ARC-MAT-000028</t>
  </si>
  <si>
    <t xml:space="preserve">4800001272-FHD-CG - Material Submittal for Broadloom Carpet Item # FL-13 &amp; FL-14 By Al Sawaed (Royal Thai &amp; Carpet International) </t>
  </si>
  <si>
    <t>FHD-TRANSMIT-000652</t>
  </si>
  <si>
    <t>40-730007-4800001272-FHD-ELV-MAT-000005</t>
  </si>
  <si>
    <t>40-730007-4800001272-FHD-ELV-CRS-000006</t>
  </si>
  <si>
    <t>4800001272-FHD-CG - Material Submittal for Security Systems (CCTV &amp; ACS) Al Fahd - Dahua</t>
  </si>
  <si>
    <t>FHD-TRANSMIT-000656</t>
  </si>
  <si>
    <t>40-730007-4800001272-FHD-MEC-PQD-000032</t>
  </si>
  <si>
    <t>40-730007-4800001272-FHD-MEC-CRS-000055</t>
  </si>
  <si>
    <t>4800001272-FHD-CG - Pre-qualification Documents for Ali Manea Al-Yami Trading Est. as Supplier for Water Meters</t>
  </si>
  <si>
    <t>FHD-TRANSMIT-000663</t>
  </si>
  <si>
    <t>40-730007-4800001272-FHD-ELE-PQD-000026</t>
  </si>
  <si>
    <t>40-730007-4800001272-FHD-ELE-CRS-000054</t>
  </si>
  <si>
    <t>4800001272-FHD-CG - Prequalification Documents for TERA Co. as Sub-Contractor for ICT System</t>
  </si>
  <si>
    <t>FHD-TRANSMIT-000664</t>
  </si>
  <si>
    <t>40-730007-4800001272-FHD-MEC-MAT-000020</t>
  </si>
  <si>
    <t>40-730007-4800001272-FHD-MEC-CRS-000058</t>
  </si>
  <si>
    <t>4800001272-FHD-CG - Material Submittal for Manhole Cover and Drainage By Saudi Cast Company</t>
  </si>
  <si>
    <t>WF-001887</t>
  </si>
  <si>
    <t>FHD-TRANSMIT-000667</t>
  </si>
  <si>
    <t>WF-001874</t>
  </si>
  <si>
    <t>WF-001875</t>
  </si>
  <si>
    <t>WF-001876</t>
  </si>
  <si>
    <t>WF-001877</t>
  </si>
  <si>
    <t>WF-001878</t>
  </si>
  <si>
    <t>WF-001879</t>
  </si>
  <si>
    <t>WF-001880</t>
  </si>
  <si>
    <t>WF-001881</t>
  </si>
  <si>
    <t>WF-001882</t>
  </si>
  <si>
    <t>WF-001883</t>
  </si>
  <si>
    <t>WF-001885</t>
  </si>
  <si>
    <t>WF-001886</t>
  </si>
  <si>
    <t>WF-001888</t>
  </si>
  <si>
    <t>40-730007-4800001272-FHD-ELE-MAT-000028</t>
  </si>
  <si>
    <t>40-730007-4800001272-FHD-ELE-CRS-000055</t>
  </si>
  <si>
    <t xml:space="preserve">4800001272-FHD-CG - Material Submittal for PVC Pipe &amp; Fitting by Idahah - (Saudi Ega) </t>
  </si>
  <si>
    <t>FHD-TRANSMIT-000668</t>
  </si>
  <si>
    <t>4800001272-FHD-CG - Inspection and Test Plan for Steel Structure Installation</t>
  </si>
  <si>
    <t>40-730007-4800001272-FHD-STR-CRS-000004</t>
  </si>
  <si>
    <t>40-730007-4800001272-FHD-STR-ITP-000001</t>
  </si>
  <si>
    <t>FHD-TRANSMIT-000670</t>
  </si>
  <si>
    <t>40-730007-4800001272-FHD-ELE-MAT-000029</t>
  </si>
  <si>
    <t>40-730007-4800001272-FHD-ELE-CRS-000056</t>
  </si>
  <si>
    <t>4800001272-FHD-CG - Material Submittal for Cable Tray-Ladder-Trunk By Bahra</t>
  </si>
  <si>
    <t>FHD-TRANSMIT-000672</t>
  </si>
  <si>
    <t>WF-001900</t>
  </si>
  <si>
    <t>WF-001901</t>
  </si>
  <si>
    <t>WF-001902</t>
  </si>
  <si>
    <t>WF-001903</t>
  </si>
  <si>
    <t>WF-001906</t>
  </si>
  <si>
    <t>40-730007-4800001272-FHD-CIV-MAT-000043</t>
  </si>
  <si>
    <t>40-730007-4800001272-FHD-CIV-CRS-000071</t>
  </si>
  <si>
    <t>4800001272-FHD-CG - Material Submittal for Steel Reinforcement By Al-Shared Steel</t>
  </si>
  <si>
    <t>40-730007-4800001272-FHD-MEC-MAT-000021</t>
  </si>
  <si>
    <t>40-730007-4800001272-FHD-MEC-CRS-000059</t>
  </si>
  <si>
    <t>4800001272-FHD-CG - Material Submittal for Plate Heat Exchanger By Al-Zarabi Company (Hexonic)</t>
  </si>
  <si>
    <t>FHD-TRANSMIT-000682</t>
  </si>
  <si>
    <t>WF-001940</t>
  </si>
  <si>
    <t>FHD-TRANSMIT-000683</t>
  </si>
  <si>
    <t>40-730007-4800001272-FHD-MEC-PQD-000033</t>
  </si>
  <si>
    <t>40-730007-4800001272-FHD-MEC-CRS-000060</t>
  </si>
  <si>
    <t>4800001272-FHD-CG - Pre-qualification Documents for Al-Munif Factory as Supplier for UPVC and CPVC Pipes and Fittings</t>
  </si>
  <si>
    <t>FHD-TRANSMIT-000685</t>
  </si>
  <si>
    <t>40-730007-4800001272-FHD-ARC-PQD-000018</t>
  </si>
  <si>
    <t>40-730007-4800001272-FHD-ARC-CRS-000046</t>
  </si>
  <si>
    <t>4800001272-FHD-CG - Prequalification Documents for Al-Hadaf International Industries as Supplier for Railings and Steel Ladders</t>
  </si>
  <si>
    <t>FHD-TRANSMIT-000686</t>
  </si>
  <si>
    <t>40-730007-4800001272-FHD-ELE-PQD-000027</t>
  </si>
  <si>
    <t>40-730007-4800001272-FHD-ELE-CRS-000057</t>
  </si>
  <si>
    <t>4800001272-FHD-CG - Prequalification Documents for Electric House Co. as Supplier for UPS System By Schneider Co.</t>
  </si>
  <si>
    <t>FHD-TRANSMIT-000693</t>
  </si>
  <si>
    <t>FHD-TRANSMIT-000697</t>
  </si>
  <si>
    <t>40-730007-4800001272-FHD-MEC-MAT-000022</t>
  </si>
  <si>
    <t>40-730007-4800001272-FHD-MEC-CRS-000061</t>
  </si>
  <si>
    <t>4800001272-FHD-CG - Material Submittal for NOVEC System By Elite Company</t>
  </si>
  <si>
    <t>FHD-TRANSMIT-000698</t>
  </si>
  <si>
    <t>WF-001979</t>
  </si>
  <si>
    <t>WF-001980</t>
  </si>
  <si>
    <t>WF-001981</t>
  </si>
  <si>
    <t>WF-001983</t>
  </si>
  <si>
    <t>4800001272-FHD-CG - Material Submittal for Grade 80 Steel Bars by Red Sea Steel Company</t>
  </si>
  <si>
    <t>FHD-TRANSMIT-000701</t>
  </si>
  <si>
    <t>40-730007-4800001272-FHD-ARC-MAT-000029</t>
  </si>
  <si>
    <t>40-730007-4800001272-FHD-ARC-MAT-000030</t>
  </si>
  <si>
    <t>40-730007-4800001272-FHD-ARC-CRS-000047</t>
  </si>
  <si>
    <t>40-730007-4800001272-FHD-ARC-CRS-000048</t>
  </si>
  <si>
    <t>4800001272-FHD-CG - Material Submittal for Metal Baffle Ceiling By Al Sawaed - Marconi</t>
  </si>
  <si>
    <t>4800001272-FHD-CG - Material Submittal for Royal Gold Granite, Riyadh Stone, Omani Moon Grey, Marble by Al Furat Marble Company - EXA Porcelain</t>
  </si>
  <si>
    <t>FHD-TRANSMIT-000703</t>
  </si>
  <si>
    <t>FHD-TRANSMIT-000704</t>
  </si>
  <si>
    <t>40-730007-4800001272-FHD-ARC-MAT-000031</t>
  </si>
  <si>
    <t>40-730007-4800001272-FHD-ARC-CRS-000049</t>
  </si>
  <si>
    <t>4800001272-FHD-CG - Material Submittal for 3mm Thick Checkered Plate HDG By Maani (Bakriya - BIC)</t>
  </si>
  <si>
    <t>FHD-TRANSMIT-000705</t>
  </si>
  <si>
    <t>FHD-TRANSMIT-000706</t>
  </si>
  <si>
    <t>WF-001994</t>
  </si>
  <si>
    <t>WF-001995</t>
  </si>
  <si>
    <t>WF-001996</t>
  </si>
  <si>
    <t>40-730007-4800001272-FHD-ARC-CRS-000050</t>
  </si>
  <si>
    <t>40-730007-4800001272-FHD-ARC-MAT-000032</t>
  </si>
  <si>
    <t>4800001272-FHD-CG - Material Submittal for Avayo Wood Core Panel with PVC Top Finish and Bottom Steel 600x600x40mm By Avayo</t>
  </si>
  <si>
    <t>FHD-TRANSMIT-000708</t>
  </si>
  <si>
    <t>40-730007-4800001272-FHD-MEC-MAT-000023</t>
  </si>
  <si>
    <t>40-730007-4800001272-FHD-MEC-CRS-000062</t>
  </si>
  <si>
    <t>4800001272-FHD-CG - Material Submittal for Pipe, Valves, Sprinklers &amp; Fittings By Elite Company</t>
  </si>
  <si>
    <t>FHD-TRANSMIT-000709</t>
  </si>
  <si>
    <t>40-730007-4800001272-FHD-LAN-MAT-000003</t>
  </si>
  <si>
    <t>40-730007-4800001272-FHD-LAN-CRS-000003</t>
  </si>
  <si>
    <t>4800001272-FHD-CG - Material Submittal for Rubber Flooring By Gebal International Trading Company LLC</t>
  </si>
  <si>
    <t>FHD-TRANSMIT-000710</t>
  </si>
  <si>
    <t>40-730007-4800001272-FHD-MEC-ITP-000003</t>
  </si>
  <si>
    <t>40-730007-4800001272-FHD-MEC-CRS-000064</t>
  </si>
  <si>
    <t>4800001272-FHD-CG - Inspection and Test Plan for VENDOR (ITP) for HDPE Fittings at Manufacturer Facility Union Pipes Industry</t>
  </si>
  <si>
    <t>FHD-TRANSMIT-000712</t>
  </si>
  <si>
    <t>WF-002038</t>
  </si>
  <si>
    <t>WF-002039</t>
  </si>
  <si>
    <t>WF-002040</t>
  </si>
  <si>
    <t>WF-002041</t>
  </si>
  <si>
    <t>WF-002042</t>
  </si>
  <si>
    <t>WF-002043</t>
  </si>
  <si>
    <t>WF-002044</t>
  </si>
  <si>
    <t>WF-002046</t>
  </si>
  <si>
    <t>40-730007-4800001272-FHD-MEC-MAT-000024</t>
  </si>
  <si>
    <t>40-730007-4800001272-FHD-MEC-CRS-000065</t>
  </si>
  <si>
    <t>40-730007-4800001272-FHD-MEC-CRS-000066</t>
  </si>
  <si>
    <t>40-730007-4800001272-FHD-MEC-MAT-000025</t>
  </si>
  <si>
    <t>4800001272-FHD-CG - Material Submittal for Cabinet for Fire Fighting system by Elite Company (NAFFCO, SFFECO)</t>
  </si>
  <si>
    <t>FHD-TRANSMIT-000715</t>
  </si>
  <si>
    <t xml:space="preserve">4800001272-FHD-CG - Material Submittal for Duct and Pipe Insulation by Al-Sayed Center A/C </t>
  </si>
  <si>
    <t>FHD-TRANSMIT-000716</t>
  </si>
  <si>
    <t>4800001272-FHD-CG - Material Submittal for Fire Alarm Cable by ALFAHD - Conex</t>
  </si>
  <si>
    <t>FHD-TRANSMIT-000717</t>
  </si>
  <si>
    <t>40-730007-4800001272-FHD-MEC-PQD-000034</t>
  </si>
  <si>
    <t>4800001272-FHD-CG - Pre-qualification Documents for Al-Mawraqi as Supplier for Pumps By Grundfos Co.</t>
  </si>
  <si>
    <t>40-730007-4800001272-FHD-MEC-CRS-000067</t>
  </si>
  <si>
    <t>FHD-TRANSMIT-000722</t>
  </si>
  <si>
    <t>FHD-TRANSMIT-000718</t>
  </si>
  <si>
    <t>40-730007-4800001272-FHD-ELE-ITP-000002</t>
  </si>
  <si>
    <t>40-730007-4800001272-FHD-ELE-CRS-000058</t>
  </si>
  <si>
    <t>4800001272-FHD-CG - Inspection and Test Plan for Electrical &amp; ICT Raceways &amp; Boxes Installation</t>
  </si>
  <si>
    <t>FHD-TRANSMIT-000726</t>
  </si>
  <si>
    <t>40-730007-4800001272-FHD-MEC-MAT-000026</t>
  </si>
  <si>
    <t>40-730007-4800001272-FHD-MEC-CRS-000068</t>
  </si>
  <si>
    <t>4800001272-FHD-CG - Material Submittal for Elevators &amp; Dumbwaiter By Fuji Saudi Arabia for Elevators &amp; Escalators Co.</t>
  </si>
  <si>
    <t>FHD-TRANSMIT-000727</t>
  </si>
  <si>
    <t>FHD-TRANSMIT-000729</t>
  </si>
  <si>
    <t>FHD-TRANSMIT-000730</t>
  </si>
  <si>
    <t>FHD-TRANSMIT-000731</t>
  </si>
  <si>
    <t>40-730007-4800001272-FHD-MEC-PQD-000035</t>
  </si>
  <si>
    <t>40-730007-4800001272-FHD-MEC-CRS-000069</t>
  </si>
  <si>
    <t>4800001272-FHD-CG - Pre-qualification Documents for Al-Yami Trading Co. as Supplier for Air Separator/Filtrator and Electric Water Heaters/Calorifier.</t>
  </si>
  <si>
    <t>FHD-TRANSMIT-000732</t>
  </si>
  <si>
    <t>40-730007-4800001272-FHD-ELE-MAT-000030</t>
  </si>
  <si>
    <t>40-730007-4800001272-FHD-ELE-CRS-000059</t>
  </si>
  <si>
    <t xml:space="preserve">4800001272-FHD-CG - Material Submittal for Solar Panels By Fast Growth (Canadian Solar) </t>
  </si>
  <si>
    <t>FHD-TRANSMIT-000733</t>
  </si>
  <si>
    <t>40-730007-4800001272-FHD-ARC-MAT-000033</t>
  </si>
  <si>
    <t>40-730007-4800001272-FHD-ARC-CRS-000051</t>
  </si>
  <si>
    <t>4800001272-FHD-CG - Material Submittal for Steel Door By Sultanah Allied Industries Company</t>
  </si>
  <si>
    <t>40-730007-4800001272-FHD-ARC-CRS-000052</t>
  </si>
  <si>
    <t>40-730007-4800001272-FHD-ARC-MAT-000034</t>
  </si>
  <si>
    <t>FHD-TRANSMIT-000734</t>
  </si>
  <si>
    <t>4800001272-FHD-CG - Material Submittal for Wooden Door By Sultanah Allied Industries Company</t>
  </si>
  <si>
    <t>FHD-TRANSMIT-000735</t>
  </si>
  <si>
    <t>40-730007-4800001272-FHD-MEC-MAT-000027</t>
  </si>
  <si>
    <t>40-730007-4800001272-FHD-MEC-MAT-000028</t>
  </si>
  <si>
    <t>40-730007-4800001272-FHD-MEC-CRS-000070</t>
  </si>
  <si>
    <t>40-730007-4800001272-FHD-MEC-CRS-000071</t>
  </si>
  <si>
    <t>4800001272-FHD-CG - Material Submittal for Air Compressor By Saudi MAS Company (SAPPCO)</t>
  </si>
  <si>
    <t>FHD-TRANSMIT-000736</t>
  </si>
  <si>
    <t>FHD-TRANSMIT-000737</t>
  </si>
  <si>
    <t>FHD-TRANSMIT-000738</t>
  </si>
  <si>
    <t>40-730007-4800001272-FHD-CIV-PQD-000006</t>
  </si>
  <si>
    <t>40-730007-4800001272-FHD-CIV-CRS-000072</t>
  </si>
  <si>
    <t>4800001272-FHD-CG - Prequalification Documents for Saudi Ready Mix Co. as Concrete Batching Plant</t>
  </si>
  <si>
    <t>FHD-TRANSMIT-000739</t>
  </si>
  <si>
    <t>40-730007-4800001272-FHD-MEC-MAT-000029</t>
  </si>
  <si>
    <t>40-730007-4800001272-FHD-MEC-CRS-000072</t>
  </si>
  <si>
    <t>4800001272-FHD-CG - Material Submittal for Water Meter By Almanea Al Yami Trading Est. (Envotec-USA)</t>
  </si>
  <si>
    <t>FHD-TRANSMIT-000740</t>
  </si>
  <si>
    <t>WF-002080</t>
  </si>
  <si>
    <t>WF-002081</t>
  </si>
  <si>
    <t>WF-002082</t>
  </si>
  <si>
    <t>WF-002083</t>
  </si>
  <si>
    <t>WF-002084</t>
  </si>
  <si>
    <t>WF-002085</t>
  </si>
  <si>
    <t>WF-002086</t>
  </si>
  <si>
    <t>WF-002087</t>
  </si>
  <si>
    <t>WF-002088</t>
  </si>
  <si>
    <t>WF-002089</t>
  </si>
  <si>
    <t>40-730007-4800001272-FHD-CIV-MAT-000044</t>
  </si>
  <si>
    <t>40-730007-4800001272-FHD-CIV-CRS-000073</t>
  </si>
  <si>
    <t>4800001272-FHD-CG - Material Submittal for Concrete Design Mix For C16 MPA (SRC) Screed by Soliman Bin Saleh Al-Mohileb Co.</t>
  </si>
  <si>
    <t>FHD-TRANSMIT-000746</t>
  </si>
  <si>
    <t>FHD-TRANSMIT-000747</t>
  </si>
  <si>
    <t>WF-002108</t>
  </si>
  <si>
    <t>WF-002109</t>
  </si>
  <si>
    <t>WF-002110</t>
  </si>
  <si>
    <t>WF-002111</t>
  </si>
  <si>
    <t>WF-002113</t>
  </si>
  <si>
    <t>WF-002114</t>
  </si>
  <si>
    <t>WF-002115</t>
  </si>
  <si>
    <t>WF-002116</t>
  </si>
  <si>
    <t>WF-002117</t>
  </si>
  <si>
    <t>WF-002118</t>
  </si>
  <si>
    <t>40-730007-4800001272-FHD-ELV-MAT-000006</t>
  </si>
  <si>
    <t>40-730007-4800001272-FHD-ELV-CRS-000007</t>
  </si>
  <si>
    <t>4800001272-FHD-CG - Material Submittal for Network Cabinets Legrand, Estap By Al Fahd Co.</t>
  </si>
  <si>
    <t>FHD-TRANSMIT-000750</t>
  </si>
  <si>
    <t>40-730007-4800001272-FHD-ARC-MAT-000035</t>
  </si>
  <si>
    <t>40-730007-4800001272-FHD-ARC-CRS-000053</t>
  </si>
  <si>
    <t>4800001272-FHD-CG - Material Submittal for Carpet Tiles &amp; Carpet Broadloom By Alsourayi International Limited Co.</t>
  </si>
  <si>
    <t>FHD-TRANSMIT-000751</t>
  </si>
  <si>
    <t>40-730007-4800001272-FHD-ELE-ITP-000003</t>
  </si>
  <si>
    <t>40-730007-4800001272-FHD-ELE-CRS-000060</t>
  </si>
  <si>
    <t>4800001272-FHD-CG - Inspection and Test Plan for Electrical &amp; ICT Cable Trays, Ladder &amp; Trunking Installation</t>
  </si>
  <si>
    <t>FHD-TRANSMIT-000752</t>
  </si>
  <si>
    <t>WF-002119</t>
  </si>
  <si>
    <t>40-730007-4800001272-FHD-MEC-MAT-000030</t>
  </si>
  <si>
    <t>40-730007-4800001272-FHD-MEC-CRS-000073</t>
  </si>
  <si>
    <t>4800001272-FHD-CG - Material Submittal for UPVC, CPVC Fittings By APLACO</t>
  </si>
  <si>
    <t>FHD-TRANSMIT-000753</t>
  </si>
  <si>
    <t>40-730007-4800001272-FHD-CIV-MAT-000045</t>
  </si>
  <si>
    <t>40-730007-4800001272-FHD-CIV-CRS-000074</t>
  </si>
  <si>
    <t>4800001272-FHD-CG - Material Submittal for PVC WATER STOP By Unitech</t>
  </si>
  <si>
    <t>FHD-TRANSMIT-000754</t>
  </si>
  <si>
    <t>40-730007-4800001272-FHD-MEC-MAT-000031</t>
  </si>
  <si>
    <t>40-730007-4800001272-FHD-MEC-CRS-000074</t>
  </si>
  <si>
    <t>4800001272-FHD-CG - Material Submittal for UPVC, CPVC Pipes and Fittings By Al Munif Pipes</t>
  </si>
  <si>
    <t>FHD-TRANSMIT-000756</t>
  </si>
  <si>
    <t>FHD-TRANSMIT-000757</t>
  </si>
  <si>
    <t>FHD-TRANSMIT-000758</t>
  </si>
  <si>
    <t>WF-002152</t>
  </si>
  <si>
    <t>WF-002153</t>
  </si>
  <si>
    <t>WF-002154</t>
  </si>
  <si>
    <t>WF-002155</t>
  </si>
  <si>
    <t>WF-002156</t>
  </si>
  <si>
    <t>40-730007-4800001272-FHD-ELE-CRS-000061</t>
  </si>
  <si>
    <t>40-730007-4800001272-FHD-ELE-PQD-000028</t>
  </si>
  <si>
    <t>4800001272-FHD-CG - Prequalification Documents for Swedtel Arabia as Supplier for Scada System and BMS</t>
  </si>
  <si>
    <t>FHD-TRANSMIT-000764</t>
  </si>
  <si>
    <t>FHD-TRANSMIT-000765</t>
  </si>
  <si>
    <t>WF-002162</t>
  </si>
  <si>
    <t>WF-002163</t>
  </si>
  <si>
    <t>WF-002164</t>
  </si>
  <si>
    <t xml:space="preserve">4800001272-FHD-CG - Material Submittal for Structural Steel Framing Manufactured By Maani (Hyundai Steel) </t>
  </si>
  <si>
    <t>40-730007-4800001272-FHD-STR-MAT-000001</t>
  </si>
  <si>
    <t>40-730007-4800001272-FHD-STR-CRS-000007</t>
  </si>
  <si>
    <t>FHD-TRANSMIT-000766</t>
  </si>
  <si>
    <t>40-730007-4800001272-FHD-SEC-PQD-000002</t>
  </si>
  <si>
    <t>40-730007-4800001272-FHD-SEC-CRS-000004</t>
  </si>
  <si>
    <t>4800001272-FHD-CG - Prequalification Document for AcuTech Co.- Sub-Consultant for Security Systems.</t>
  </si>
  <si>
    <t>FHD-TRANSMIT-000772</t>
  </si>
  <si>
    <t>FHD-TRANSMIT-000773</t>
  </si>
  <si>
    <t>40-730007-4800001272-FHD-ELE-MAT-000031</t>
  </si>
  <si>
    <t>40-730007-4800001272-FHD-ELE-CRS-000062</t>
  </si>
  <si>
    <t>4800001272-FHD-CG - Material Submittal for UPVC Pipe &amp; Fitting By Idahah - (Saudi Ega)</t>
  </si>
  <si>
    <t>40-730007-4800001272-FHD-ELE-MAT-000032</t>
  </si>
  <si>
    <t>40-730007-4800001272-FHD-ELE-CRS-000063</t>
  </si>
  <si>
    <t>4800001272-FHD-CG - Material Submittal for Fire Alarm System By Alfahd (Edward)</t>
  </si>
  <si>
    <t>40-730007-4800001272-FHD-ELE-MAT-000033</t>
  </si>
  <si>
    <t>40-730007-4800001272-FHD-ELE-CRS-000064</t>
  </si>
  <si>
    <t>4800001272-FHD-CG - Material Submittal for Lighting Ex Proof By Idahah (Vyrtych)</t>
  </si>
  <si>
    <t>FHD-TRANSMIT-000774</t>
  </si>
  <si>
    <t>FHD-TRANSMIT-000775</t>
  </si>
  <si>
    <t>FHD-TRANSMIT-000776</t>
  </si>
  <si>
    <t>40-730007-4800001272-FHD-LAN-MAT-000004</t>
  </si>
  <si>
    <t>40-730007-4800001272-FHD-LAN-CRS-000004</t>
  </si>
  <si>
    <t>4800001272-FHD-CG - Material Submittal for Soft Scape Plantation By Company Wardeh Gelnar for Trading</t>
  </si>
  <si>
    <t>FHD-TRANSMIT-000777</t>
  </si>
  <si>
    <t>40-730007-4800001272-FHD-MEC-PQD-000036</t>
  </si>
  <si>
    <t>40-730007-4800001272-FHD-MEC-CRS-000075</t>
  </si>
  <si>
    <t>4800001272-FHD-CG - Pre-qualification Documents for Joint Gulf Business Establishment as Supplier for PHE By KELVION CO.</t>
  </si>
  <si>
    <t>FHD-TRANSMIT-000779</t>
  </si>
  <si>
    <t>WF-002167</t>
  </si>
  <si>
    <t>WF-002168</t>
  </si>
  <si>
    <t>WF-002181</t>
  </si>
  <si>
    <t>40-730007-4800001272-FHD-MEC-PQD-000037</t>
  </si>
  <si>
    <t>40-730007-4800001272-FHD-MEC-CRS-000076</t>
  </si>
  <si>
    <t>4800001272-FHD-CG - Pre-qualification Documents for Integrated Engineering Contracting Co. as Supplier for Fuel System.</t>
  </si>
  <si>
    <t>FHD-TRANSMIT-000782</t>
  </si>
  <si>
    <t>40-730007-4800001272-FHD-ARC-MAT-000036</t>
  </si>
  <si>
    <t>40-730007-4800001272-FHD-ARC-CRS-000054</t>
  </si>
  <si>
    <t>4800001272-FHD-CG - Material Submittal for Roof Cement Tiles By Arabian Tiles Company ARTIC</t>
  </si>
  <si>
    <t>FHD-TRANSMIT-000783</t>
  </si>
  <si>
    <t>FHD-TRANSMIT-000786</t>
  </si>
  <si>
    <t>FHD-TRANSMIT-000788</t>
  </si>
  <si>
    <t>40-730007-4800001272-FHD-MEC-PQD-000038</t>
  </si>
  <si>
    <t>40-730007-4800001272-FHD-MEC-CRS-000077</t>
  </si>
  <si>
    <t>4800001272-FHD-CG - Pre-qualification Documents for Enjaz United Co. as Supplier for Fire Pumps By Bristol Co.</t>
  </si>
  <si>
    <t>FHD-TRANSMIT-000787</t>
  </si>
  <si>
    <t>WF-002198</t>
  </si>
  <si>
    <t>WF-002199</t>
  </si>
  <si>
    <t>WF-002200</t>
  </si>
  <si>
    <t>WF-002201</t>
  </si>
  <si>
    <t>WF-002202</t>
  </si>
  <si>
    <t>WF-002203</t>
  </si>
  <si>
    <t>WF-002204</t>
  </si>
  <si>
    <t>WF-002214</t>
  </si>
  <si>
    <t>WF-002205</t>
  </si>
  <si>
    <t>WF-002206</t>
  </si>
  <si>
    <t>40-730007-4800001272-FHD-SEC-CRS-000005</t>
  </si>
  <si>
    <t>40-730007-4800001272-FHD-SEC-MAT-000002</t>
  </si>
  <si>
    <t>4800001272-FHD-CG - Material Submittal for Cars Scanner Gate Supply By Parkpoint (CGN)</t>
  </si>
  <si>
    <t>WF-002213</t>
  </si>
  <si>
    <t>WF-002215</t>
  </si>
  <si>
    <t>40-730007-4800001272-FHD-MEC-PQD-000039</t>
  </si>
  <si>
    <t>40-730007-4800001272-FHD-MEC-CRS-000078</t>
  </si>
  <si>
    <t>4800001272-FHD-CG - Pre-qualification Documents for Saudi Cast Co. as Supplier for Drains and Manhole Covers.</t>
  </si>
  <si>
    <t>FHD-TRANSMIT-000793</t>
  </si>
  <si>
    <t>WF-002240</t>
  </si>
  <si>
    <t>FHD-TRANSMIT-000800</t>
  </si>
  <si>
    <t>40-730007-4800001272-FHD-MEC-ITP-000004</t>
  </si>
  <si>
    <t>40-730007-4800001272-FHD-MEC-CRS-000079</t>
  </si>
  <si>
    <t>4800001272-FHD-CG - Inspection and Test Plan for Fire Fighting System</t>
  </si>
  <si>
    <t>FHD-TRANSMIT-000801</t>
  </si>
  <si>
    <t>FHD-TRANSMIT-000802</t>
  </si>
  <si>
    <t>40-730007-4800001272-FHD-STR-MAT-000002</t>
  </si>
  <si>
    <t>40-730007-4800001272-FHD-STR-CRS-000008</t>
  </si>
  <si>
    <t>4800001272-FHD-CG - Material Submittal for Handrails and Cage Access Ladder By Al Hadaf International Industries</t>
  </si>
  <si>
    <t>FHD-TRANSMIT-000810</t>
  </si>
  <si>
    <t>WF-002276</t>
  </si>
  <si>
    <t>40-730007-4800001272-FHD-ELV-MAT-000007</t>
  </si>
  <si>
    <t>40-730007-4800001272-FHD-ELV-CRS-000008</t>
  </si>
  <si>
    <t>4800001272-FHD-CG - Material Submittal for PIDS Microwave System By Alfahd (Cias Elettronica)</t>
  </si>
  <si>
    <t>FHD-TRANSMIT-000812</t>
  </si>
  <si>
    <t>FHD-TRANSMIT-000813</t>
  </si>
  <si>
    <t>FHD-TRANSMIT-000814</t>
  </si>
  <si>
    <t>FHD-TRANSMIT-000815</t>
  </si>
  <si>
    <t>WF-002284</t>
  </si>
  <si>
    <t>FHD-TRANSMIT-000820</t>
  </si>
  <si>
    <t>FHD-TRANSMIT-000831</t>
  </si>
  <si>
    <t>40-730007-4800001272-FHD-ARC-PQD-000019</t>
  </si>
  <si>
    <t>40-730007-4800001272-FHD-ARC-CRS-000055</t>
  </si>
  <si>
    <t>4800001272-FHD-CG - Prequalification Documents for Rollc Factory as Supplier for Fire-Rated Shutter Doors.</t>
  </si>
  <si>
    <t>FHD-TRANSMIT-000821</t>
  </si>
  <si>
    <t>FHD-TRANSMIT-000822</t>
  </si>
  <si>
    <t>FHD-TRANSMIT-000823</t>
  </si>
  <si>
    <t>40-730007-4800001272-FHD-CIV-MAT-000046</t>
  </si>
  <si>
    <t>40-730007-4800001272-FHD-CIV-CRS-000075</t>
  </si>
  <si>
    <t>40-730007-4800001272-FHD-CIV-MAT-000047</t>
  </si>
  <si>
    <t>40-730007-4800001272-FHD-CIV-CRS-000076</t>
  </si>
  <si>
    <t>4800001272-FHD-CG - Material Submittal for Concrete C16 MPA OPC GGBFS By Saudi Ready Mix</t>
  </si>
  <si>
    <t>4800001272-FHD-CG - Material Submittal for Concrete C16 MPA OPC Screed GGBFS By Saudi Ready Mix</t>
  </si>
  <si>
    <t>40-730007-4800001272-FHD-CIV-MAT-000048</t>
  </si>
  <si>
    <t>40-730007-4800001272-FHD-CIV-CRS-000077</t>
  </si>
  <si>
    <t>4800001272-FHD-CG - Material Submittal for Concrete C32 MPA OPC GGBFS By Saudi Ready Mix</t>
  </si>
  <si>
    <t>40-730007-4800001272-FHD-CIV-CRS-000078</t>
  </si>
  <si>
    <t>40-730007-4800001272-FHD-CIV-MAT-000049</t>
  </si>
  <si>
    <t>4800001272-FHD-CG - Material Submittal for Concrete C40 MPA OPC GGBFS By Saudi Ready Mix</t>
  </si>
  <si>
    <t xml:space="preserve">4800001272-FHD-CG - Material Submittal for Electrical Water Heater By Ali Manea Alyami Trading Est (ARISTON) </t>
  </si>
  <si>
    <t>40-730007-4800001272-FHD-MEC-MAT-000032</t>
  </si>
  <si>
    <t>40-730007-4800001272-FHD-MEC-CRS-000080</t>
  </si>
  <si>
    <t>FHD-TRANSMIT-000824</t>
  </si>
  <si>
    <t>FHD-TRANSMIT-000827</t>
  </si>
  <si>
    <t>FHD-TRANSMIT-000828</t>
  </si>
  <si>
    <t>FHD-TRANSMIT-000830</t>
  </si>
  <si>
    <t>WF-002297</t>
  </si>
  <si>
    <t>FHD-TRANSMIT-000833</t>
  </si>
  <si>
    <t>FHD-TRANSMIT-000834</t>
  </si>
  <si>
    <t>FHD-TRANSMIT-000835</t>
  </si>
  <si>
    <t>40-730007-4800001272-FHD-STR-MAT-000003</t>
  </si>
  <si>
    <t>40-730007-4800001272-FHD-STR-CRS-000009</t>
  </si>
  <si>
    <t>4800001272-FHD-CG - Material Submittal for Fence and Gates By A One Fence Arabia Company Industry</t>
  </si>
  <si>
    <t>FHD-TRANSMIT-000838</t>
  </si>
  <si>
    <t>40-730007-4800001272-FHD-ARC-MAT-000037</t>
  </si>
  <si>
    <t>40-730007-4800001272-FHD-ARC-CRS-000056</t>
  </si>
  <si>
    <t>4800001272-FHD-CG - Material Submittal for HDF Flooring By Bayt Alebaa</t>
  </si>
  <si>
    <t>FHD-TRANSMIT-000839</t>
  </si>
  <si>
    <t>FHD-TRANSMIT-000841</t>
  </si>
  <si>
    <t>FHD-TRANSMIT-000842</t>
  </si>
  <si>
    <t>FHD-TRANSMIT-000843</t>
  </si>
  <si>
    <t>WF-002311</t>
  </si>
  <si>
    <t>WF-002314</t>
  </si>
  <si>
    <t>WF-002315</t>
  </si>
  <si>
    <t>WF-002316</t>
  </si>
  <si>
    <t>WF-002317</t>
  </si>
  <si>
    <t>WF-002318</t>
  </si>
  <si>
    <t>WF-002319</t>
  </si>
  <si>
    <t>WF-002320</t>
  </si>
  <si>
    <t>WF-002321</t>
  </si>
  <si>
    <t>WF-002322</t>
  </si>
  <si>
    <t>WF-002326</t>
  </si>
  <si>
    <t>FHD-TRANSMIT-000846</t>
  </si>
  <si>
    <t>FHD-TRANSMIT-000847</t>
  </si>
  <si>
    <t>FHD-TRANSMIT-000849</t>
  </si>
  <si>
    <t>FHD-TRANSMIT-000850</t>
  </si>
  <si>
    <t>FHD-TRANSMIT-000851</t>
  </si>
  <si>
    <t>FHD-TRANSMIT-000854</t>
  </si>
  <si>
    <t>WF-002340</t>
  </si>
  <si>
    <t>WF-002345</t>
  </si>
  <si>
    <t>WF-002346</t>
  </si>
  <si>
    <t>WF-002347</t>
  </si>
  <si>
    <t>WF-002348</t>
  </si>
  <si>
    <t>WF-002349</t>
  </si>
  <si>
    <t>40-730007-4800001272-FHD-SUS-PQD-000003</t>
  </si>
  <si>
    <t>40-730007-4800001272-FHD-SUS-CRS-000004</t>
  </si>
  <si>
    <t>4800001272-FHD-CG - Prequalification Documents for QTC – Quality Techno Certification as Sustainability Consultants</t>
  </si>
  <si>
    <t>FHD-TRANSMIT-000856</t>
  </si>
  <si>
    <t>FHD-TRANSMIT-000859</t>
  </si>
  <si>
    <t>40-730007-4800001272-FHD-MEC-MAT-000033</t>
  </si>
  <si>
    <t>40-730007-4800001272-FHD-MEC-CRS-000081</t>
  </si>
  <si>
    <t>4800001272-FHD-CG - Material Submittal for Pumps By El-Mawraqi (Grundfos Refiex)</t>
  </si>
  <si>
    <t>FHD-TRANSMIT-000860</t>
  </si>
  <si>
    <t>WF-002358</t>
  </si>
  <si>
    <t>WF-002360</t>
  </si>
  <si>
    <t>WF-002361</t>
  </si>
  <si>
    <t>FHD-TRANSMIT-000861</t>
  </si>
  <si>
    <t>40-730007-4800001272-FHD-MEC-MAT-000034</t>
  </si>
  <si>
    <t>40-730007-4800001272-FHD-MEC-CRS-000082</t>
  </si>
  <si>
    <t>4800001272-FHD-CG - Material Submittal for Sanitary Waste Piping Special Ties for Storm By Saudi Cast Co.</t>
  </si>
  <si>
    <t>FHD-TRANSMIT-000862</t>
  </si>
  <si>
    <t>40-730007-4800001272-FHD-ARC-MAT-000038</t>
  </si>
  <si>
    <t>40-730007-4800001272-FHD-ARC-MAT-000039</t>
  </si>
  <si>
    <t>40-730007-4800001272-FHD-ARC-CRS-000057</t>
  </si>
  <si>
    <t>40-730007-4800001272-FHD-ARC-CRS-000058</t>
  </si>
  <si>
    <t>4800001272-FHD-CG - Material Submittal for Cladding By Lavenco Aluminum System</t>
  </si>
  <si>
    <t>FHD-TRANSMIT-000863</t>
  </si>
  <si>
    <t>4800001272-FHD-CG - Material Submittal for Aluminum Window &amp; Curtain Wall &amp; Louver By Lavenco Aluminum System</t>
  </si>
  <si>
    <t>FHD-TRANSMIT-000864</t>
  </si>
  <si>
    <t>40-730007-4800001272-FHD-ARC-MAT-000040</t>
  </si>
  <si>
    <t>40-730007-4800001272-FHD-ARC-CRS-000059</t>
  </si>
  <si>
    <t>4800001272-FHD-CG - Material Submittal for Powder Coat By Lavenco Aluminum System</t>
  </si>
  <si>
    <t>FHD-TRANSMIT-000865</t>
  </si>
  <si>
    <t>40-730007-4800001272-FHD-ARC-MAT-000041</t>
  </si>
  <si>
    <t>40-730007-4800001272-FHD-ARC-CRS-000060</t>
  </si>
  <si>
    <t xml:space="preserve">4800001272-FHD-CG - Material Submittal for Silicone By Lavenco - Wn Wacker </t>
  </si>
  <si>
    <t>FHD-TRANSMIT-000866</t>
  </si>
  <si>
    <t>40-730007-4800001272-FHD-ARC-MAT-000042</t>
  </si>
  <si>
    <t>40-730007-4800001272-FHD-ARC-CRS-000061</t>
  </si>
  <si>
    <t>4800001272-FHD-CG - Material Submittal for Accessories &amp; Rubber By Lavenco Aluminum System</t>
  </si>
  <si>
    <t>FHD-TRANSMIT-000867</t>
  </si>
  <si>
    <t>40-730007-4800001272-FHD-ARC-MAT-000043</t>
  </si>
  <si>
    <t>40-730007-4800001272-FHD-ARC-CRS-000062</t>
  </si>
  <si>
    <t>4800001272-FHD-CG - Material Submittal for Glazing Glass By Lavenco Aluminum System</t>
  </si>
  <si>
    <t>FHD-TRANSMIT-000868</t>
  </si>
  <si>
    <t>WF-002363</t>
  </si>
  <si>
    <t>WF-002364</t>
  </si>
  <si>
    <t>WF-002365</t>
  </si>
  <si>
    <t>WF-002366</t>
  </si>
  <si>
    <t>WF-002367</t>
  </si>
  <si>
    <t>WF-002368</t>
  </si>
  <si>
    <t>WF-002370</t>
  </si>
  <si>
    <t>40-730007-4800001272-FHD-ARC-PQD-000020</t>
  </si>
  <si>
    <t>40-730007-4800001272-FHD-ARC-CRS-000063</t>
  </si>
  <si>
    <t>4800001272-FHD-CG - Prequalification Documents for QMI Building Metal Products Manufacturing LLC as Supplier for Fire-Rated Steel Doors.</t>
  </si>
  <si>
    <t>FHD-TRANSMIT-000871</t>
  </si>
  <si>
    <t>WF-002376</t>
  </si>
  <si>
    <t>FHD-TRANSMIT-000873</t>
  </si>
  <si>
    <t>FHD-TRANSMIT-000874</t>
  </si>
  <si>
    <t>40-730007-4800001272-FHD-STR-MAT-000004</t>
  </si>
  <si>
    <t>40-730007-4800001272-FHD-STR-CRS-000010</t>
  </si>
  <si>
    <t>4800001272-FHD-CG - Material Submittal for Intumescent Paint to Provide Fire Resistance to Steel Structure Elements By Maani - (Hempel Paint)</t>
  </si>
  <si>
    <t>FHD-TRANSMIT-000875</t>
  </si>
  <si>
    <t>FHD-TRANSMIT-000876</t>
  </si>
  <si>
    <t>40-730007-4800001272-FHD-MEC-MAT-000035</t>
  </si>
  <si>
    <t>40-730007-4800001272-FHD-MEC-CRS-000083</t>
  </si>
  <si>
    <t>4800001272-FHD-CG - Material Submittal for Pipes &amp; Ancillaries for Fuel System By Integrated Engineering &amp; Contracting Co.</t>
  </si>
  <si>
    <t>FHD-TRANSMIT-000878</t>
  </si>
  <si>
    <t>WF-002378</t>
  </si>
  <si>
    <t>WF-002382</t>
  </si>
  <si>
    <t>WF-002385</t>
  </si>
  <si>
    <t>WF-002386</t>
  </si>
  <si>
    <t>40-730007-4800001272-FHD-ELE-MAT-000034</t>
  </si>
  <si>
    <t>40-730007-4800001272-FHD-ELE-MAT-000035</t>
  </si>
  <si>
    <t>40-730007-4800001272-FHD-ELE-CRS-000065</t>
  </si>
  <si>
    <t>40-730007-4800001272-FHD-ELE-CRS-000066</t>
  </si>
  <si>
    <t>4800001272-FHD-CG - Material Submittal for PLC, RTU Scada System By GulfNet Co. (Honeywell)</t>
  </si>
  <si>
    <t>FHD-TRANSMIT-000883</t>
  </si>
  <si>
    <t>4800001272-FHD-CG - Material Submittal for Lighting Fixtures By Saudi Lighting Co (Philips-SLC)</t>
  </si>
  <si>
    <t>FHD-TRANSMIT-000884</t>
  </si>
  <si>
    <t>FHD-TRANSMIT-000885</t>
  </si>
  <si>
    <t>WF-002402</t>
  </si>
  <si>
    <t>FHD-TRANSMIT-000889</t>
  </si>
  <si>
    <t>FHD-TRANSMIT-000890</t>
  </si>
  <si>
    <t>40-730007-4800001272-FHD-ARC-PQD-000021</t>
  </si>
  <si>
    <t>40-730007-4800001272-FHD-ARC-CRS-000064</t>
  </si>
  <si>
    <t>4800001272-FHD-CG - Prequalification Documents for Adwaa Alkhalel Aluminum Factory Co. as Supplier for Aluminum Cladding and Windows</t>
  </si>
  <si>
    <t>FHD-TRANSMIT-000891</t>
  </si>
  <si>
    <t>WF-002405</t>
  </si>
  <si>
    <t>40-730007-4800001272-FHD-MEC-MAT-000036</t>
  </si>
  <si>
    <t>40-730007-4800001272-FHD-MEC-CRS-000084</t>
  </si>
  <si>
    <t>4800001272-FHD-CG - Material Submittal for Fuel Tanks for Fuel System By Integrated Engineering &amp; Contracting Co.</t>
  </si>
  <si>
    <t>FHD-TRANSMIT-000892</t>
  </si>
  <si>
    <t>FHD-TRANSMIT-000893</t>
  </si>
  <si>
    <t>WF-002407</t>
  </si>
  <si>
    <t>WF-002408</t>
  </si>
  <si>
    <t>WF-002409</t>
  </si>
  <si>
    <t>WF-002410</t>
  </si>
  <si>
    <t>WF-002411</t>
  </si>
  <si>
    <t>FHD-TRANSMIT-000895</t>
  </si>
  <si>
    <t>WF-002418</t>
  </si>
  <si>
    <t>4800001272-FHD-CG - Inspection and Test Plan for VENDOR (ITP) for HDPE Pipes &amp; Fittings By Union Pipes Industry, Saudi Arabia.</t>
  </si>
  <si>
    <t>40-730007-4800001272-FHD-MEC-ITP-000005</t>
  </si>
  <si>
    <t>40-730007-4800001272-FHD-MEC-CRS-000085</t>
  </si>
  <si>
    <t>FHD-TRANSMIT-000902</t>
  </si>
  <si>
    <t>This submittal is not required due to Contractor have approved another supplier refer to. 40-730007-4800001272-FHD-LAN-MAT-000003</t>
  </si>
  <si>
    <t xml:space="preserve">This submittal is not required due to Contractor will proceed with another supplier as referenced in document # 40-730007-4800001272-FHD-ARC-MAT-000029
</t>
  </si>
  <si>
    <t>FHD-TRANSMIT-000904</t>
  </si>
  <si>
    <t>40-730007-4800001272-FHD-MEC-MAT-000037</t>
  </si>
  <si>
    <t>40-730007-4800001272-FHD-MEC-CRS-000086</t>
  </si>
  <si>
    <t>4800001272-FHD-CG - Material Submittal for PHE Plate Heat Exchanger By Joint Gulf Business Est (Kelvion)</t>
  </si>
  <si>
    <t>FHD-TRANSMIT-000905</t>
  </si>
  <si>
    <t>WF-002430</t>
  </si>
  <si>
    <t>WF-002431</t>
  </si>
  <si>
    <t>40-730007-4800001272-FHD-ARC-MAT-000044</t>
  </si>
  <si>
    <t>40-730007-4800001272-FHD-ARC-CRS-000065</t>
  </si>
  <si>
    <t>4800001272-FHD-CG - Material Submittal for Raised Floor By Avayo Middle East Company limited</t>
  </si>
  <si>
    <t>FHD-TRANSMIT-000906</t>
  </si>
  <si>
    <t>40-730007-4800001272-FHD-LAN-MAT-000005</t>
  </si>
  <si>
    <t>40-730007-4800001272-FHD-LAN-CRS-000005</t>
  </si>
  <si>
    <t>4800001272-FHD-CG - Material Submittal for Curbstone By Al Fahd Co.</t>
  </si>
  <si>
    <t>FHD-TRANSMIT-000907</t>
  </si>
  <si>
    <t>40-730007-4800001272-FHD-MEC-MAT-000038</t>
  </si>
  <si>
    <t>40-730007-4800001272-FHD-MEC-CRS-000087</t>
  </si>
  <si>
    <t>4800001272-FHD-CG - Material Submittal for Fire Extinguishers and Wheeled Fire Extinguishers By Elite Fire Trading Co (AMEREX &amp; SFFECO)</t>
  </si>
  <si>
    <t>40-730007-4800001272-FHD-ELV-MAT-000008</t>
  </si>
  <si>
    <t>40-730007-4800001272-FHD-ELV-CRS-000009</t>
  </si>
  <si>
    <t>4800001272-FHD-CG - Material Submittal for Active Components Network By Al Fahd (Huawei &amp; Fortinet)</t>
  </si>
  <si>
    <t>FHD-TRANSMIT-000912</t>
  </si>
  <si>
    <t>FHD-TRANSMIT-000913</t>
  </si>
  <si>
    <t>WF-002443</t>
  </si>
  <si>
    <t>WF-002444</t>
  </si>
  <si>
    <t>WF-002445</t>
  </si>
  <si>
    <t>WF-002447</t>
  </si>
  <si>
    <t>40-730007-4800001272-FHD-MEC-PQD-000040</t>
  </si>
  <si>
    <t>40-730007-4800001272-FHD-MEC-CRS-000088</t>
  </si>
  <si>
    <t>4800001272-FHD-CG - Pre-qualification Documents for Al Remal Co. as Supplier for Sanitary Waster Piping Material By Ducast Co.</t>
  </si>
  <si>
    <t>FHD-TRANSMIT-000918</t>
  </si>
  <si>
    <t>40-730007-4800001272-FHD-MEC-PQD-000041</t>
  </si>
  <si>
    <t>40-730007-4800001272-FHD-MEC-CRS-000089</t>
  </si>
  <si>
    <t>4800001272-FHD-CG - Pre-qualification Documents for Saudi Cyprus Foundries as Supplier for Sanitary Waste Material.</t>
  </si>
  <si>
    <t>FHD-TRANSMIT-000919</t>
  </si>
  <si>
    <t>40-730007-4800001272-FHD-ARC-MAT-000045</t>
  </si>
  <si>
    <t>40-730007-4800001272-FHD-ARC-CRS-000066</t>
  </si>
  <si>
    <t>4800001272-FHD-CG - Material Submittal for Rolling Shutter Doors By ROLLC for Trading Company</t>
  </si>
  <si>
    <t>FHD-TRANSMIT-000920</t>
  </si>
  <si>
    <t>FHD-TRANSMIT-000921</t>
  </si>
  <si>
    <t>FHD-TRANSMIT-000922</t>
  </si>
  <si>
    <t>40-730007-4800001272-FHD-ELE-MAT-000036</t>
  </si>
  <si>
    <t>40-730007-4800001272-FHD-ELE-CRS-000067</t>
  </si>
  <si>
    <t>WF-002451</t>
  </si>
  <si>
    <t>WF-002452</t>
  </si>
  <si>
    <t>WF-002454</t>
  </si>
  <si>
    <t>4800001272-FHD-CG - Material Submittal for Solar Inverter By Fast Growth Energies (Chnt)</t>
  </si>
  <si>
    <t>FHD-TRANSMIT-000923</t>
  </si>
  <si>
    <t>WF-002461</t>
  </si>
  <si>
    <t>WF-002462</t>
  </si>
  <si>
    <t>WF-002463</t>
  </si>
  <si>
    <t>40-730007-4800001272-FHD-MEC-PQD-000042</t>
  </si>
  <si>
    <t>40-730007-4800001272-FHD-MEC-CRS-000090</t>
  </si>
  <si>
    <t>4800001272-FHD-CG - Pre-qualification Documents for Tysseer Services Trading Co. as Supplier for Puddle Flange Material.</t>
  </si>
  <si>
    <t>FHD-TRANSMIT-000926</t>
  </si>
  <si>
    <t>FHD-TRANSMIT-000929</t>
  </si>
  <si>
    <t>WF-002464</t>
  </si>
  <si>
    <t>40-730007-4800001272-FHD-CIV-MST-000011</t>
  </si>
  <si>
    <t>40-730007-4800001272-FHD-CIV-CRS-000079</t>
  </si>
  <si>
    <t>4800001272-FHD-CG - Method Statement for Construction Joints in Concrete Structure</t>
  </si>
  <si>
    <t>FHD-TRANSMIT-000934</t>
  </si>
  <si>
    <t>WF-002488</t>
  </si>
  <si>
    <t>40-730007-4800001272-FHD-ELE-MAT-000037</t>
  </si>
  <si>
    <t>40-730007-4800001272-FHD-ELE-CRS-000068</t>
  </si>
  <si>
    <t>4800001272-FHD-CG - Material Submittal for Solar Cable By Fast Growth Energies Co. (MESC)</t>
  </si>
  <si>
    <t>FHD-TRANSMIT-000937</t>
  </si>
  <si>
    <t>FHD-TRANSMIT-000938</t>
  </si>
  <si>
    <t>40-730007-4800001272-FHD-STR-MAT-000005</t>
  </si>
  <si>
    <t>40-730007-4800001272-FHD-STR-CRS-000011</t>
  </si>
  <si>
    <t>FHD-TRANSMIT-000939</t>
  </si>
  <si>
    <t>WF-002489</t>
  </si>
  <si>
    <t>WF-002497</t>
  </si>
  <si>
    <t>WF-002500</t>
  </si>
  <si>
    <t>WF-002502</t>
  </si>
  <si>
    <t>WF-002503</t>
  </si>
  <si>
    <t>40-730007-4800001272-FHD-MEC-PQD-000043</t>
  </si>
  <si>
    <t>40-730007-4800001272-FHD-MEC-CRS-000091</t>
  </si>
  <si>
    <t>4800001272-FHD-CG - Pre-qualification Documents for MGCC Factory as Supplier for Ducts</t>
  </si>
  <si>
    <t>FHD-TRANSMIT-000941</t>
  </si>
  <si>
    <t>40-730007-4800001272-FHD-STR-MAT-000006</t>
  </si>
  <si>
    <t>40-730007-4800001272-FHD-STR-CRS-000012</t>
  </si>
  <si>
    <t>4800001272-FHD-CG - Material Submittal for Structural Steel Framing By Maani (Emirates Steel)</t>
  </si>
  <si>
    <t>FHD-TRANSMIT-000943</t>
  </si>
  <si>
    <t>WF-002505</t>
  </si>
  <si>
    <t>WF-002506</t>
  </si>
  <si>
    <t>40-730007-4800001272-FHD-LAN-MAT-000006</t>
  </si>
  <si>
    <t>40-730007-4800001272-FHD-LAN-CRS-000006</t>
  </si>
  <si>
    <t>4800001272-FHD-CG - Material Submittal for External Rubber for Outdoor Training Area Life Time Fitness Co. (KDF)</t>
  </si>
  <si>
    <t>FHD-TRANSMIT-000945</t>
  </si>
  <si>
    <t>FHD-TRANSMIT-000947</t>
  </si>
  <si>
    <t>40-730007-4800001272-FHD-MEC-PQD-000044</t>
  </si>
  <si>
    <t>40-730007-4800001272-FHD-MEC-CRS-000092</t>
  </si>
  <si>
    <t>4800001272-FHD-CG - Pre-qualification Documents for IMS Co. as Supplier for Pipes, Flanges and Fittings</t>
  </si>
  <si>
    <t>FHD-TRANSMIT-000948</t>
  </si>
  <si>
    <t>WF-002515</t>
  </si>
  <si>
    <t>40-730007-4800001272-FHD-ARC-MST-000001</t>
  </si>
  <si>
    <t>40-730007-4800001272-FHD-ARC-CRS-000067</t>
  </si>
  <si>
    <t>4800001272-FHD-CG - Method Statement for Painting Works</t>
  </si>
  <si>
    <t>FHD-TRANSMIT-000949</t>
  </si>
  <si>
    <t>FHD-TRANSMIT-000953</t>
  </si>
  <si>
    <t>WF-002516</t>
  </si>
  <si>
    <t>WF-002520</t>
  </si>
  <si>
    <t>WF-002522</t>
  </si>
  <si>
    <t>FHD-TRANSMIT-000954</t>
  </si>
  <si>
    <t>40-730007-4800001272-FHD-ARC-MAT-000046</t>
  </si>
  <si>
    <t>4800001272-FHD-CG - Material Submittal for Handrails By Arts Factory</t>
  </si>
  <si>
    <t>FHD-TRANSMIT-000955</t>
  </si>
  <si>
    <t>FHD-TRANSMIT-000956</t>
  </si>
  <si>
    <t>FHD-TRANSMIT-000957</t>
  </si>
  <si>
    <t>40-730007-4800001272-FHD-LAN-MAT-000007</t>
  </si>
  <si>
    <t>40-730007-4800001272-FHD-LAN-CRS-000007</t>
  </si>
  <si>
    <t>4800001272-FHD-CG - Material Submittal for Wheel Stopper By Kayan Co. (MRM)</t>
  </si>
  <si>
    <t>FHD-TRANSMIT-000959</t>
  </si>
  <si>
    <t>FHD-TRANSMIT-000961</t>
  </si>
  <si>
    <t>FHD-TRANSMIT-000962</t>
  </si>
  <si>
    <t>WF-002529</t>
  </si>
  <si>
    <t>WF-002530</t>
  </si>
  <si>
    <t>WF-002531</t>
  </si>
  <si>
    <t>WF-002532</t>
  </si>
  <si>
    <t>WF-002533</t>
  </si>
  <si>
    <t>WF-002534</t>
  </si>
  <si>
    <t>WF-002535</t>
  </si>
  <si>
    <t>WF-002536</t>
  </si>
  <si>
    <t>FHD-TRANSMIT-000965</t>
  </si>
  <si>
    <t>FHD-TRANSMIT-000966</t>
  </si>
  <si>
    <t>40-730007-4800001272-FHD-MEC-PQD-000045</t>
  </si>
  <si>
    <t>40-730007-4800001272-FHD-MEC-CRS-000093</t>
  </si>
  <si>
    <t>4800001272-FHD-CG - Pre-qualification Documents for Al Mawraqi Co. as Supplier for Pressurization Unit and Air Separator By Reflex Co.</t>
  </si>
  <si>
    <t>FHD-TRANSMIT-000971</t>
  </si>
  <si>
    <t>40-730007-4800001272-FHD-MEC-CRS-000094</t>
  </si>
  <si>
    <t>40-730007-4800001272-FHD-MEC-MAT-000039</t>
  </si>
  <si>
    <t>4800001272-FHD-CG - Material Submittal for Ductile Iron Manhole Covers and Gratings with Frames for Storm Network By Saudi Cyprus Foundries Ltd.</t>
  </si>
  <si>
    <t>FHD-TRANSMIT-000973</t>
  </si>
  <si>
    <t>4800001272-FHD-CG - Material Submittal for CRAC Unit By Jhonson Control Company</t>
  </si>
  <si>
    <t>FHD-TRANSMIT-000974</t>
  </si>
  <si>
    <t>FHD-TRANSMIT-000975</t>
  </si>
  <si>
    <t>FHD-TRANSMIT-000976</t>
  </si>
  <si>
    <t>4800001272-FHD-CG - - Pre-qualification Documents for Modern Generation Contracting Co. as Sub-Contractor for Mechanical Works</t>
  </si>
  <si>
    <t>4800001272-FHD-CG - Pre-qualification Documents for Elite Fire Trading Co. as Sub-Contractor for Fire Fighting System Works.</t>
  </si>
  <si>
    <t>FHD-TRANSMIT-000979</t>
  </si>
  <si>
    <t>FHD-TRANSMIT-000980</t>
  </si>
  <si>
    <t>FHD-TRANSMIT-000981</t>
  </si>
  <si>
    <t>WF-002543</t>
  </si>
  <si>
    <t>WF-002545</t>
  </si>
  <si>
    <t>WF-002549</t>
  </si>
  <si>
    <t>WF-002551</t>
  </si>
  <si>
    <t>WF-002552</t>
  </si>
  <si>
    <t>WF-002553</t>
  </si>
  <si>
    <t>WF-002554</t>
  </si>
  <si>
    <t>WF-002555</t>
  </si>
  <si>
    <t>WF-002556</t>
  </si>
  <si>
    <t>WF-002558</t>
  </si>
  <si>
    <t>40-730007-4800001272-FHD-MEC-ITP-000006</t>
  </si>
  <si>
    <t>40-730007-4800001272-FHD-MEC-CRS-000095</t>
  </si>
  <si>
    <t>4800001272-FHD-CG - Inspection and Test Plan for VENDOR (ITP) for Steel Structure Fabrication at Manufacturer Facility MAANI Co.</t>
  </si>
  <si>
    <t>FHD-TRANSMIT-000984</t>
  </si>
  <si>
    <t>FHD-TRANSMIT-000987</t>
  </si>
  <si>
    <t>40-730007-4800001272-FHD-CIV-MST-000012</t>
  </si>
  <si>
    <t>40-730007-4800001272-FHD-CIV-CRS-000080</t>
  </si>
  <si>
    <t>4800001272-FHD-CG - Method Statement for Septic Tank Installation</t>
  </si>
  <si>
    <t>FHD-TRANSMIT-000988</t>
  </si>
  <si>
    <t>FHD-TRANSMIT-000989</t>
  </si>
  <si>
    <t>FHD-TRANSMIT-000990</t>
  </si>
  <si>
    <t>WF-002572</t>
  </si>
  <si>
    <t>WF-002573</t>
  </si>
  <si>
    <t>FHD-TRANSMIT-000996</t>
  </si>
  <si>
    <t>FHD-TRANSMIT-000997</t>
  </si>
  <si>
    <t>WF-002584</t>
  </si>
  <si>
    <t>WF-002586</t>
  </si>
  <si>
    <t>WF-002589</t>
  </si>
  <si>
    <t>WF-002590</t>
  </si>
  <si>
    <t>40-730007-4800001272-FHD-CIV-MST-000013</t>
  </si>
  <si>
    <t>40-730007-4800001272-FHD-CIV-CRS-000081</t>
  </si>
  <si>
    <t>4800001272-FHD-CG - Method Statement for Concrete Pouring in Columns</t>
  </si>
  <si>
    <t>FHD-TRANSMIT-000999</t>
  </si>
  <si>
    <t>40-730007-4800001272-FHD-ARC-MAT-000047</t>
  </si>
  <si>
    <t>40-730007-4800001272-FHD-ARC-CRS-000068</t>
  </si>
  <si>
    <t>40-730007-4800001272-FHD-ARC-CRS-000069</t>
  </si>
  <si>
    <t>4800001272-FHD-CG - Material Submittal for Vinyl Flooring By Gerflor</t>
  </si>
  <si>
    <t>FHD-TRANSMIT-001000</t>
  </si>
  <si>
    <t>WF-002592</t>
  </si>
  <si>
    <t>40-730007-4800001272-FHD-STR-MAT-000007</t>
  </si>
  <si>
    <t>40-730007-4800001272-FHD-STR-CRS-000013</t>
  </si>
  <si>
    <t>4800001272-FHD-CG - Material Submittal for Structural Steel Framing By Maani (THL TUBE &amp; Pipe Industries LLC)</t>
  </si>
  <si>
    <t>FHD-TRANSMIT-001004</t>
  </si>
  <si>
    <t>40-730007-4800001272-FHD-MEC-MAT-000040</t>
  </si>
  <si>
    <t>40-730007-4800001272-FHD-MEC-CRS-000096</t>
  </si>
  <si>
    <t>4800001272-FHD-CG - Material Submittal for Puddle Flanges for Fire Tank By Tysseer Services Trading Co.</t>
  </si>
  <si>
    <t>FHD-TRANSMIT-001007</t>
  </si>
  <si>
    <t>WF-002599</t>
  </si>
  <si>
    <t>WF-002600</t>
  </si>
  <si>
    <t>WF-002601</t>
  </si>
  <si>
    <t>40-730007-4800001272-FHD-ELE-PQD-000029</t>
  </si>
  <si>
    <t>40-730007-4800001272-FHD-ELE-CRS-000069</t>
  </si>
  <si>
    <t>4800001272-FHD-CG - Prequalification Documents for Saudi Technic Energy Co. as Supplier for Diesel Generators</t>
  </si>
  <si>
    <t>FHD-TRANSMIT-001008</t>
  </si>
  <si>
    <t>40-730007-4800001272-FHD-CIV-CRS-000082</t>
  </si>
  <si>
    <t>40-730007-4800001272-FHD-CIV-MST-000014</t>
  </si>
  <si>
    <t>4800001272-FHD-CG - Method Statement for Installation of Chemical Anchors</t>
  </si>
  <si>
    <t>FHD-TRANSMIT-001009</t>
  </si>
  <si>
    <t>40-730007-4800001272-FHD-MEC-PQD-000046</t>
  </si>
  <si>
    <t>40-730007-4800001272-FHD-MEC-CRS-000097</t>
  </si>
  <si>
    <t>4800001272-FHD-CG - Pre-qualification Documents for Johnson Control Arabia as Supplier for Ecology Unit By Ruskin Titus Co.</t>
  </si>
  <si>
    <t>FHD-TRANSMIT-001010</t>
  </si>
  <si>
    <t>WF-002606</t>
  </si>
  <si>
    <t>40-730007-4800001272-FHD-ELE-MAT-000038</t>
  </si>
  <si>
    <t>40-730007-4800001272-FHD-ELE-CRS-000070</t>
  </si>
  <si>
    <t>40-730007-4800001272-FHD-ELE-MAT-000039</t>
  </si>
  <si>
    <t>40-730007-4800001272-FHD-ELE-CRS-000071</t>
  </si>
  <si>
    <t>4800001272-FHD-CG - Material Submittal for Panel and Electrical Material for Fuel System By Integrated Engineering Contracting Co.</t>
  </si>
  <si>
    <t>FHD-TRANSMIT-001017</t>
  </si>
  <si>
    <t>4800001272-FHD-CG - Material Submittal for Generator By Saudi Technical Co. (IPS)</t>
  </si>
  <si>
    <t>FHD-TRANSMIT-001018</t>
  </si>
  <si>
    <t>40-730007-4800001272-FHD-LAN-MAT-000008</t>
  </si>
  <si>
    <t>40-730007-4800001272-FHD-LAN-CRS-000008</t>
  </si>
  <si>
    <t>4800001272-FHD-CG - Material Submittal for Fence and Gates By Cochrane Gulf</t>
  </si>
  <si>
    <t>FHD-TRANSMIT-001020</t>
  </si>
  <si>
    <t>40-730007-4800001272-FHD-CIV-MST-000015</t>
  </si>
  <si>
    <t>40-730007-4800001272-FHD-CIV-CRS-000083</t>
  </si>
  <si>
    <t>4800001272-FHD-CG - Method Statement for Repair of Concrete Casting Defects</t>
  </si>
  <si>
    <t>FHD-TRANSMIT-001021</t>
  </si>
  <si>
    <t>FHD-TRANSMIT-001023</t>
  </si>
  <si>
    <t>WF-002614</t>
  </si>
  <si>
    <t>WF-002615</t>
  </si>
  <si>
    <t>WF-002620</t>
  </si>
  <si>
    <t>WF-002621</t>
  </si>
  <si>
    <t>WF-002622</t>
  </si>
  <si>
    <t>WF-002623</t>
  </si>
  <si>
    <t>WF-002624</t>
  </si>
  <si>
    <t>FHD-TRANSMIT-001024</t>
  </si>
  <si>
    <t>FHD-TRANSMIT-001025</t>
  </si>
  <si>
    <t>FHD-TRANSMIT-001029</t>
  </si>
  <si>
    <t>FHD-TRANSMIT-001030</t>
  </si>
  <si>
    <t>40-730007-4800001272-FHD-CIV-MST-000016</t>
  </si>
  <si>
    <t>40-730007-4800001272-FHD-CIV-CRS-000084</t>
  </si>
  <si>
    <t>4800001272-FHD-CG - Method Statement for Mobile Tower Scaffolding Erection</t>
  </si>
  <si>
    <t>FHD-TRANSMIT-001036</t>
  </si>
  <si>
    <t>WF-002637</t>
  </si>
  <si>
    <t>WF-002660</t>
  </si>
  <si>
    <t>WF-002662</t>
  </si>
  <si>
    <t>40-730007-4800001272-FHD-CIV-PQD-000007</t>
  </si>
  <si>
    <t>40-730007-4800001272-FHD-CIV-CRS-000085</t>
  </si>
  <si>
    <t>4800001272-FHD-CG - Prequalification Documents for Manar Al Eskan Co. as Sub-Contractor for Scaffolding Works.</t>
  </si>
  <si>
    <t>FHD-TRANSMIT-001044</t>
  </si>
  <si>
    <t>WF-002666</t>
  </si>
  <si>
    <t>40-730007-4800001272-FHD-MEC-MAT-000041</t>
  </si>
  <si>
    <t>40-730007-4800001272-FHD-MEC-CRS-000098</t>
  </si>
  <si>
    <t>4800001272-FHD-CG - Material Submittal for Vapor Recovery Unit for Fuel System By Integrated Engineering Contracting Co.</t>
  </si>
  <si>
    <t>FHD-TRANSMIT-001052</t>
  </si>
  <si>
    <t>FHD-TRANSMIT-001053</t>
  </si>
  <si>
    <t>40-730007-4800001272-FHD-MEC-PQD-000047</t>
  </si>
  <si>
    <t>40-730007-4800001272-FHD-MEC-CRS-000099</t>
  </si>
  <si>
    <t>4800001272-FHD-CG - Pre-qualification Documents for Tysseer Services Trading Co. as Supplier for CS Pipes and Fittings.</t>
  </si>
  <si>
    <t>FHD-TRANSMIT-001055</t>
  </si>
  <si>
    <t>FHD-TRANSMIT-001056</t>
  </si>
  <si>
    <t>4800001272-FHD-CG - Material Submittal for Sanitary Waste Piping Special Ties By Saudi Cast.</t>
  </si>
  <si>
    <t>FHD-TRANSMIT-001058</t>
  </si>
  <si>
    <t>40-730007-4800001272-FHD-CIV-MST-000017</t>
  </si>
  <si>
    <t>40-730007-4800001272-FHD-CIV-CRS-000090</t>
  </si>
  <si>
    <t>4800001272-FHD-CG - Method Statement for Formworks Installation During Structural Concrete Operations</t>
  </si>
  <si>
    <t>FHD-TRANSMIT-001062</t>
  </si>
  <si>
    <t>40-730007-4800001272-FHD-CIV-MST-000018</t>
  </si>
  <si>
    <t>40-730007-4800001272-FHD-CIV-CRS-000091</t>
  </si>
  <si>
    <t>4800001272-FHD-CG - Method Statement for Grade Beam Repair of Uncompleted Concrete Casting.</t>
  </si>
  <si>
    <t>WF-002701</t>
  </si>
  <si>
    <t>WF-002702</t>
  </si>
  <si>
    <t>WF-002710</t>
  </si>
  <si>
    <t>WF-002712</t>
  </si>
  <si>
    <t>WF-002713</t>
  </si>
  <si>
    <t>WF-002715</t>
  </si>
  <si>
    <t>WF-002716</t>
  </si>
  <si>
    <t>WF-002726</t>
  </si>
  <si>
    <t>40-730007-4800001272-FHD-ARC-MAT-000048</t>
  </si>
  <si>
    <t>40-730007-4800001272-FHD-ARC-CRS-000070</t>
  </si>
  <si>
    <t>4800001272-FHD-CG - Material Submittal for Raised Floor By Kayan Gulf Company</t>
  </si>
  <si>
    <t>FHD-TRANSMIT-001069</t>
  </si>
  <si>
    <t>FHD-TRANSMIT-001074</t>
  </si>
  <si>
    <t>40-730007-4800001272-FHD-MEC-MAT-000042</t>
  </si>
  <si>
    <t>40-730007-4800001272-FHD-MEC-MAT-000043</t>
  </si>
  <si>
    <t>40-730007-4800001272-FHD-MEC-CRS-000100</t>
  </si>
  <si>
    <t>40-730007-4800001272-FHD-MEC-CRS-000101</t>
  </si>
  <si>
    <t>4800001272-FHD-CG - Material Submittal for Unloading Pumps for Fuel System By Integrated Engineering &amp; Contracting Co.</t>
  </si>
  <si>
    <t>FHD-TRANSMIT-001077</t>
  </si>
  <si>
    <t>4800001272-FHD-CG - Material Submittal for Hangers and Supports By Al Sayed Center.</t>
  </si>
  <si>
    <t>FHD-TRANSMIT-001078</t>
  </si>
  <si>
    <t>40-730007-4800001272-FHD-ARC-MAT-000049</t>
  </si>
  <si>
    <t>40-730007-4800001272-FHD-ARC-CRS-000071</t>
  </si>
  <si>
    <t>4800001272-FHD-CG - Material Submittal for Raised Floor By Sigma Factory for Steel Products</t>
  </si>
  <si>
    <t>FHD-TRANSMIT-001079</t>
  </si>
  <si>
    <t>40-730007-4800001272-FHD-LAN-MAT-000009</t>
  </si>
  <si>
    <t>40-730007-4800001272-FHD-LAN-CRS-000009</t>
  </si>
  <si>
    <t>4800001272-FHD-CG - Material Submittal for Boulder and Pots By Company Wardeh Gelnar for Trading</t>
  </si>
  <si>
    <t>FHD-TRANSMIT-001080</t>
  </si>
  <si>
    <t>40-730007-4800001272-FHD-STR-MAT-000008</t>
  </si>
  <si>
    <t>40-730007-4800001272-FHD-STR-MAT-000009</t>
  </si>
  <si>
    <t>40-730007-4800001272-FHD-STR-CRS-000015</t>
  </si>
  <si>
    <t>40-730007-4800001272-FHD-STR-CRS-000016</t>
  </si>
  <si>
    <t>4800001272-FHD-CG - Material Submittal for Structural Steel Framing By Maani (Sulb)</t>
  </si>
  <si>
    <t>FHD-TRANSMIT-001081</t>
  </si>
  <si>
    <t>4800001272-FHD-CG - Material Submittal for Structural Steel Framing By Maani Tianjin Yuantaiderun Pipe Manufacturing Group Co. Ltd.</t>
  </si>
  <si>
    <t>FHD-TRANSMIT-001082</t>
  </si>
  <si>
    <t>WF-002754</t>
  </si>
  <si>
    <t>WF-002756</t>
  </si>
  <si>
    <t>WF-002759</t>
  </si>
  <si>
    <t>WF-002760</t>
  </si>
  <si>
    <t>40-730007-4800001272-FHD-CIV-PQD-000008</t>
  </si>
  <si>
    <t>40-730007-4800001272-FHD-CIV-CRS-000070</t>
  </si>
  <si>
    <t>4800001272-FHD-CG - Prequalification Documents for 9 Degrees Co. as Third-Party for Design and Supply of Scaffold Material and Formworks</t>
  </si>
  <si>
    <t>FHD-TRANSMIT-001083</t>
  </si>
  <si>
    <t>4800001272-FHD-CG - Method Statement for Installing and Testing UPVC Pipes Below Grade with Solvent Joint and Rubber Joint</t>
  </si>
  <si>
    <t>40-730007-4800001272-FHD-CIV-CRS-000088</t>
  </si>
  <si>
    <t>40-730007-4800001272-FHD-CIV-MST-000019</t>
  </si>
  <si>
    <t>FHD-TRANSMIT-001085</t>
  </si>
  <si>
    <t>WF-002761</t>
  </si>
  <si>
    <t>WF-002762</t>
  </si>
  <si>
    <t>WF-002774</t>
  </si>
  <si>
    <t>FHD-TRANSMIT-001086</t>
  </si>
  <si>
    <t>WF-002779</t>
  </si>
  <si>
    <t>WF-002780</t>
  </si>
  <si>
    <t>Summary of Documents</t>
  </si>
  <si>
    <t>Documents Type &amp; Discipline</t>
  </si>
  <si>
    <t>CIV - MAT</t>
  </si>
  <si>
    <t>FHD-TRANSMIT-001088</t>
  </si>
  <si>
    <t>40-730007-4800001272-FHD-MEC-MAT-000044</t>
  </si>
  <si>
    <t>40-730007-4800001272-FHD-MEC-CRS-000102</t>
  </si>
  <si>
    <t>FHD-TRANSMIT-001091</t>
  </si>
  <si>
    <t>40-730007-4800001272-FHD-ELE-CRS-000072</t>
  </si>
  <si>
    <t>40-730007-4800001272-FHD-ELE-MAT-000040</t>
  </si>
  <si>
    <t>FHD-TRANSMIT-001092</t>
  </si>
  <si>
    <t>4800001272-FHD-CG - Material Submittal for Steel Box By Al Fahd Idahah (ABB)</t>
  </si>
  <si>
    <t>40-730007-4800001272-FHD-ARC-MAT-000050</t>
  </si>
  <si>
    <t>40-730007-4800001272-FHD-ARC-CRS-000072</t>
  </si>
  <si>
    <t>4800001272-FHD-CG - Material Submittal for Furniture &amp; Recycle Bin By Diamond Sword Commercial Agencies</t>
  </si>
  <si>
    <t>40-730007-4800001272-FHD-CIV-MAT-000050</t>
  </si>
  <si>
    <t>4800001272-FHD-CG - Material Submittal for Fischer FIS EM for Anchoring Steel Bars By Fischer</t>
  </si>
  <si>
    <t>40-730007-4800001272-FHD-CIV-CRS-000089</t>
  </si>
  <si>
    <t>FHD-TRANSMIT-001094</t>
  </si>
  <si>
    <t>40-730007-4800001272-FHD-CIV-PQD-000009</t>
  </si>
  <si>
    <t>40-730007-4800001272-FHD-CIV-CRS-000092</t>
  </si>
  <si>
    <t>4800001272-FHD-CG - Prequalification Documents for 9 Degrees Co. as Sub-Contractor for Design and Supply of Scaffold Material and Formworks</t>
  </si>
  <si>
    <t>WF-002776</t>
  </si>
  <si>
    <t>WF-002791</t>
  </si>
  <si>
    <t>The contractor has submitted the wrong document as the Third-Party and alternative submission. Please refer to # 40-730007-4800001272-FHD-CIV-PQD-000009</t>
  </si>
  <si>
    <t>WF-002794</t>
  </si>
  <si>
    <t>WF-002795</t>
  </si>
  <si>
    <t>WF-002797</t>
  </si>
  <si>
    <t>WF-002799</t>
  </si>
  <si>
    <t>FHD-TRANSMIT-001097</t>
  </si>
  <si>
    <t>4800001272-FHD-CG - Method Statement for Mobile Elevating Work Platforms (MEWP)</t>
  </si>
  <si>
    <t>40-730007-4800001272-FHD-HSE-MST-000003</t>
  </si>
  <si>
    <t>40-730007-4800001272-FHD-HSE-CRS-000023</t>
  </si>
  <si>
    <t>FHD-TRANSMIT-001103</t>
  </si>
  <si>
    <t>Received by mohsin.a@alfahd.com</t>
  </si>
  <si>
    <t>WF-002717/WF-002814</t>
  </si>
  <si>
    <t>WF-002817</t>
  </si>
  <si>
    <t>40-730007-4800001272-FHD-CIV-CRS-000093</t>
  </si>
  <si>
    <t>40-730007-4800001272-FHD-CIV-PQD-000010</t>
  </si>
  <si>
    <t>FHD-TRANSMIT-001104</t>
  </si>
  <si>
    <t>40-730007-4800001272-FHD-MEC-MAT-000045</t>
  </si>
  <si>
    <t>40-730007-4800001272-FHD-MEC-CRS-000103</t>
  </si>
  <si>
    <t>4800001272-FHD-CG - Material Submittal for Dynamic Pressurization Unit and Air Separator By Al Mawraqi</t>
  </si>
  <si>
    <t>FHD-TRANSMIT-001109</t>
  </si>
  <si>
    <t>40-730007-4800001272-FHD-ELE-CRS-000073</t>
  </si>
  <si>
    <t>40-730007-4800001272-FHD-ELE-MAT-000041</t>
  </si>
  <si>
    <t>4800001272-FHD-CG - Material Submittal for Lighting Control By Saudi Lighting Company (Philips-SLC)</t>
  </si>
  <si>
    <t>FHD-TRANSMIT-001110</t>
  </si>
  <si>
    <t>40-730007-4800001272-FHD-MEC-PQD-000048</t>
  </si>
  <si>
    <t>40-730007-4800001272-FHD-MEC-CRS-000104</t>
  </si>
  <si>
    <t>4800001272-FHD-CG - Pre-qualification Documents for A.M Bin Salman Co. as Supplier for Air Compressors By Puma</t>
  </si>
  <si>
    <t>FHD-TRANSMIT-001111</t>
  </si>
  <si>
    <t>FHD-TRANSMIT-001117</t>
  </si>
  <si>
    <t>WF-002839</t>
  </si>
  <si>
    <t>WF-002840</t>
  </si>
  <si>
    <t>WF-002841</t>
  </si>
  <si>
    <t>WF-002842</t>
  </si>
  <si>
    <t>40-730007-4800001272-FHD-CIV-MAT-000051</t>
  </si>
  <si>
    <t>40-730007-4800001272-FHD-CIV-CRS-000094</t>
  </si>
  <si>
    <t>4800001272-FHD-CG - Material Submittal for Sika AnchorFix®-2+Tropical for Anchoring Steel Bars By Sika</t>
  </si>
  <si>
    <t>FHD-TRANSMIT-001119</t>
  </si>
  <si>
    <t>4800001272-FHD-CG - Prequalification Documents for Plasco Factory Co. for the Supply of UPVC, CPVC Pipes and Fittings</t>
  </si>
  <si>
    <t>FHD-TRANSMIT-001120</t>
  </si>
  <si>
    <t>40-730007-4800001272-FHD-MEC-PQD-000049</t>
  </si>
  <si>
    <t>40-730007-4800001272-FHD-MEC-CRS-000106</t>
  </si>
  <si>
    <t>4800001272-FHD-CG - Pre-qualification Documents for Joint Gulf Business Co. as Supplier for Oil Separator By Spel Co.</t>
  </si>
  <si>
    <t>FHD-TRANSMIT-001121</t>
  </si>
  <si>
    <t>FHD-TRANSMIT-001124</t>
  </si>
  <si>
    <t>FHD-TRANSMIT-001125</t>
  </si>
  <si>
    <t>FHD-TRANSMIT-001126</t>
  </si>
  <si>
    <t>FHD-TRANSMIT-001127</t>
  </si>
  <si>
    <t>40-730007-4800001272-FHD-ELE-MAT-000042</t>
  </si>
  <si>
    <t>40-730007-4800001272-FHD-ELE-CRS-000074</t>
  </si>
  <si>
    <t>4800001272-FHD-CG - Material Submittal for Solar Panels By Fast Growth (Canadian Solar)</t>
  </si>
  <si>
    <t>FHD-TRANSMIT-001132</t>
  </si>
  <si>
    <t>FHD-TRANSMIT-001133</t>
  </si>
  <si>
    <t>WF-002856</t>
  </si>
  <si>
    <t>FHD-TRANSMIT-001134</t>
  </si>
  <si>
    <t>40-730007-4800001272-FHD-CIV-ITP-000012</t>
  </si>
  <si>
    <t>40-730007-4800001272-FHD-CIV-CRS-000095</t>
  </si>
  <si>
    <t>4800001272-FHD-CG - Inspection and Test Plan for Rebar Anchoring with Epoxy Resin</t>
  </si>
  <si>
    <t>FHD-TRANSMIT-001135</t>
  </si>
  <si>
    <t>WF-002850</t>
  </si>
  <si>
    <t>WF-002868</t>
  </si>
  <si>
    <t>WF-002869</t>
  </si>
  <si>
    <t>WF-002870</t>
  </si>
  <si>
    <t>40-730007-4800001272-FHD-CIV-MST-000020</t>
  </si>
  <si>
    <t>40-730007-4800001272-FHD-CIV-CRS-000096</t>
  </si>
  <si>
    <t>4800001272-FHD-CG - Method Statement for Pouring Tank Walls (Double Height 3m and 6m)</t>
  </si>
  <si>
    <t>FHD-TRANSMIT-001136</t>
  </si>
  <si>
    <t>WF-002874</t>
  </si>
  <si>
    <t>WF-002875</t>
  </si>
  <si>
    <t>WF-002877</t>
  </si>
  <si>
    <t>FHD-TRANSMIT-001143</t>
  </si>
  <si>
    <t>FHD-TRANSMIT-001146</t>
  </si>
  <si>
    <t>40-730007-4800001272-FHD-MEC-MAT-000046</t>
  </si>
  <si>
    <t>40-730007-4800001272-FHD-MEC-CRS-000107</t>
  </si>
  <si>
    <t>FHD-TRANSMIT-001147</t>
  </si>
  <si>
    <t>4800001272-FHD-CG - Material Submittal for Ecology Unit By Johnson Control Arabia (Ruskin Titus Co.)</t>
  </si>
  <si>
    <t>FHD-TRANSMIT-001150</t>
  </si>
  <si>
    <t>FHD-TRANSMIT-001153</t>
  </si>
  <si>
    <t>4800001272-FHD-CG - Material Submittal for Shear Studs By Maani (SWENN)</t>
  </si>
  <si>
    <t>40-730007-4800001272-FHD-ELV-MAT-000009</t>
  </si>
  <si>
    <t>40-730007-4800001272-FHD-ELV-CRS-000010</t>
  </si>
  <si>
    <t>4800001272-FHD-CG - Material Submittal for BMS System (Johnson Control By AlFahd)</t>
  </si>
  <si>
    <t>FHD-TRANSMIT-001155</t>
  </si>
  <si>
    <t>WF-002885</t>
  </si>
  <si>
    <t>WF-002886</t>
  </si>
  <si>
    <t>WF-002894</t>
  </si>
  <si>
    <t>WF-002896</t>
  </si>
  <si>
    <t>WF-002897</t>
  </si>
  <si>
    <t>WF-002898</t>
  </si>
  <si>
    <t>WF-002900</t>
  </si>
  <si>
    <t>WF-002903</t>
  </si>
  <si>
    <t>WF-002904</t>
  </si>
  <si>
    <t>FHD-TRANSMIT-001159</t>
  </si>
  <si>
    <t>40-730007-4800001272-FHD-ELE-PQD-000030</t>
  </si>
  <si>
    <t>40-730007-4800001272-FHD-ELE-CRS-000075</t>
  </si>
  <si>
    <t>4800001272-FHD-CG - Prequalification Documents for Technology Era Co. as Supplier for Active and Passive Components</t>
  </si>
  <si>
    <t>FHD-TRANSMIT-001162</t>
  </si>
  <si>
    <t>4800001272-FHD-CG - Pre-qualification Documents for Universal Building Material Co. as Supplier for Neutralization Tank By Zurn Co.</t>
  </si>
  <si>
    <t>40-730007-4800001272-FHD-MEC-PQD-000050</t>
  </si>
  <si>
    <t>40-730007-4800001272-FHD-MEC-CRS-000108</t>
  </si>
  <si>
    <t>FHD-TRANSMIT-001163</t>
  </si>
  <si>
    <t>40-730007-4800001272-FHD-MEC-MAT-000047</t>
  </si>
  <si>
    <t>40-730007-4800001272-FHD-MEC-CRS-000109</t>
  </si>
  <si>
    <t>4800001272-FHD-CG - Material Submittal for Fire Rated Sealant for MEP Works By Unitech</t>
  </si>
  <si>
    <t>40-730007-4800001272-FHD-ARC-MAT-000051</t>
  </si>
  <si>
    <t>40-730007-4800001272-FHD-ARC-CRS-000073</t>
  </si>
  <si>
    <t>4800001272-FHD-CG - Material Submittal for Fire Rated Sealant for Joints By Unitech</t>
  </si>
  <si>
    <t>FHD-TRANSMIT-001164</t>
  </si>
  <si>
    <t>FHD-TRANSMIT-001165</t>
  </si>
  <si>
    <t>40-730007-4800001272-FHD-CIV-MAT-000052</t>
  </si>
  <si>
    <t>40-730007-4800001272-FHD-CIV-CRS-000098</t>
  </si>
  <si>
    <t>4800001272-FHD-CG - Material Submittal for SikaRep® Fine SA for Concrete Repairing By Sika</t>
  </si>
  <si>
    <t>FHD-TRANSMIT-001166</t>
  </si>
  <si>
    <t>40-730007-4800001272-FHD-CIV-MST-000021</t>
  </si>
  <si>
    <t>40-730007-4800001272-FHD-CIV-CRS-000099</t>
  </si>
  <si>
    <t>4800001272-FHD-CG - Method Statement for Ring Lock Scaffolding Erection for Mezzanine Slab at Level 9.7m From Ground Level 4.65m</t>
  </si>
  <si>
    <t>FHD-TRANSMIT-001169</t>
  </si>
  <si>
    <t>WF-002940</t>
  </si>
  <si>
    <t>WF-002941</t>
  </si>
  <si>
    <t>WF-002943</t>
  </si>
  <si>
    <t>WF-002944</t>
  </si>
  <si>
    <t>WF-002945</t>
  </si>
  <si>
    <t>WF-002946</t>
  </si>
  <si>
    <t>WF-002947</t>
  </si>
  <si>
    <t>WF-002948</t>
  </si>
  <si>
    <t>WF-002949</t>
  </si>
  <si>
    <t>FHD-TRANSMIT-001170</t>
  </si>
  <si>
    <t>FHD-TRANSMIT-001171</t>
  </si>
  <si>
    <t>40-730007-4800001272-FHD-ICT-CRS-000001</t>
  </si>
  <si>
    <t>40-730007-4800001272-FHD-ICT-MAT-000001</t>
  </si>
  <si>
    <t>40-730007-4800001272-FHD-ICT-MAT-000002</t>
  </si>
  <si>
    <t>40-730007-4800001272-FHD-ICT-CRS-000002</t>
  </si>
  <si>
    <t>4800001272-FHD-CG - Material Submittal for ICT Active LAN System By TERA Co. (CISCO)</t>
  </si>
  <si>
    <t>4800001272-FHD-CG - Material Submittal for ICT Voice Telephone System By TERA Co. (CISCO)</t>
  </si>
  <si>
    <t>FHD-TRANSMIT-001172</t>
  </si>
  <si>
    <t xml:space="preserve">ICT - Information &amp; Communication Technology </t>
  </si>
  <si>
    <t>FHD-TRANSMIT-001173</t>
  </si>
  <si>
    <t>40-730007-4800001272-FHD-STR-MST-000002</t>
  </si>
  <si>
    <t>40-730007-4800001272-FHD-STR-CRS-000017</t>
  </si>
  <si>
    <t>FHD-TRANSMIT-001174/FHD-TRANSMIT-001181</t>
  </si>
  <si>
    <t>FHD-TRANSMIT-001182</t>
  </si>
  <si>
    <t>WF-002971</t>
  </si>
  <si>
    <t>WF-002972</t>
  </si>
  <si>
    <t>WF-002973</t>
  </si>
  <si>
    <t>WF-002974</t>
  </si>
  <si>
    <t>WF-002975</t>
  </si>
  <si>
    <t>WF-002988</t>
  </si>
  <si>
    <t>4800001272-FHD-CG - Material Submittal for Chilled Pipes, Flanges, Sleeves and Fittings By IMS Co.</t>
  </si>
  <si>
    <t>FHD-TRANSMIT-001184</t>
  </si>
  <si>
    <t>40-730007-4800001272-FHD-ARC-MAT-000052</t>
  </si>
  <si>
    <t>40-730007-4800001272-FHD-ARC-MAT-000053</t>
  </si>
  <si>
    <t>40-730007-4800001272-FHD-ARC-MAT-000054</t>
  </si>
  <si>
    <t>40-730007-4800001272-FHD-ARC-CRS-000074</t>
  </si>
  <si>
    <t>40-730007-4800001272-FHD-ARC-CRS-000075</t>
  </si>
  <si>
    <t>40-730007-4800001272-FHD-ARC-CRS-000076</t>
  </si>
  <si>
    <t>4800001272-FHD-CG - Material Submittal for Granite By Al Mulhem Marble Limited Company</t>
  </si>
  <si>
    <t>4800001272-FHD-CG - Material Submittal for Porcelain Tiles By Future Ceramic</t>
  </si>
  <si>
    <t>FHD-TRANSMIT-001186</t>
  </si>
  <si>
    <t>FHD-TRANSMIT-001187</t>
  </si>
  <si>
    <t>4800001272-FHD-CG - Material Submittal for Keeline Lifeline System By KIG Safety Equipment LTD LLC</t>
  </si>
  <si>
    <t>FHD-TRANSMIT-001188</t>
  </si>
  <si>
    <t>40-730007-4800001272-FHD-MEC-MAT-000048</t>
  </si>
  <si>
    <t>40-730007-4800001272-FHD-MEC-CRS-000110</t>
  </si>
  <si>
    <t>4800001272-FHD-CG - Material Submittal for Sanitary Ware By Saudi Ceramics Co.</t>
  </si>
  <si>
    <t>FHD-TRANSMIT-001189</t>
  </si>
  <si>
    <t>40-730007-4800001272-FHD-ICT-MAT-000003</t>
  </si>
  <si>
    <t>40-730007-4800001272-FHD-ICT-CRS-000003</t>
  </si>
  <si>
    <t>4800001272-FHD-CG - Material Submittal for ICT Passive Solution By Tera Co. (Panduit)</t>
  </si>
  <si>
    <t>FHD-TRANSMIT-001190</t>
  </si>
  <si>
    <t>40-730007-4800001272-FHD-CIV-MST-000022</t>
  </si>
  <si>
    <t>40-730007-4800001272-FHD-CIV-CRS-000101</t>
  </si>
  <si>
    <t>4800001272-FHD-CG - Method Statement for Gypsum Drywall and Ceiling System</t>
  </si>
  <si>
    <t>FHD-TRANSMIT-001194</t>
  </si>
  <si>
    <t>40-730007-4800001272-FHD-CIV-CRS-000102</t>
  </si>
  <si>
    <t>40-730007-4800001272-FHD-CIV-MST-000023</t>
  </si>
  <si>
    <t>4800001272-FHD-CG - Method Statement for Cement Plastering Works</t>
  </si>
  <si>
    <t>WF-002995</t>
  </si>
  <si>
    <t>WF-002997</t>
  </si>
  <si>
    <t>WF-002998</t>
  </si>
  <si>
    <t>WF-002999</t>
  </si>
  <si>
    <t>WF-003000</t>
  </si>
  <si>
    <t>WF-003003</t>
  </si>
  <si>
    <t>WF-003005</t>
  </si>
  <si>
    <t>WF-003010</t>
  </si>
  <si>
    <t>40-730007-4800001272-FHD-MEC-MAT-000049</t>
  </si>
  <si>
    <t>40-730007-4800001272-FHD-MEC-CRS-000113</t>
  </si>
  <si>
    <t>FHD-TRANSMIT-001203</t>
  </si>
  <si>
    <t>4800001272-FHD-CG - Material Submittal for Sanitary Waste Piping Special Ties for Main Building By Saudi Cast</t>
  </si>
  <si>
    <t>FHD-TRANSMIT-001204</t>
  </si>
  <si>
    <t>FHD-TRANSMIT-001207</t>
  </si>
  <si>
    <t>FHD-TRANSMIT-001208</t>
  </si>
  <si>
    <t>FHD-TRANSMIT-001209</t>
  </si>
  <si>
    <t>WF-003041</t>
  </si>
  <si>
    <t>WF-003043</t>
  </si>
  <si>
    <t>40-730007-4800001272-FHD-MEC-PQD-000051</t>
  </si>
  <si>
    <t>40-730007-4800001272-FHD-MEC-CRS-000114</t>
  </si>
  <si>
    <t>4800001272-FHD-CG - Pre-qualification Documents for JGB Co. as Supplier for Grease Interceptor By Kessel Co.</t>
  </si>
  <si>
    <t>FHD-TRANSMIT-001215</t>
  </si>
  <si>
    <t>FHD-TRANSMIT-001216</t>
  </si>
  <si>
    <t>40-730007-4800001272-FHD-MEC-PQD-000052</t>
  </si>
  <si>
    <t>40-730007-4800001272-FHD-MEC-CRS-000115</t>
  </si>
  <si>
    <t>4800001272-FHD-CG - Pre-qualification Documents for Al-Yami Co. for the Supply of Water Meters</t>
  </si>
  <si>
    <t>FHD-TRANSMIT-001221</t>
  </si>
  <si>
    <t>FHD-TRANSMIT-001222</t>
  </si>
  <si>
    <t>FHD-TRANSMIT-001223</t>
  </si>
  <si>
    <t>40-730007-4800001272-FHD-MEC-MAT-000050</t>
  </si>
  <si>
    <t>40-730007-4800001272-FHD-MEC-CRS-000116</t>
  </si>
  <si>
    <t>40-730007-4800001272-FHD-MEC-MAT-000051</t>
  </si>
  <si>
    <t>40-730007-4800001272-FHD-MEC-CRS-000117</t>
  </si>
  <si>
    <t>4800001272-FHD-CG - Material Submittal for Air Compressor By Saudi MAS Company</t>
  </si>
  <si>
    <t>FHD-TRANSMIT-001224</t>
  </si>
  <si>
    <t>4800001272-FHD-CG - Material Submittal for Plumbing Fixture By Al Fahd Idahah</t>
  </si>
  <si>
    <t>FHD-TRANSMIT-001225</t>
  </si>
  <si>
    <t>40-730007-4800001272-FHD-CIV-MAT-000053</t>
  </si>
  <si>
    <t>40-730007-4800001272-FHD-CIV-CRS-000103</t>
  </si>
  <si>
    <t>4800001272-FHD-CG - Material Submittal for Concrete Design Mix for C40 (27%OPC + 65%GGBFS + 8%MS) 2 Hours (200±40mm) for Superstructure Purpose By Soliman Bin Saleh Al-Mohileb Co.</t>
  </si>
  <si>
    <t>FHD-TRANSMIT-001226</t>
  </si>
  <si>
    <t>40-730007-4800001272-FHD-ELV-CRS-000011</t>
  </si>
  <si>
    <t>40-730007-4800001272-FHD-ELV-MAT-000010</t>
  </si>
  <si>
    <t xml:space="preserve">4800001272-FHD-CG - Material Submittal for Wire Less Local Area Network (WLAN) By TERA Co. (CISCO) </t>
  </si>
  <si>
    <t>FHD-TRANSMIT-001227</t>
  </si>
  <si>
    <t>40-730007-4800001272-FHD-LAN-MAT-000010</t>
  </si>
  <si>
    <t>40-730007-4800001272-FHD-LAN-CRS-000010</t>
  </si>
  <si>
    <t>4800001272-FHD-CG - Material Submittal for Soil and Gravel for Agriculture By Wardeh Gelnar</t>
  </si>
  <si>
    <t>FHD-TRANSMIT-001228</t>
  </si>
  <si>
    <t>WF-003073</t>
  </si>
  <si>
    <t>WF-003074</t>
  </si>
  <si>
    <t>WF-003075</t>
  </si>
  <si>
    <t>WF-003078</t>
  </si>
  <si>
    <t>WF-003079</t>
  </si>
  <si>
    <t>WF-003086</t>
  </si>
  <si>
    <t>WF-003093</t>
  </si>
  <si>
    <t>WF-003094</t>
  </si>
  <si>
    <t>WF-003095</t>
  </si>
  <si>
    <t>WF-003096</t>
  </si>
  <si>
    <t>WF-003097</t>
  </si>
  <si>
    <t>WF-003098</t>
  </si>
  <si>
    <t>WF-003099</t>
  </si>
  <si>
    <t>40-730007-4800001272-FHD-MEC-MAT-000052</t>
  </si>
  <si>
    <t>40-730007-4800001272-FHD-MEC-MAT-000053</t>
  </si>
  <si>
    <t>40-730007-4800001272-FHD-MEC-CRS-000118</t>
  </si>
  <si>
    <t>40-730007-4800001272-FHD-MEC-CRS-000119</t>
  </si>
  <si>
    <t>4800001272-FHD-CG - Material Submittal for Oil Separators for General Site By Joint Gulf Business Co. (SPEL)</t>
  </si>
  <si>
    <t>4800001272-FHD-CG - Material Submittal for Stainless Steel Puddle Flanges for Fire Tank By Tysseer Services Trading (Viraj-Froch)</t>
  </si>
  <si>
    <t>FHD-TRANSMIT-001236</t>
  </si>
  <si>
    <t>FHD-TRANSMIT-001237</t>
  </si>
  <si>
    <t>06</t>
  </si>
  <si>
    <t>40-730007-4800001272-FHD-CIV-PQD-000011</t>
  </si>
  <si>
    <t>40-730007-4800001272-FHD-CIV-CRS-000104</t>
  </si>
  <si>
    <t>4800001272-FHD-CG - Prequalification Documents for Bolt 3rd Party for Materials Testing</t>
  </si>
  <si>
    <t>Received by Mr. Hafeez &amp; Hakim</t>
  </si>
  <si>
    <t>FHD-TRANSMIT-001241</t>
  </si>
  <si>
    <t>WF-003121</t>
  </si>
  <si>
    <t>WF-003122</t>
  </si>
  <si>
    <t>WF-003179</t>
  </si>
  <si>
    <t>WF-003180</t>
  </si>
  <si>
    <t>This Material submittal Currenty under Terminated and Due to change the specifications of air compressor.</t>
  </si>
  <si>
    <t xml:space="preserve">This submittal is not required due to Contractor will proceed with another supplier as referenced in document # 40-730007-4800001272-FHD-ARC-MAT-000037
</t>
  </si>
  <si>
    <t>FHD-TRANSMIT-001245</t>
  </si>
  <si>
    <t xml:space="preserve">This submittal is not required due to Contractor will proceed with another supplier as referenced in document # 40-730007-4800001272-FHD-ARC-MAT-000026
</t>
  </si>
  <si>
    <t>FHD-TRANSMIT-001246</t>
  </si>
  <si>
    <t>This submittal is not required due to Contractor will proceed with another supplier as referenced in document # 40-730007-4800001272-FHD-ARC-MAT-000044</t>
  </si>
  <si>
    <t>FHD-TRANSMIT-001247</t>
  </si>
  <si>
    <t>WF-003189</t>
  </si>
  <si>
    <t>FHD-TRANSMIT-001249</t>
  </si>
  <si>
    <t>40-730007-4800001272-FHD-MEC-MAT-000054</t>
  </si>
  <si>
    <t>40-730007-4800001272-FHD-MEC-CRS-000121</t>
  </si>
  <si>
    <t>FHD-TRANSMIT-001251</t>
  </si>
  <si>
    <t>4800001272-FHD-CG - Material Submittal for Neutralization Tank By Universal Building Material Co. (ZURN)</t>
  </si>
  <si>
    <t>FHD-TRANSMIT-001252</t>
  </si>
  <si>
    <t>FHD-TRANSMIT-001253</t>
  </si>
  <si>
    <t>40-730007-4800001272-FHD-ELE-MST-000001</t>
  </si>
  <si>
    <t>40-730007-4800001272-FHD-ELE-CRS-000079</t>
  </si>
  <si>
    <t>4800001272-FHD-CG - Method Statement for Installation of Electrical Conduit, Boxes and Underground Ducts</t>
  </si>
  <si>
    <t>FHD-TRANSMIT-001254</t>
  </si>
  <si>
    <t>40-730007-4800001272-FHD-CIV-PQD-000012</t>
  </si>
  <si>
    <t>40-730007-4800001272-FHD-CIV-CRS-000105</t>
  </si>
  <si>
    <t>Received by Mr. Hakim</t>
  </si>
  <si>
    <t>4800001272-FHD-CG - Prequalification Documents for SMITS as Third Party for Civil Material Testing Laboratory</t>
  </si>
  <si>
    <t>FHD-TRANSMIT-001255</t>
  </si>
  <si>
    <t>FHD-TRANSMIT-001258</t>
  </si>
  <si>
    <t>FHD-TRANSMIT-001261</t>
  </si>
  <si>
    <t>WF-003229</t>
  </si>
  <si>
    <t>NEOM-TRANSMIT-000262</t>
  </si>
  <si>
    <t>Withdrawn</t>
  </si>
  <si>
    <t>WF-003231</t>
  </si>
  <si>
    <t>WF-003262</t>
  </si>
  <si>
    <t>WF-003263</t>
  </si>
  <si>
    <t>WF-003264</t>
  </si>
  <si>
    <t>WF-003267</t>
  </si>
  <si>
    <t>WF-003269</t>
  </si>
  <si>
    <t>40-730007-4800001272-FHD-MEC-PQD-000053</t>
  </si>
  <si>
    <t>40-730007-4800001272-FHD-MEC-PQD-000054</t>
  </si>
  <si>
    <t>40-730007-4800001272-FHD-MEC-CRS-000123</t>
  </si>
  <si>
    <t>40-730007-4800001272-FHD-MEC-CRS-000124</t>
  </si>
  <si>
    <t>4800001272-FHD-CG - Pre-qualification Documents for Warda Gulnara Co. as Sub-Contractor for Irrigation Network Works.</t>
  </si>
  <si>
    <t>FHD-TRANSMIT-001263</t>
  </si>
  <si>
    <t>4800001272-FHD-CG - Pre-qualification Documents for Delta Plus Trading Co. for the Supply of Fuel System.</t>
  </si>
  <si>
    <t>FHD-TRANSMIT-001264</t>
  </si>
  <si>
    <t>FHD-TRANSMIT-001265</t>
  </si>
  <si>
    <t>FHD-TRANSMIT-001266</t>
  </si>
  <si>
    <t>FHD-TRANSMIT-001267</t>
  </si>
  <si>
    <t>WF-003306</t>
  </si>
  <si>
    <t>WF-003307</t>
  </si>
  <si>
    <t>WF-003308</t>
  </si>
  <si>
    <t>WF-003309</t>
  </si>
  <si>
    <t>WF-003310</t>
  </si>
  <si>
    <t>FHD-TRANSMIT-001275</t>
  </si>
  <si>
    <t>FHD-TRANSMIT-001276</t>
  </si>
  <si>
    <t>40-730007-4800001272-FHD-ARC-MAT-000055</t>
  </si>
  <si>
    <t>40-730007-4800001272-FHD-ARC-CRS-000077</t>
  </si>
  <si>
    <t>4800001272-FHD-CG - Material Submittal for Mrros By Arts (Saudi Guardian Glass Co.)</t>
  </si>
  <si>
    <t>FHD-TRANSMIT-001277</t>
  </si>
  <si>
    <t>40-730007-4800001272-FHD-ARC-PQD-000022</t>
  </si>
  <si>
    <t>40-730007-4800001272-FHD-ARC-CRS-000078</t>
  </si>
  <si>
    <t>4800001272-FHD-CG - Prequalification Documents for Precision Engineering Co. (Architectural Door) as Supplier for Fire and Non-Fire Rated Doors.</t>
  </si>
  <si>
    <t>FHD-TRANSMIT-001278</t>
  </si>
  <si>
    <t>4800001272-FHD-CG - Method Statement for Earthworks Clearing, Grubbing, Excavation, Backfilling and Plate Load Test.</t>
  </si>
  <si>
    <t>05</t>
  </si>
  <si>
    <t>FHD-TRANSMIT-001279</t>
  </si>
  <si>
    <t>FHD-TRANSMIT-001280</t>
  </si>
  <si>
    <t>FHD-TRANSMIT-001285</t>
  </si>
  <si>
    <t>Contractor have been proceeded with another submittal as referenced in document # 40-730007-4800001272-FHD-CIV-PQD-000010</t>
  </si>
  <si>
    <t>FHD-TRANSMIT-001286</t>
  </si>
  <si>
    <t xml:space="preserve">This submittal is not required due to Contractor have been proceed with another supplier as referenced in document # 40-730007-4800001272-FHD-ARC-MAT-000038/40-730007-4800001272-FHD-ARC-MAT-000039
</t>
  </si>
  <si>
    <t>FHD-TRANSMIT-001287</t>
  </si>
  <si>
    <t>WF-003379</t>
  </si>
  <si>
    <t>WF-003380</t>
  </si>
  <si>
    <t>WF-003381</t>
  </si>
  <si>
    <t>WF-003384</t>
  </si>
  <si>
    <t>40-730007-4800001272-FHD-CIV-PQD-000013</t>
  </si>
  <si>
    <t>40-730007-4800001272-FHD-CIV-CRS-000106</t>
  </si>
  <si>
    <t>4800001272-FHD-CG - Prequalification Documents for Advanced Co. as Sub-Contractor for Scaffolding.</t>
  </si>
  <si>
    <t>FHD-TRANSMIT-001292</t>
  </si>
  <si>
    <t>40-730007-4800001272-FHD-MEC-PQD-000055</t>
  </si>
  <si>
    <t>40-730007-4800001272-FHD-MEC-CRS-000125</t>
  </si>
  <si>
    <t>4800001272-FHD-CG - Pre-qualification Documents for Warda Gulnara Co. as Supplier for Irrigation Network Materials.</t>
  </si>
  <si>
    <t>40-730007-4800001272-FHD-CIV-PQD-000014</t>
  </si>
  <si>
    <t>40-730007-4800001272-FHD-CIV-CRS-000107</t>
  </si>
  <si>
    <t>4800001272-FHD-CG - Prequalification Documents for T. NAGADI Co. for the Supply of RCC Pipes</t>
  </si>
  <si>
    <t>FHD-TRANSMIT-001294</t>
  </si>
  <si>
    <t>40-730007-4800001272-FHD-MEC-MAT-000055</t>
  </si>
  <si>
    <t>40-730007-4800001272-FHD-MEC-MAT-000056</t>
  </si>
  <si>
    <t>40-730007-4800001272-FHD-MEC-CRS-000126</t>
  </si>
  <si>
    <t>40-730007-4800001272-FHD-MEC-CRS-000127</t>
  </si>
  <si>
    <t>FHD-TRANSMIT-001297</t>
  </si>
  <si>
    <t>4800001272-FHD-CG - Material Submittal for Duct Work &amp; Accessories By Modern Generations Contracting Company</t>
  </si>
  <si>
    <t>FHD-TRANSMIT-001298</t>
  </si>
  <si>
    <t>4800001272-FHD-CG - Material Submittal for Ultrasonic Water Meters and BTU Meter By Alyami</t>
  </si>
  <si>
    <t>FHD-TRANSMIT-001299</t>
  </si>
  <si>
    <t>FHD-TRANSMIT-001301</t>
  </si>
  <si>
    <t>WF-003390</t>
  </si>
  <si>
    <t>WF-003401</t>
  </si>
  <si>
    <t>WF-003421</t>
  </si>
  <si>
    <t>WF-003422</t>
  </si>
  <si>
    <t>WF-003423</t>
  </si>
  <si>
    <t>WF-003424</t>
  </si>
  <si>
    <t>WF-003425</t>
  </si>
  <si>
    <t>WF-003426</t>
  </si>
  <si>
    <t>40-730007-4800001272-FHD-MEC-PQD-000056</t>
  </si>
  <si>
    <t>40-730007-4800001272-FHD-MEC-CRS-000128</t>
  </si>
  <si>
    <t>4800001272-FHD-CG - Pre-qualification Documents for Asia Bolts Industries Co. as Supplier for Bolts, Washers and Nuts.</t>
  </si>
  <si>
    <t>FHD-TRANSMIT-001309</t>
  </si>
  <si>
    <t>FHD-TRANSMIT-001316</t>
  </si>
  <si>
    <t>40-730007-4800001272-FHD-ELE-MAT-000043</t>
  </si>
  <si>
    <t>40-730007-4800001272-FHD-ELE-CRS-000082</t>
  </si>
  <si>
    <t>4800001272-FHD-CG - Material Submittal for DB Solar System By Fast Growth Energies Co. (Ercon)</t>
  </si>
  <si>
    <t>FHD-TRANSMIT-001318</t>
  </si>
  <si>
    <t>4800001272-FHD-CG - Material Submittal for Earthing and Lightning Protection Material By TEPCO</t>
  </si>
  <si>
    <t>FHD-TRANSMIT-001319</t>
  </si>
  <si>
    <t>FHD-TRANSMIT-001320</t>
  </si>
  <si>
    <t>40-730007-4800001272-FHD-MEC-MAT-000057</t>
  </si>
  <si>
    <t>40-730007-4800001272-FHD-MEC-MAT-000058</t>
  </si>
  <si>
    <t>40-730007-4800001272-FHD-MEC-CRS-000130</t>
  </si>
  <si>
    <t>40-730007-4800001272-FHD-MEC-CRS-000131</t>
  </si>
  <si>
    <t>4800001272-FHD-CG - Material Submittal for AHU System By Daikin Co.</t>
  </si>
  <si>
    <t>FHD-TRANSMIT-001321</t>
  </si>
  <si>
    <t>4800001272-FHD-CG - Material Submittal for Fuel Dispensers for Fuel System By Integrated Engineering &amp; Contracting Co.</t>
  </si>
  <si>
    <t>FHD-TRANSMIT-001322</t>
  </si>
  <si>
    <t>40-730007-4800001272-FHD-STR-MAT-000010</t>
  </si>
  <si>
    <t>40-730007-4800001272-FHD-STR-MAT-000011</t>
  </si>
  <si>
    <t>40-730007-4800001272-FHD-STR-CRS-000018</t>
  </si>
  <si>
    <t>40-730007-4800001272-FHD-STR-CRS-000019</t>
  </si>
  <si>
    <t xml:space="preserve">4800001272-FHD-CG - Material Submittal for Assembly Bolts, Washers and Nuts By Maani (Bright Star Construction Materials LLC) </t>
  </si>
  <si>
    <t>FHD-TRANSMIT-001323</t>
  </si>
  <si>
    <t xml:space="preserve">4800001272-FHD-CG - Material Submittal for Assembly Bolts, Washers and Nuts By Maani (Asia Bolts Industries LLC) </t>
  </si>
  <si>
    <t>FHD-TRANSMIT-001324</t>
  </si>
  <si>
    <t>WF-003452</t>
  </si>
  <si>
    <t>WF-003474</t>
  </si>
  <si>
    <t>WF-003475</t>
  </si>
  <si>
    <t>FHD-TRANSMIT-001327</t>
  </si>
  <si>
    <t>WF-00349</t>
  </si>
  <si>
    <t>WF-003497</t>
  </si>
  <si>
    <t>WF-003498</t>
  </si>
  <si>
    <t>WF-003499</t>
  </si>
  <si>
    <t>WF-003500</t>
  </si>
  <si>
    <t>WF-003501</t>
  </si>
  <si>
    <t>40-730007-4800001272-FHD-ELE-ITP-000004</t>
  </si>
  <si>
    <t>40-730007-4800001272-FHD-ELE-CRS-000083</t>
  </si>
  <si>
    <t>4800001272-FHD-CG - Vendor FAT Inspection and Test Plan for Distribution Board/LV Panels at Manufacturer Facility ERCON Co.</t>
  </si>
  <si>
    <t>FHD-TRANSMIT-001329</t>
  </si>
  <si>
    <t>4800001272-FHD-CG - Material Submittal for UPVC &amp; CPVC Pipes &amp; Fittings By Plasco Factory</t>
  </si>
  <si>
    <t>FHD-TRANSMIT-001335</t>
  </si>
  <si>
    <t>40-730007-4800001272-FHD-MEC-MAT-000059</t>
  </si>
  <si>
    <t>40-730007-4800001272-FHD-MEC-MAT-000060</t>
  </si>
  <si>
    <t>40-730007-4800001272-FHD-MEC-CRS-000132</t>
  </si>
  <si>
    <t>4800001272-FHD-CG - Material Submittal for Chilled Water Pipes, Fittings and Sleeves By Tysseer Services Trading</t>
  </si>
  <si>
    <t>40-730007-4800001272-FHD-MEC-CRS-000133</t>
  </si>
  <si>
    <t>4800001272-FHD-CG - Material Submittal for Kitchen Trench Drain, Shower Drains, Overflow Drain and Grease Interceptor By Saudi Cast</t>
  </si>
  <si>
    <t>FHD-TRANSMIT-001336</t>
  </si>
  <si>
    <t>FHD-TRANSMIT-001337</t>
  </si>
  <si>
    <t>4800001272-FHD-CG - Material Submittal for UPVC Pipe &amp; Fitting By Al Fahd Idahah National Kham Plastic Factory</t>
  </si>
  <si>
    <t>FHD-TRANSMIT-001338</t>
  </si>
  <si>
    <t>FHD-TRANSMIT-001342</t>
  </si>
  <si>
    <t>FHD-TRANSMIT-001343</t>
  </si>
  <si>
    <t>FHD-TRANSMIT-001344</t>
  </si>
  <si>
    <t>WF-003526</t>
  </si>
  <si>
    <t>WF-003528</t>
  </si>
  <si>
    <t>WF-003529</t>
  </si>
  <si>
    <t>WF-003530</t>
  </si>
  <si>
    <t>WF-003531</t>
  </si>
  <si>
    <t>FHD-TRANSMIT-001345</t>
  </si>
  <si>
    <t>FHD-TRANSMIT-001346</t>
  </si>
  <si>
    <t>FHD-TRANSMIT-001347</t>
  </si>
  <si>
    <t>FHD-TRANSMIT-001348</t>
  </si>
  <si>
    <t>FHD-TRANSMIT-001349</t>
  </si>
  <si>
    <t>FHD-TRANSMIT-001350</t>
  </si>
  <si>
    <t>40-730007-4800001272-FHD-ARC-MAT-000056</t>
  </si>
  <si>
    <t>40-730007-4800001272-FHD-ARC-CRS-000079</t>
  </si>
  <si>
    <t>4800001272-FHD-CG - Material Submittal for Wooden Cladding By Sultanah Allied Industries Company</t>
  </si>
  <si>
    <t>FHD-TRANSMIT-001352</t>
  </si>
  <si>
    <t>40-730007-4800001272-FHD-ELE-ITP-000005</t>
  </si>
  <si>
    <t>40-730007-4800001272-FHD-ELE-CRS-000084</t>
  </si>
  <si>
    <t>4800001272-FHD-CG - Vendor FAT Inspection and Test Plan for Solar Panels at Manufacturer Facility Canadian Solar By FG Energy.</t>
  </si>
  <si>
    <t>FHD-TRANSMIT-001359</t>
  </si>
  <si>
    <t>4800001272-FHD-CG - Prequalification Document for APLACO Co. as Supplier for UPVC, PVC, CPVC Pipes and Fittings.</t>
  </si>
  <si>
    <t>FHD-TRANSMIT-001360</t>
  </si>
  <si>
    <t>WF-003584</t>
  </si>
  <si>
    <t>WF-003585</t>
  </si>
  <si>
    <t>WF-003586</t>
  </si>
  <si>
    <t>WF-003591</t>
  </si>
  <si>
    <t>WF-003587</t>
  </si>
  <si>
    <t>WF-003588</t>
  </si>
  <si>
    <t>WF-003589</t>
  </si>
  <si>
    <t>WF-003590</t>
  </si>
  <si>
    <t>WF-003592</t>
  </si>
  <si>
    <t>WF-003593</t>
  </si>
  <si>
    <t>WF-003594</t>
  </si>
  <si>
    <t>WF-003596</t>
  </si>
  <si>
    <t>FHD-TRANSMIT-001364</t>
  </si>
  <si>
    <t>40-730007-4800001272-FHD-MEC-MAT-000061</t>
  </si>
  <si>
    <t>40-730007-4800001272-FHD-MEC-CRS-000134</t>
  </si>
  <si>
    <t>4800001272-FHD-CG - Material Submittal for Perforated HDPE Pipe for Storm Water By Al Wasil Company</t>
  </si>
  <si>
    <t>FHD-TRANSMIT-001368</t>
  </si>
  <si>
    <t>FHD-TRANSMIT-001370</t>
  </si>
  <si>
    <t>FHD-TRANSMIT-001371</t>
  </si>
  <si>
    <t>FHD-TRANSMIT-001372</t>
  </si>
  <si>
    <t>FHD-TRANSMIT-001373</t>
  </si>
  <si>
    <t>WF-003625</t>
  </si>
  <si>
    <t>WF-003626</t>
  </si>
  <si>
    <t>WF-003627</t>
  </si>
  <si>
    <t>WF-003629</t>
  </si>
  <si>
    <t>40-730007-4800001272-FHD-MEC-MAT-000062</t>
  </si>
  <si>
    <t>40-730007-4800001272-FHD-MEC-MAT-000063</t>
  </si>
  <si>
    <t>40-730007-4800001272-FHD-MEC-CRS-000135</t>
  </si>
  <si>
    <t>4800001272-FHD-CG - Material Submittal for Irrigation Control System Material By Warda Gulnar for Trading</t>
  </si>
  <si>
    <t>FHD-TRANSMIT-001374</t>
  </si>
  <si>
    <t>40-730007-4800001272-FHD-MEC-CRS-000136</t>
  </si>
  <si>
    <t>4800001272-FHD-CG - Material Submittal for Irrigation Mechanical Network Material By Warda Gulnar for Trading</t>
  </si>
  <si>
    <t>FHD-TRANSMIT-001375</t>
  </si>
  <si>
    <t>40-730007-4800001272-FHD-SEC-PQD-000003</t>
  </si>
  <si>
    <t>40-730007-4800001272-FHD-SEC-CRS-000008</t>
  </si>
  <si>
    <t>4800001272-FHD-CG - Prequalification Document for Khalid Drewesh Security as Consultant for the Security System for HCIS</t>
  </si>
  <si>
    <t>FHD-TRANSMIT-001376</t>
  </si>
  <si>
    <t>FHD-TRANSMIT-001378</t>
  </si>
  <si>
    <t>FHD-TRANSMIT-001380</t>
  </si>
  <si>
    <t>FHD-TRANSMIT-001390</t>
  </si>
  <si>
    <t>WF-003661</t>
  </si>
  <si>
    <t>WF-003662</t>
  </si>
  <si>
    <t>WF-003664</t>
  </si>
  <si>
    <t>WF-003665</t>
  </si>
  <si>
    <t>WF-003711</t>
  </si>
  <si>
    <t>WF-003712</t>
  </si>
  <si>
    <t>WF-003757</t>
  </si>
  <si>
    <t>FHD-TRANSMIT-001392</t>
  </si>
  <si>
    <t>FHD-TRANSMIT-001393</t>
  </si>
  <si>
    <t>40-730007-4800001272-FHD-ARC-MAT-000057</t>
  </si>
  <si>
    <t>40-730007-4800001272-FHD-ARC-CRS-000080</t>
  </si>
  <si>
    <t>4800001272-FHD-CG - Material Submittal for Vinyl By Gerflor</t>
  </si>
  <si>
    <t>FHD-TRANSMIT-001394</t>
  </si>
  <si>
    <t>40-730007-4800001272-FHD-MEC-MAT-000064</t>
  </si>
  <si>
    <t>40-730007-4800001272-FHD-MEC-CRS-000137</t>
  </si>
  <si>
    <t>4800001272-FHD-CG - Material Submittal for Bathroom Accessories By Bayt Alebaa</t>
  </si>
  <si>
    <t>40-730007-4800001272-FHD-ELE-CRS-000085</t>
  </si>
  <si>
    <t>40-730007-4800001272-FHD-ELE-ITP-000006</t>
  </si>
  <si>
    <t>4800001272-FHD-CG - Vendor FAT Inspection and Test Plan for MV Cables at Manufacturer Facility Bahra Cables.</t>
  </si>
  <si>
    <t>FHD-TRANSMIT-001396</t>
  </si>
  <si>
    <t>40-730007-4800001272-FHD-ELE-ITP-000007</t>
  </si>
  <si>
    <t>40-730007-4800001272-FHD-ELE-CRS-000086</t>
  </si>
  <si>
    <t>4800001272-FHD-CG - Vendor FAT Inspection and Test Plan for Building Management System at Manufacturer Facility.</t>
  </si>
  <si>
    <t>FHD-TRANSMIT-001397</t>
  </si>
  <si>
    <t>4800001272-FHD-CG - Pre-qualification Documents for Saudi Pipe System for the Supply of Valves and Fittings</t>
  </si>
  <si>
    <t>40-730007-4800001272-FHD-MEC-PQD-000057</t>
  </si>
  <si>
    <t>40-730007-4800001272-FHD-MEC-CRS-000138</t>
  </si>
  <si>
    <t>FHD-TRANSMIT-001398</t>
  </si>
  <si>
    <t>40-730007-4800001272-FHD-MEC-PQD-000058</t>
  </si>
  <si>
    <t>40-730007-4800001272-FHD-MEC-CRS-000139</t>
  </si>
  <si>
    <t>4800001272-FHD-CG - Pre-qualification Documents for M. Fawaz Alanzi for the Supply of HVAC Valves and Fittings</t>
  </si>
  <si>
    <t>FHD-TRANSMIT-001399</t>
  </si>
  <si>
    <t>40-730007-4800001272-FHD-ELE-PQD-000031</t>
  </si>
  <si>
    <t>40-730007-4800001272-FHD-ELE-CRS-000087</t>
  </si>
  <si>
    <t>4800001272-FHD-CG - Prequalification Documents for Elite Fire Trading Co. for the Supply of Fire Alarm System</t>
  </si>
  <si>
    <t>FHD-TRANSMIT-001400</t>
  </si>
  <si>
    <t>WF-003821</t>
  </si>
  <si>
    <t>WF-003822</t>
  </si>
  <si>
    <t>WF-003823</t>
  </si>
  <si>
    <t>FHD-TRANSMIT-001401</t>
  </si>
  <si>
    <t>FHD-TRANSMIT-001402</t>
  </si>
  <si>
    <t>FHD-TRANSMIT-001403</t>
  </si>
  <si>
    <t>FHD-TRANSMIT-001406</t>
  </si>
  <si>
    <t>WF-003894</t>
  </si>
  <si>
    <t>WF-003896</t>
  </si>
  <si>
    <t>WF-003897</t>
  </si>
  <si>
    <t>WF-003898</t>
  </si>
  <si>
    <t>WF-003899</t>
  </si>
  <si>
    <t>WF-003900</t>
  </si>
  <si>
    <t>WF-003901</t>
  </si>
  <si>
    <t>WF-003902</t>
  </si>
  <si>
    <t>WF-003903</t>
  </si>
  <si>
    <t>FHD-TRANSMIT-001412</t>
  </si>
  <si>
    <t>40-730007-4800001272-FHD-MEC-MAT-000065</t>
  </si>
  <si>
    <t>40-730007-4800001272-FHD-MEC-CRS-000140</t>
  </si>
  <si>
    <t>4800001272-FHD-CG - Material Submittal for Gutter Roof Drain By Saudi Cast</t>
  </si>
  <si>
    <t>FHD-TRANSMIT-001421</t>
  </si>
  <si>
    <t>FHD-TRANSMIT-001422</t>
  </si>
  <si>
    <t>FHD-TRANSMIT-001423</t>
  </si>
  <si>
    <t>FHD-TRANSMIT-001424</t>
  </si>
  <si>
    <t>FHD-TRANSMIT-001425</t>
  </si>
  <si>
    <t>FHD-TRANSMIT-001426</t>
  </si>
  <si>
    <t>FHD-TRANSMIT-001427</t>
  </si>
  <si>
    <t>WF-003957</t>
  </si>
  <si>
    <t>WF-004002</t>
  </si>
  <si>
    <t>40-730007-4800001272-FHD-MEC-PQD-000059</t>
  </si>
  <si>
    <t>40-730007-4800001272-FHD-MEC-CRS-000141</t>
  </si>
  <si>
    <t>4800001272-FHD-CG - Pre-qualification Documents for Saudi Crane and Steel Works Co. for the Supply of Overhead Cranes</t>
  </si>
  <si>
    <t>FHD-TRANSMIT-001428</t>
  </si>
  <si>
    <t>FHD-TRANSMIT-001429</t>
  </si>
  <si>
    <t>FHD-TRANSMIT-001430</t>
  </si>
  <si>
    <t>WF-004076</t>
  </si>
  <si>
    <t>WF-004080</t>
  </si>
  <si>
    <t>WF-004081</t>
  </si>
  <si>
    <t>WF-004083</t>
  </si>
  <si>
    <t>WF-004084</t>
  </si>
  <si>
    <t>WF-004085</t>
  </si>
  <si>
    <t>WF-004086</t>
  </si>
  <si>
    <t>WF-004088</t>
  </si>
  <si>
    <t>WF-004089</t>
  </si>
  <si>
    <t>FHD-TRANSMIT-001440</t>
  </si>
  <si>
    <t>40-730007-4800001272-FHD-ARC-MAT-000058</t>
  </si>
  <si>
    <t>40-730007-4800001272-FHD-ARC-CRS-000081</t>
  </si>
  <si>
    <t>4800001272-FHD-CG - Material Submittal for Furniture &amp; Waste Bin By Arch17</t>
  </si>
  <si>
    <t>FHD-TRANSMIT-001441</t>
  </si>
  <si>
    <t>FHD-TRANSMIT-001443</t>
  </si>
  <si>
    <t>FHD-TRANSMIT-001444</t>
  </si>
  <si>
    <t>FHD-TRANSMIT-001445</t>
  </si>
  <si>
    <t>WF-004133</t>
  </si>
  <si>
    <t>WF-004134</t>
  </si>
  <si>
    <t>40-730007-4800001272-FHD-MEC-PQD-000060</t>
  </si>
  <si>
    <t>40-730007-4800001272-FHD-MEC-CRS-000143</t>
  </si>
  <si>
    <t>4800001272-FHD-CG - Pre-qualification Documents for Atlas Copco Co. as Supplier for Air Compressor.</t>
  </si>
  <si>
    <t>FHD-TRANSMIT-001464</t>
  </si>
  <si>
    <t>40-730007-4800001272-FHD-MEC-CRS-000144</t>
  </si>
  <si>
    <t>40-730007-4800001272-FHD-MEC-PQD-000061</t>
  </si>
  <si>
    <t>4800001272-FHD-CG - Pre-qualification Documents for Multi Resource Trading Co. for the Supply of Floor Trap by ERA Co.</t>
  </si>
  <si>
    <t>FHD-TRANSMIT-001465</t>
  </si>
  <si>
    <t>FHD-TRANSMIT-001467</t>
  </si>
  <si>
    <t>40-730007-4800001272-FHD-FLS-PQD-000003</t>
  </si>
  <si>
    <t>40-730007-4800001272-FHD-FLS-CRS-000003</t>
  </si>
  <si>
    <t>4800001272-FHD-CG - Prequalification Document for HCIS as Consultant for Fire Protection System</t>
  </si>
  <si>
    <t>FHD-TRANSMIT-001468</t>
  </si>
  <si>
    <t>40-730007-4800001272-FHD-ARC-MAT-000059</t>
  </si>
  <si>
    <t>40-730007-4800001272-FHD-ARC-MAT-000060</t>
  </si>
  <si>
    <t>40-730007-4800001272-FHD-ARC-CRS-000082</t>
  </si>
  <si>
    <t>40-730007-4800001272-FHD-ARC-CRS-000083</t>
  </si>
  <si>
    <t>4800001272-FHD-CG - Material Submittal for Carpet Tiles By Arch17 (Another Option)</t>
  </si>
  <si>
    <t>4800001272-FHD-CG - Material Submittal for Toilet Partitions By Bama Arabia Decoration Co.</t>
  </si>
  <si>
    <t>FHD-TRANSMIT-001469</t>
  </si>
  <si>
    <t>FHD-TRANSMIT-001470</t>
  </si>
  <si>
    <t>40-730007-4800001272-FHD-MEC-MAT-000066</t>
  </si>
  <si>
    <t>40-730007-4800001272-FHD-MEC-CRS-000145</t>
  </si>
  <si>
    <t>4800001272-FHD-CG - Material Submittal for Ultrasonic Water Meter for Potable Water Network By Alyami (ENVOTEC)</t>
  </si>
  <si>
    <t>FHD-TRANSMIT-001472</t>
  </si>
  <si>
    <t>40-730007-4800001272-FHD-SEC-MAT-000003</t>
  </si>
  <si>
    <t>40-730007-4800001272-FHD-SEC-CRS-000010</t>
  </si>
  <si>
    <t xml:space="preserve">4800001272-FHD-CG - Material Submittal for Road Blockers By Rokket (CCTVCOM) </t>
  </si>
  <si>
    <t>FHD-TRANSMIT-001474</t>
  </si>
  <si>
    <t>40-730007-4800001272-FHD-ELE-MAT-000044</t>
  </si>
  <si>
    <t>40-730007-4800001272-FHD-ELE-CRS-000088</t>
  </si>
  <si>
    <t>4800001272-FHD-CG - Material Submittal for Lighting Fixtures Supply By Armada</t>
  </si>
  <si>
    <t>FHD-TRANSMIT-001475</t>
  </si>
  <si>
    <t>WF-004207</t>
  </si>
  <si>
    <t>WF-00420</t>
  </si>
  <si>
    <t>WF-004209</t>
  </si>
  <si>
    <t>WF-004224</t>
  </si>
  <si>
    <t>WF-004225</t>
  </si>
  <si>
    <t>WF-004237</t>
  </si>
  <si>
    <t>WF-004238</t>
  </si>
  <si>
    <t>WF-004243</t>
  </si>
  <si>
    <t>WF-004244</t>
  </si>
  <si>
    <t>FHD-TRANSMIT-001481</t>
  </si>
  <si>
    <t>FHD-TRANSMIT-001485</t>
  </si>
  <si>
    <t>40-730007-4800001272-FHD-MEC-PQD-000062</t>
  </si>
  <si>
    <t>40-730007-4800001272-FHD-MEC-CRS-000146</t>
  </si>
  <si>
    <t>4800001272-FHD-CG - Pre-qualification Documents for Tawreed Co. for the Supply of Copper Tubes and Fittings for HVAC System.</t>
  </si>
  <si>
    <t>40-730007-4800001272-FHD-CIV-ITP-000013</t>
  </si>
  <si>
    <t>40-730007-4800001272-FHD-CIV-CRS-000108</t>
  </si>
  <si>
    <t>4800001272-FHD-CG - Inspection and Test Plan for Masonry Works</t>
  </si>
  <si>
    <t>FHD-TRANSMIT-001486</t>
  </si>
  <si>
    <t>WF-004264</t>
  </si>
  <si>
    <t>WF-004265</t>
  </si>
  <si>
    <t>WF-004266</t>
  </si>
  <si>
    <t>WF-004268</t>
  </si>
  <si>
    <t>WF-004270</t>
  </si>
  <si>
    <t>WF-004271</t>
  </si>
  <si>
    <t>40-730007-4800001272-FHD-ELE-PQD-000032</t>
  </si>
  <si>
    <t>40-730007-4800001272-FHD-ELE-CRS-000089</t>
  </si>
  <si>
    <t>4800001272-FHD-CG - Prequalification Documents for Elsewdy Co. for the Supply of Sockets and Switches (Explosion Proof) By Cortem Co.</t>
  </si>
  <si>
    <t>FHD-TRANSMIT-001489</t>
  </si>
  <si>
    <t>FHD-TRANSMIT-001490</t>
  </si>
  <si>
    <t>4800001272-FHD-CG - Material Submittal for UPVC Pipes and Fitting Cement By APLACO</t>
  </si>
  <si>
    <t>40-730007-4800001272-FHD-MEC-MAT-000067</t>
  </si>
  <si>
    <t>40-730007-4800001272-FHD-MEC-MAT-000068</t>
  </si>
  <si>
    <t>40-730007-4800001272-FHD-MEC-MAT-000069</t>
  </si>
  <si>
    <t>40-730007-4800001272-FHD-MEC-CRS-000147</t>
  </si>
  <si>
    <t>40-730007-4800001272-FHD-MEC-CRS-000148</t>
  </si>
  <si>
    <t>40-730007-4800001272-FHD-MEC-CRS-000149</t>
  </si>
  <si>
    <t>FHD-TRANSMIT-001491</t>
  </si>
  <si>
    <t>4800001272-FHD-CG - Material Submittal for Unloading Pumps for Fuel System By Delta Plus Trading Co.</t>
  </si>
  <si>
    <t>4800001272-FHD-CG - Material Submittal for Vapour Recovery Unit for Fuel System By Delta Plus Trading Co.</t>
  </si>
  <si>
    <t>FHD-TRANSMIT-001493</t>
  </si>
  <si>
    <t>FHD-TRANSMIT-001494</t>
  </si>
  <si>
    <t>40-730007-4800001272-FHD-ELE-MAT-000045</t>
  </si>
  <si>
    <t>40-730007-4800001272-FHD-ELE-CRS-000090</t>
  </si>
  <si>
    <t>4800001272-FHD-CG - Material Submittal for Panel and Electrical Material for Fuel System By Delta Plus Trading Co.</t>
  </si>
  <si>
    <t>FHD-TRANSMIT-001495</t>
  </si>
  <si>
    <t>WF-004307</t>
  </si>
  <si>
    <t>WF-004308</t>
  </si>
  <si>
    <t>WF-004309</t>
  </si>
  <si>
    <t>WF-004311</t>
  </si>
  <si>
    <t>WF-004312</t>
  </si>
  <si>
    <t>WF-004313</t>
  </si>
  <si>
    <t>40-730007-4800001272-FHD-MEC-PQD-000063</t>
  </si>
  <si>
    <t>40-730007-4800001272-FHD-MEC-CRS-000150</t>
  </si>
  <si>
    <t>4800001272-FHD-CG - Pre-qualification Documents for Saudi Valves Manufacturing Co. for the Supply of Valves and Fittings</t>
  </si>
  <si>
    <t>FHD-TRANSMIT-001502</t>
  </si>
  <si>
    <t>WF-004324</t>
  </si>
  <si>
    <t>FHD-TRANSMIT-001503</t>
  </si>
  <si>
    <t>40-730007-4800001272-FHD-MEC-CRS-000151</t>
  </si>
  <si>
    <t>40-730007-4800001272-FHD-MEC-MAT-000070</t>
  </si>
  <si>
    <t>4800001272-FHD-CG - Material Submittal for Pipes &amp; Ancillaries for Fuel System By Delta Plus Trading Co.</t>
  </si>
  <si>
    <t>FHD-TRANSMIT-001504</t>
  </si>
  <si>
    <t>FHD-TRANSMIT-001507</t>
  </si>
  <si>
    <t>40-730007-4800001272-FHD-CIV-MST-000024</t>
  </si>
  <si>
    <t>FHD-TRANSMIT-001510</t>
  </si>
  <si>
    <t>40-730007-4800001272-FHD-CIV-CRS-000109</t>
  </si>
  <si>
    <t>Received by whatsapp from Mr. Kulsharma</t>
  </si>
  <si>
    <t>4800001272-FHD-CG - Method Statement for Installation of Concrete Masonry Units (Hollow, Solid, and Acoustic)</t>
  </si>
  <si>
    <t>FHD-TRANSMIT-001511</t>
  </si>
  <si>
    <t>FHD-TRANSMIT-001513</t>
  </si>
  <si>
    <t>WF-004346</t>
  </si>
  <si>
    <t>WF-004347</t>
  </si>
  <si>
    <t>WF-004348</t>
  </si>
  <si>
    <t>WF-004394</t>
  </si>
  <si>
    <t>WF-004395</t>
  </si>
  <si>
    <t>WF-004396</t>
  </si>
  <si>
    <t>40-730007-4800001272-FHD-MEC-MAT-000071</t>
  </si>
  <si>
    <t>40-730007-4800001272-FHD-MEC-CRS-000152</t>
  </si>
  <si>
    <t>4800001272-FHD-CG - Material Submittal for Fuel Tanks for Fuel System By Delta Plus Trading Co.</t>
  </si>
  <si>
    <t>FHD-TRANSMIT-001518</t>
  </si>
  <si>
    <t>FHD-TRANSMIT-001519</t>
  </si>
  <si>
    <t>FHD-TRANSMIT-001522</t>
  </si>
  <si>
    <t>FHD-TRANSMIT-001523</t>
  </si>
  <si>
    <t>FHD-TRANSMIT-001524</t>
  </si>
  <si>
    <t>FHD-TRANSMIT-001525</t>
  </si>
  <si>
    <t>WF-004439</t>
  </si>
  <si>
    <t>WF-004440</t>
  </si>
  <si>
    <t>WF-004441</t>
  </si>
  <si>
    <t>WF-004442</t>
  </si>
  <si>
    <t>WF-004443</t>
  </si>
  <si>
    <t>FHD-TRANSMIT-001530</t>
  </si>
  <si>
    <t>FHD-TRANSMIT-001531</t>
  </si>
  <si>
    <t>40-730007-4800001272-FHD-MEC-PQD-000064</t>
  </si>
  <si>
    <t>40-730007-4800001272-FHD-MEC-CRS-000153</t>
  </si>
  <si>
    <t>4800001272-FHD-CG - Pre-qualification Documents for RVK M. Ramadan Shat Factory for the Supply of Valves and Fittings.</t>
  </si>
  <si>
    <t>FHD-TRANSMIT-001537</t>
  </si>
  <si>
    <t>40-730007-4800001272-FHD-MEC-MAT-000072</t>
  </si>
  <si>
    <t>40-730007-4800001272-FHD-MEC-MAT-000073</t>
  </si>
  <si>
    <t>40-730007-4800001272-FHD-MEC-CRS-000154</t>
  </si>
  <si>
    <t>40-730007-4800001272-FHD-MEC-CRS-000155</t>
  </si>
  <si>
    <t>4800001272-FHD-CG - Material Submittal for CopperTubes and Fittings for HVAC System By Tawreed Co.</t>
  </si>
  <si>
    <t>4800001272-FHD-CG - Material Submittal for General Site Potable Water Supply Valves By RVK M. Ramadan Shat Factory.</t>
  </si>
  <si>
    <t>FHD-TRANSMIT-001538</t>
  </si>
  <si>
    <t>FHD-TRANSMIT-001539</t>
  </si>
  <si>
    <t>FHD-TRANSMIT-001540</t>
  </si>
  <si>
    <t>WF-004469</t>
  </si>
  <si>
    <t>WF-004540</t>
  </si>
  <si>
    <t>WF-004541</t>
  </si>
  <si>
    <t>WF-004542</t>
  </si>
  <si>
    <t>WF-004543</t>
  </si>
  <si>
    <t>WF-004544</t>
  </si>
  <si>
    <t>WF-004545</t>
  </si>
  <si>
    <t>40-730007-4800001272-FHD-MEC-PQD-000065</t>
  </si>
  <si>
    <t>40-730007-4800001272-FHD-MEC-CRS-000156</t>
  </si>
  <si>
    <t>4800001272-FHD-CG - Pre-qualification Documents for Joint Gulf Co. for the Supply of Copper Tubes and Fittings for HVAC System.</t>
  </si>
  <si>
    <t>FHD-TRANSMIT-001545</t>
  </si>
  <si>
    <t>FHD-TRANSMIT-001546</t>
  </si>
  <si>
    <t>FHD-TRANSMIT-001547</t>
  </si>
  <si>
    <t>WF-004588</t>
  </si>
  <si>
    <t>WF-004589</t>
  </si>
  <si>
    <t>WF-004590</t>
  </si>
  <si>
    <t>FHD-TRANSMIT-001555</t>
  </si>
  <si>
    <t>FHD-TRANSMIT-001556</t>
  </si>
  <si>
    <t>FHD-TRANSMIT-001557</t>
  </si>
  <si>
    <t>FHD-TRANSMIT-001558</t>
  </si>
  <si>
    <t>40-730007-4800001272-FHD-MEC-MAT-000074</t>
  </si>
  <si>
    <t>40-730007-4800001272-FHD-MEC-CRS-000157</t>
  </si>
  <si>
    <t>4800001272-FHD-CG - Material Submittal for Overhead Crane By Saudi Crane</t>
  </si>
  <si>
    <t>FHD-TRANSMIT-001559</t>
  </si>
  <si>
    <t>WF-004652</t>
  </si>
  <si>
    <t>WF-004653</t>
  </si>
  <si>
    <t>WF-004656</t>
  </si>
  <si>
    <t>WF-004657</t>
  </si>
  <si>
    <t>WF-004658</t>
  </si>
  <si>
    <t>FHD-TRANSMIT-001562</t>
  </si>
  <si>
    <t>FHD-TRANSMIT-001563</t>
  </si>
  <si>
    <t>FHD-TRANSMIT-001564</t>
  </si>
  <si>
    <t>40-730007-4800001272-FHD-MEC-MAT-000075</t>
  </si>
  <si>
    <t>40-730007-4800001272-FHD-MEC-CRS-000158</t>
  </si>
  <si>
    <t>4800001272-FHD-CG - Material Submittal for Air Compressor By Atlas Copco Company.</t>
  </si>
  <si>
    <t>FHD-TRANSMIT-001568</t>
  </si>
  <si>
    <t>WF-004685</t>
  </si>
  <si>
    <t>WF-004686</t>
  </si>
  <si>
    <t>WF-004687</t>
  </si>
  <si>
    <t>WF-004689</t>
  </si>
  <si>
    <t>WF-004394
CRS to be Code - A, please check and resend with correct CRS</t>
  </si>
  <si>
    <t>4800001272-FHD-CG - Method Statement for Erection and Dismantle of Workshop.</t>
  </si>
  <si>
    <t>40-730007-4800001272-FHD-CON-MST-000001</t>
  </si>
  <si>
    <t>40-730007-4800001272-FHD-CON-CRS-000002</t>
  </si>
  <si>
    <t>CON - Construction Management</t>
  </si>
  <si>
    <t>FHD-TRANSMIT-001573</t>
  </si>
  <si>
    <t>4800001272-FHD-CG - Material Submittal for Roof Cement Tiles By Construction Material Co.</t>
  </si>
  <si>
    <t>40-730007-4800001272-FHD-ARC-MAT-000061</t>
  </si>
  <si>
    <t>40-730007-4800001272-FHD-ARC-CRS-000084</t>
  </si>
  <si>
    <t>FHD-TRANSMIT-001574</t>
  </si>
  <si>
    <t>FHD-TRANSMIT-001575</t>
  </si>
  <si>
    <t>FHD-TRANSMIT-001576</t>
  </si>
  <si>
    <t>FHD-TRANSMIT-001579</t>
  </si>
  <si>
    <t>FHD-TRANSMIT-001580</t>
  </si>
  <si>
    <t>FHD-TRANSMIT-001581</t>
  </si>
  <si>
    <t>40-730007-4800001272-FHD-CIV-MST-000025</t>
  </si>
  <si>
    <t>40-730007-4800001272-FHD-CIV-CRS-000110</t>
  </si>
  <si>
    <t>FHD-TRANSMIT-001582</t>
  </si>
  <si>
    <t>FHD-TRANSMIT-001586</t>
  </si>
  <si>
    <t>FHD-TRANSMIT-001588</t>
  </si>
  <si>
    <t>WF-004796</t>
  </si>
  <si>
    <t>WF-004797</t>
  </si>
  <si>
    <t>WF-004798</t>
  </si>
  <si>
    <t>WF-004799</t>
  </si>
  <si>
    <t>WF-004800</t>
  </si>
  <si>
    <t>WF-004802</t>
  </si>
  <si>
    <t>WF-004803</t>
  </si>
  <si>
    <t>WF-004804</t>
  </si>
  <si>
    <t>WF-004805</t>
  </si>
  <si>
    <t>WF-004808</t>
  </si>
  <si>
    <t>FHD-TRANSMIT-001596</t>
  </si>
  <si>
    <t>FHD-TRANSMIT-001597</t>
  </si>
  <si>
    <t>40-730007-4800001272-FHD-ELE-MAT-000046</t>
  </si>
  <si>
    <t>40-730007-4800001272-FHD-ELE-CRS-000094</t>
  </si>
  <si>
    <t>4800001272-FHD-CG - Material Submittal for LED Lighting Fixture &amp; Lighting Pole By Renewable Lighting Factory for Industry L.L.C (RLCO)</t>
  </si>
  <si>
    <t>FHD-TRANSMIT-001598</t>
  </si>
  <si>
    <t>WF-004840</t>
  </si>
  <si>
    <t>WF-004841</t>
  </si>
  <si>
    <t>WF-004842</t>
  </si>
  <si>
    <t>40-730007-4800001272-FHD-ARC-PQD-000023</t>
  </si>
  <si>
    <t>40-730007-4800001272-FHD-ARC-CRS-000085</t>
  </si>
  <si>
    <t xml:space="preserve">4800001272-FHD-CG - Prequalification Documents for 9 Degree Co. as Sub-Contractor for Signage and Way-Finding Works.
</t>
  </si>
  <si>
    <t>FHD-TRANSMIT-001601</t>
  </si>
  <si>
    <t>40-730007-4800001272-FHD-CIV-MAT-000054</t>
  </si>
  <si>
    <t>40-730007-4800001272-FHD-CIV-CRS-000111</t>
  </si>
  <si>
    <t>4800001272-FHD-CG - Material Submittal for Sikaseal®250 Migrating By SIKA</t>
  </si>
  <si>
    <t>FHD-TRANSMIT-001603</t>
  </si>
  <si>
    <t>40-730007-4800001272-FHD-MEC-MAT-000076</t>
  </si>
  <si>
    <t>40-730007-4800001272-FHD-MEC-CRS-000159</t>
  </si>
  <si>
    <t>4800001272-FHD-CG - Material Submittal for Manhole Covers for Storm Network By Saudi Cast</t>
  </si>
  <si>
    <t>FHD-TRANSMIT-001607</t>
  </si>
  <si>
    <t>WF-004868</t>
  </si>
  <si>
    <t>WF-004869</t>
  </si>
  <si>
    <t>WF-004886</t>
  </si>
  <si>
    <t>FHD-TRANSMIT-001610</t>
  </si>
  <si>
    <t>FHD-TRANSMIT-001615</t>
  </si>
  <si>
    <t>FHD-TRANSMIT-001616</t>
  </si>
  <si>
    <t>WF-004958</t>
  </si>
  <si>
    <t>WF-004959</t>
  </si>
  <si>
    <t>WF-004967</t>
  </si>
  <si>
    <t>40-730007-4800001272-FHD-MEC-ITP-000007</t>
  </si>
  <si>
    <t>40-730007-4800001272-FHD-MEC-CRS-000161</t>
  </si>
  <si>
    <t>4800001272-FHD-CG - Vendor FAT Inspection and Test Plan for Bolts and Nuts at Manufacturer Facility Asia Bolts Industries.</t>
  </si>
  <si>
    <t>FHD-TRANSMIT-001623</t>
  </si>
  <si>
    <t>WF-005031</t>
  </si>
  <si>
    <t>WF-005040</t>
  </si>
  <si>
    <t>FHD-TRANSMIT-001626</t>
  </si>
  <si>
    <t>FHD-TRANSMIT-001627</t>
  </si>
  <si>
    <t>WF-005052</t>
  </si>
  <si>
    <t>WF-005053</t>
  </si>
  <si>
    <t>FHD-TRANSMIT-001631</t>
  </si>
  <si>
    <t>4800001272-FHD-CG - Method Statement for Scaffolding – 2nd Floor (Cuplock System)</t>
  </si>
  <si>
    <t>WF-005066</t>
  </si>
  <si>
    <t>FHD-TRANSMIT-001639</t>
  </si>
  <si>
    <t>FHD-TRANSMIT-001641</t>
  </si>
  <si>
    <t>WF-005089</t>
  </si>
  <si>
    <t>FHD-TRANSMIT-001644</t>
  </si>
  <si>
    <t>WF-005099</t>
  </si>
  <si>
    <t>WF-005105</t>
  </si>
  <si>
    <t>FHD-TRANSMIT-001653</t>
  </si>
  <si>
    <t>FHD-TRANSMIT-001655</t>
  </si>
  <si>
    <t>WF-005150</t>
  </si>
  <si>
    <t>WF-005151</t>
  </si>
  <si>
    <t>FHD-TRANSMIT-001661</t>
  </si>
  <si>
    <t>FHD-TRANSMIT-001663</t>
  </si>
  <si>
    <t>FHD-TRANSMIT-001669</t>
  </si>
  <si>
    <t>FHD-TRANSMIT-001676</t>
  </si>
  <si>
    <t>WF-005211</t>
  </si>
  <si>
    <t>WF-005212</t>
  </si>
  <si>
    <t>WF-005214</t>
  </si>
  <si>
    <t>WF-005217</t>
  </si>
  <si>
    <t>40-730007-4800001272-FHD-MEC-ITP-000008</t>
  </si>
  <si>
    <t>40-730007-4800001272-FHD-MEC-CRS-000162</t>
  </si>
  <si>
    <t>4800001272-FHD-CG - Vendor FAT Inspection and Test Plan for Ductile Iron (Gate, Check) Valves and Fittings at Manufacturer Facility RVK Ramadan Shat Factory.</t>
  </si>
  <si>
    <t>FHD-TRANSMIT-001684</t>
  </si>
  <si>
    <t>FHD-TRANSMIT-001685</t>
  </si>
  <si>
    <t>FHD-TRANSMIT-001686</t>
  </si>
  <si>
    <t>WF-005248</t>
  </si>
  <si>
    <t>WF-005251</t>
  </si>
  <si>
    <t>40-730007-4800001272-FHD-MEC-MAT-000077</t>
  </si>
  <si>
    <t>40-730007-4800001272-FHD-MEC-MAT-000078</t>
  </si>
  <si>
    <t>40-730007-4800001272-FHD-MEC-CRS-000163</t>
  </si>
  <si>
    <t>40-730007-4800001272-FHD-MEC-CRS-000164</t>
  </si>
  <si>
    <t>4800001272-FHD-CG - Material Submittal for Floor Trap By Multi Resource Trading Company</t>
  </si>
  <si>
    <t>FHD-TRANSMIT-001687</t>
  </si>
  <si>
    <t>4800001272-FHD-CG - Material Submittal for Pipes and Fittings for Air Compressor By Tysseer Service Trading Co.</t>
  </si>
  <si>
    <t>FHD-TRANSMIT-001688</t>
  </si>
  <si>
    <t>40-730007-4800001272-FHD-MEC-MAT-000079</t>
  </si>
  <si>
    <t>40-730007-4800001272-FHD-MEC-CRS-000165</t>
  </si>
  <si>
    <t>4800001272-FHD-CG - Material Submittal for Drinking Fountain By Al Fahd Idahah</t>
  </si>
  <si>
    <t>FHD-TRANSMIT-001690</t>
  </si>
  <si>
    <t>FHD-TRANSMIT-001691</t>
  </si>
  <si>
    <t>FHD-TRANSMIT-001692</t>
  </si>
  <si>
    <t>FHD-TRANSMIT-001694</t>
  </si>
  <si>
    <t>40-730007-4800001272-FHD-MEC-PQD-000066</t>
  </si>
  <si>
    <t>40-730007-4800001272-FHD-MEC-CRS-000166</t>
  </si>
  <si>
    <t>4800001272-FHD-CG - Pre-qualification Documents for Tysseer Service Trading Co. for the Supply of CS Threaded Fitting By Bothwell Co.</t>
  </si>
  <si>
    <t>FHD-TRANSMIT-001696</t>
  </si>
  <si>
    <t>WF-005266</t>
  </si>
  <si>
    <t>WF-005267</t>
  </si>
  <si>
    <t>WF-005268</t>
  </si>
  <si>
    <t>FHD-TRANSMIT-001702</t>
  </si>
  <si>
    <t>FHD-TRANSMIT-001706</t>
  </si>
  <si>
    <t>WF-005294</t>
  </si>
  <si>
    <t>WF-005295</t>
  </si>
  <si>
    <t>WF-005300</t>
  </si>
  <si>
    <t>WF-005304</t>
  </si>
  <si>
    <t>40-730007-4800001272-FHD-MEC-ITP-000009</t>
  </si>
  <si>
    <t>40-730007-4800001272-FHD-MEC-CRS-000168</t>
  </si>
  <si>
    <t>FHD-TRANSMIT-001707</t>
  </si>
  <si>
    <t>FHD-TRANSMIT-001711</t>
  </si>
  <si>
    <t>40-730007-4800001272-FHD-ARC-PQD-000024</t>
  </si>
  <si>
    <t>40-730007-4800001272-FHD-ARC-CRS-000086</t>
  </si>
  <si>
    <t xml:space="preserve">4800001272-FHD-CG - Prequalification Documents for 9 Degree Co. for the Supply of Steel Railings.
</t>
  </si>
  <si>
    <t>FHD-TRANSMIT-001712</t>
  </si>
  <si>
    <t>WF-005364</t>
  </si>
  <si>
    <t>WF-005367</t>
  </si>
  <si>
    <t>WF-005369</t>
  </si>
  <si>
    <t>WF-005372</t>
  </si>
  <si>
    <t>WF-005373</t>
  </si>
  <si>
    <t>40-730007-4800001272-FHD-MEC-PQD-000067</t>
  </si>
  <si>
    <t>40-730007-4800001272-FHD-MEC-CRS-000169</t>
  </si>
  <si>
    <t>4800001272-FHD-CG - Pre-qualification Documents for Perma Pipes Co. for the Supply of Pre-insulated Carbon Steel Pipes and Fittings.</t>
  </si>
  <si>
    <t>FHD-TRANSMIT-001714</t>
  </si>
  <si>
    <t>FHD-TRANSMIT-001715</t>
  </si>
  <si>
    <t>WF-005401</t>
  </si>
  <si>
    <t>WF-005402</t>
  </si>
  <si>
    <t>FHD-TRANSMIT-001716</t>
  </si>
  <si>
    <t>FHD-TRANSMIT-001718</t>
  </si>
  <si>
    <t>FHD-TRANSMIT-001719</t>
  </si>
  <si>
    <t>FHD-TRANSMIT-001720</t>
  </si>
  <si>
    <t>FHD-TRANSMIT-001722</t>
  </si>
  <si>
    <t>FHD-TRANSMIT-001723</t>
  </si>
  <si>
    <t>40-730007-4800001272-FHD-ARC-MAT-000062</t>
  </si>
  <si>
    <t>40-730007-4800001272-FHD-ARC-CRS-000087</t>
  </si>
  <si>
    <t>4800001272-FHD-CG - Material Submittal for Acoustic Fabric Wall Panels By Al Sawaed General Contracting Company.</t>
  </si>
  <si>
    <t>FHD-TRANSMIT-001721</t>
  </si>
  <si>
    <t>FHD-TRANSMIT-001724</t>
  </si>
  <si>
    <t>FHD-TRANSMIT-001725</t>
  </si>
  <si>
    <t>FHD-TRANSMIT-001726</t>
  </si>
  <si>
    <t>4800001272-FHD-CG - Pre-qualification Document for Elite Fire Trading Co. as Supplier for Fire Fighting System, Wet &amp; Clean Agent</t>
  </si>
  <si>
    <t>FHD-TRANSMIT-001730</t>
  </si>
  <si>
    <t>WF-005463</t>
  </si>
  <si>
    <t>WF-005464</t>
  </si>
  <si>
    <t>FHD-TRANSMIT-001735</t>
  </si>
  <si>
    <t>40-730007-4800001272-FHD-ELE-MAT-000047</t>
  </si>
  <si>
    <t>40-730007-4800001272-FHD-ELE-CRS-000096</t>
  </si>
  <si>
    <t>4800001272-FHD-CG - Material Submittal for Arm Barriers By Rokket Roger</t>
  </si>
  <si>
    <t>FHD-TRANSMIT-001736</t>
  </si>
  <si>
    <t>FHD-TRANSMIT-001737</t>
  </si>
  <si>
    <t>40-730007-4800001272-FHD-MEC-ITP-000010</t>
  </si>
  <si>
    <t>40-730007-4800001272-FHD-MEC-CRS-000170</t>
  </si>
  <si>
    <t>FHD-TRANSMIT-001739</t>
  </si>
  <si>
    <t>4800001272-FHD-CG - Vendor FAT Inspection and Test Plan for Fire-Rated Doors and Windows By Sultanah Allied Co.</t>
  </si>
  <si>
    <t>FHD-TRANSMIT-001740</t>
  </si>
  <si>
    <t>FHD-TRANSMIT-001746</t>
  </si>
  <si>
    <t>WF-005509</t>
  </si>
  <si>
    <t>WF-005512</t>
  </si>
  <si>
    <t>WF-005513</t>
  </si>
  <si>
    <t>WF-005522</t>
  </si>
  <si>
    <t>WF-005523</t>
  </si>
  <si>
    <t>WF-005524</t>
  </si>
  <si>
    <t>WF-005525</t>
  </si>
  <si>
    <t>40-730007-4800001272-FHD-CIV-MAT-000055</t>
  </si>
  <si>
    <t>40-730007-4800001272-FHD-CIV-CRS-000112</t>
  </si>
  <si>
    <t>4800001272-FHD-CG - Material Submittal for Sand By Mashail Al-Atwi</t>
  </si>
  <si>
    <t>FHD-TRANSMIT-001756</t>
  </si>
  <si>
    <t>WF-005594</t>
  </si>
  <si>
    <t>40-730007-4800001272-FHD-CIV-PQD-000015</t>
  </si>
  <si>
    <t>40-730007-4800001272-FHD-CIV-CRS-000113</t>
  </si>
  <si>
    <t>4800001272-FHD-CG - Prequalification Documents for Bina Monshaat Contracting Co. as Sub-Contractor for Manpower Supply and Execution of Formwork, Steel and Water-Proofing Works</t>
  </si>
  <si>
    <t>FHD-TRANSMIT-001769</t>
  </si>
  <si>
    <t>40-730007-4800001272-FHD-MEC-ITP-000011</t>
  </si>
  <si>
    <t>4800001272-FHD-CG - Vendor FAT Inspection and Test Plan for Plate Heat Exchanger By JGB Co. (Manuf. Kelvion Co.)</t>
  </si>
  <si>
    <t>40-730007-4800001272-FHD-MEC-CRS-000172</t>
  </si>
  <si>
    <t>FHD-TRANSMIT-001770</t>
  </si>
  <si>
    <t>FHD-TRANSMIT-001771</t>
  </si>
  <si>
    <t>40-730007-4800001272-FHD-ELE-MST-000002</t>
  </si>
  <si>
    <t>4800001272-FHD-CG - Method Statement for Installation of Cable Tray, Trunk and Ladders</t>
  </si>
  <si>
    <t>40-730007-4800001272-FHD-ELE-CRS-000099</t>
  </si>
  <si>
    <t>FHD-TRANSMIT-001772</t>
  </si>
  <si>
    <t>Received by whatsapp from Mr. Hakim / Kulsharma</t>
  </si>
  <si>
    <t>40-730007-4800001272-FHD-MEC-CRS-000173</t>
  </si>
  <si>
    <t>4800001272-FHD-CG - Method Statement for Installation of Fire-Fighting System</t>
  </si>
  <si>
    <t>40-730007-4800001272-FHD-MEC-MST-000001</t>
  </si>
  <si>
    <t>FHD-TRANSMIT-001774</t>
  </si>
  <si>
    <t>FHD-TRANSMIT-001775</t>
  </si>
  <si>
    <t>40-730007-4800001272-FHD-MEC-MAT-000080</t>
  </si>
  <si>
    <t>40-730007-4800001272-FHD-MEC-CRS-000174</t>
  </si>
  <si>
    <t>4800001272-FHD-CG - Material Submittal for Sanitary Ware By Bayt Alebaa Co.</t>
  </si>
  <si>
    <t>FHD-TRANSMIT-001776</t>
  </si>
  <si>
    <t>40-730007-4800001272-FHD-MEC-ITP-000012</t>
  </si>
  <si>
    <t>40-730007-4800001272-FHD-MEC-CRS-000175</t>
  </si>
  <si>
    <t>4800001272-FHD-CG - Inspection and Test Plan for Fire-Fighting System</t>
  </si>
  <si>
    <t>FHD-TRANSMIT-001778</t>
  </si>
  <si>
    <t>FHD-TRANSMIT-001782</t>
  </si>
  <si>
    <t>WF-005681</t>
  </si>
  <si>
    <t>WF-005682</t>
  </si>
  <si>
    <t>WF-005685</t>
  </si>
  <si>
    <t>WF-005686</t>
  </si>
  <si>
    <t>WF-005687</t>
  </si>
  <si>
    <t>WF-005689</t>
  </si>
  <si>
    <t>FHD-TRANSMIT-001784</t>
  </si>
  <si>
    <t>WF-005723</t>
  </si>
  <si>
    <t>FHD-TRANSMIT-001797</t>
  </si>
  <si>
    <t>FHD-TRANSMIT-001798</t>
  </si>
  <si>
    <t>FHD-TRANSMIT-001799</t>
  </si>
  <si>
    <t>FHD-TRANSMIT-001801</t>
  </si>
  <si>
    <t>FHD-TRANSMIT-001802</t>
  </si>
  <si>
    <t>FHD-TRANSMIT-001804</t>
  </si>
  <si>
    <t>Received by email from Mr. Hakim / Manowar/ K ulsharma</t>
  </si>
  <si>
    <t>FHD-TRANSMIT-001805</t>
  </si>
  <si>
    <t>WF-005795</t>
  </si>
  <si>
    <t>WF-005796</t>
  </si>
  <si>
    <t>WF-005797</t>
  </si>
  <si>
    <t>WF-005798</t>
  </si>
  <si>
    <t>WF-005799</t>
  </si>
  <si>
    <t>WF-005800</t>
  </si>
  <si>
    <t>FHD-TRANSMIT-001806</t>
  </si>
  <si>
    <t>40-730007-4800001272-FHD-MEC-PQD-000068</t>
  </si>
  <si>
    <t>40-730007-4800001272-FHD-MEC-CRS-000177</t>
  </si>
  <si>
    <t>4800001272-FHD-CG - Pre-qualification Documents for Veolia Co. as Sub-Contractor for Flushing of Chilled Water System</t>
  </si>
  <si>
    <t>FHD-TRANSMIT-001812</t>
  </si>
  <si>
    <t>FHD-TRANSMIT-001813</t>
  </si>
  <si>
    <t>FHD-TRANSMIT-001814</t>
  </si>
  <si>
    <t>FHD-TRANSMIT-001816</t>
  </si>
  <si>
    <t>FHD-TRANSMIT-001819</t>
  </si>
  <si>
    <t>FHD-TRANSMIT-001820</t>
  </si>
  <si>
    <t>WF-005844</t>
  </si>
  <si>
    <t>FHD-TRANSMIT-001824</t>
  </si>
  <si>
    <t>FHD-TRANSMIT-001825</t>
  </si>
  <si>
    <t>FHD-TRANSMIT-001826</t>
  </si>
  <si>
    <t>FHD-TRANSMIT-001830</t>
  </si>
  <si>
    <t>40-730007-4800001272-FHD-CIV-MAT-000056</t>
  </si>
  <si>
    <t>40-730007-4800001272-FHD-CIV-CRS-000116</t>
  </si>
  <si>
    <t>FHD-TRANSMIT-001832</t>
  </si>
  <si>
    <t>40-730007-4800001272-FHD-MEC-MAT-000081</t>
  </si>
  <si>
    <t>40-730007-4800001272-FHD-MEC-CRS-000178</t>
  </si>
  <si>
    <t>4800001272-FHD-CG - Material Submittal for Pre-Insulated Pipe and Fitting for Chilled Water Network By Perma Pipes Co.</t>
  </si>
  <si>
    <t>FHD-TRANSMIT-001833</t>
  </si>
  <si>
    <t>WF-005901</t>
  </si>
  <si>
    <t>WF-005904</t>
  </si>
  <si>
    <t>WF-005905</t>
  </si>
  <si>
    <t>WF-005906</t>
  </si>
  <si>
    <t>WF-005907</t>
  </si>
  <si>
    <t>WF-005909</t>
  </si>
  <si>
    <t>40-730007-4800001272-FHD-ARC-CRS-000007</t>
  </si>
  <si>
    <t>FHD-TRANSMIT-001835</t>
  </si>
  <si>
    <t>FHD-TRANSMIT-001836</t>
  </si>
  <si>
    <t>4800001272-FHD-CG - Method Statement for Pull-Out Test of Steel Bar</t>
  </si>
  <si>
    <t>FHD-TRANSMIT-001839</t>
  </si>
  <si>
    <t>40-730007-4800001272-FHD-MEC-PQD-000069</t>
  </si>
  <si>
    <t>4800001272-FHD-CG - Pre-qualification Documents for CSI Co. as Sub-Contractor for Testing and Balancing of HVAC System</t>
  </si>
  <si>
    <t>40-730007-4800001272-FHD-MEC-CRS-000179</t>
  </si>
  <si>
    <t>FHD-TRANSMIT-001841</t>
  </si>
  <si>
    <t>40-730007-4800001272-FHD-MEC-PQD-000070</t>
  </si>
  <si>
    <t>40-730007-4800001272-FHD-MEC-CRS-000180</t>
  </si>
  <si>
    <t>4800001272-FHD-CG - Pre-qualification Documents for Ali Manea Alyami Trading Co. as Supplier for Valves and Fittings for Chilled Water System.</t>
  </si>
  <si>
    <t>FHD-TRANSMIT-001845</t>
  </si>
  <si>
    <t>FHD-TRANSMIT-001847</t>
  </si>
  <si>
    <t>WF-005950</t>
  </si>
  <si>
    <t>WF-005951</t>
  </si>
  <si>
    <t>WF-005953</t>
  </si>
  <si>
    <t>WF-005956</t>
  </si>
  <si>
    <t>WF-005960</t>
  </si>
  <si>
    <t>WF-005961</t>
  </si>
  <si>
    <t>WF-005962</t>
  </si>
  <si>
    <t>WF-005963</t>
  </si>
  <si>
    <t>FHD-TRANSMIT-001848</t>
  </si>
  <si>
    <t>40-730007-4800001272-FHD-ARC-MAT-000063</t>
  </si>
  <si>
    <t>40-730007-4800001272-FHD-ARC-CRS-000088</t>
  </si>
  <si>
    <t>4800001272-FHD-CG - Material Submittal for Roof Cement Tiles By Opal United Factory for Concrete Products</t>
  </si>
  <si>
    <t>FHD-TRANSMIT-001849</t>
  </si>
  <si>
    <t>40-730007-4800001272-FHD-MEC-MAT-000082</t>
  </si>
  <si>
    <t>40-730007-4800001272-FHD-MEC-CRS-000181</t>
  </si>
  <si>
    <t xml:space="preserve">4800001272-FHD-CG - Material Submittal for Fuel Dispensers for Fuel System By Integrated Engineering &amp; Contracting Co. </t>
  </si>
  <si>
    <t>FHD-TRANSMIT-001852</t>
  </si>
  <si>
    <t>FHD-TRANSMIT-001856</t>
  </si>
  <si>
    <t>FHD-TRANSMIT-001857</t>
  </si>
  <si>
    <t>WF-006009</t>
  </si>
  <si>
    <t>WF-006010</t>
  </si>
  <si>
    <t>WF-006011</t>
  </si>
  <si>
    <t>WF-006012</t>
  </si>
  <si>
    <t>WF-005297</t>
  </si>
  <si>
    <t>40-730007-4800001272-FHD-ELE-MAT-000048</t>
  </si>
  <si>
    <t>40-730007-4800001272-FHD-ELE-CRS-000103</t>
  </si>
  <si>
    <t>4800001272-FHD-CG - Material Submittal for Socket &amp; Switch EX By Elsewedy (Cortem)</t>
  </si>
  <si>
    <t>FHD-TRANSMIT-001860</t>
  </si>
  <si>
    <t>FHD-TRANSMIT-001864</t>
  </si>
  <si>
    <t>4800001272-FHD-CG - Inspection and Test Plan for Storm Water</t>
  </si>
  <si>
    <t>FHD-TRANSMIT-001869</t>
  </si>
  <si>
    <t>WF-006050</t>
  </si>
  <si>
    <t>WF-006052</t>
  </si>
  <si>
    <t>WF-006053</t>
  </si>
  <si>
    <t>WF-006055</t>
  </si>
  <si>
    <t>FHD-TRANSMIT-001870</t>
  </si>
  <si>
    <t>FHD-TRANSMIT-001874</t>
  </si>
  <si>
    <t>FHD-TRANSMIT-001876</t>
  </si>
  <si>
    <t>FHD-TRANSMIT-001877</t>
  </si>
  <si>
    <t>40-730007-4800001272-FHD-ARC-MAT-000064</t>
  </si>
  <si>
    <t>40-730007-4800001272-FHD-ARC-CRS-000089</t>
  </si>
  <si>
    <t>4800001272-FHD-CG - Material Submittal for Mirrors and Frame By (Nine) 9 Degrees</t>
  </si>
  <si>
    <t>FHD-TRANSMIT-001878</t>
  </si>
  <si>
    <t>FHD-TRANSMIT-001879</t>
  </si>
  <si>
    <t>FHD-TRANSMIT-001880</t>
  </si>
  <si>
    <t>40-730007-4800001272-FHD-ELE-ITP-000008</t>
  </si>
  <si>
    <t>40-730007-4800001272-FHD-ELE-CRS-000104</t>
  </si>
  <si>
    <t>4800001272-FHD-CG - Vendor FAT Inspection and Test Plan for Generators at Manufacturer Facility Saudi Technic Co.</t>
  </si>
  <si>
    <t>FHD-TRANSMIT-001884</t>
  </si>
  <si>
    <t>FHD-TRANSMIT-001886</t>
  </si>
  <si>
    <t>4800001272-FHD-CG - Material Submittal for PVC Water Stop for Construction Joints By Unitech</t>
  </si>
  <si>
    <t>FHD-TRANSMIT-001887</t>
  </si>
  <si>
    <t>FHD-TRANSMIT-001888</t>
  </si>
  <si>
    <t>WF-006120</t>
  </si>
  <si>
    <t>WF-006121</t>
  </si>
  <si>
    <t>WF-006123</t>
  </si>
  <si>
    <t>WF-006132</t>
  </si>
  <si>
    <t>WF-006134</t>
  </si>
  <si>
    <t>WF-006135</t>
  </si>
  <si>
    <t>WF-006137</t>
  </si>
  <si>
    <t>WF-006138</t>
  </si>
  <si>
    <t>WF-006139</t>
  </si>
  <si>
    <t>WF-006140</t>
  </si>
  <si>
    <t>WF-006141</t>
  </si>
  <si>
    <t xml:space="preserve">4800001272-FHD-CG - Material Submittal for Cubis By Idhaah - ACRH </t>
  </si>
  <si>
    <t>FHD-TRANSMIT-001889</t>
  </si>
  <si>
    <t>WF-006152</t>
  </si>
  <si>
    <t>FHD-TRANSMIT-001895</t>
  </si>
  <si>
    <t>40-730007-4800001272-FHD-ARC-MAT-000065</t>
  </si>
  <si>
    <t>40-730007-4800001272-FHD-ARC-CRS-000090</t>
  </si>
  <si>
    <t>4800001272-FHD-CG - Material Submittal for Steel and Glass Handrail By (Nine) 9 Degrees for Contracting and Trading</t>
  </si>
  <si>
    <t>FHD-TRANSMIT-001896</t>
  </si>
  <si>
    <t>40-730007-4800001272-FHD-MEC-MAT-000083</t>
  </si>
  <si>
    <t>40-730007-4800001272-FHD-MEC-CRS-000183</t>
  </si>
  <si>
    <t>4800001272-FHD-CG - Material Submittal for Roof Drain By Saudi Cast</t>
  </si>
  <si>
    <t>FHD-TRANSMIT-001897</t>
  </si>
  <si>
    <t>FHD-TRANSMIT-001898</t>
  </si>
  <si>
    <t>FHD-TRANSMIT-001899</t>
  </si>
  <si>
    <t>40-730007-4800001272-FHD-STR-MAT-000012</t>
  </si>
  <si>
    <t>40-730007-4800001272-FHD-STR-CRS-000020</t>
  </si>
  <si>
    <t>4800001272-FHD-CG - Material Submittal for 20mm Anchor Bolts By Masdar</t>
  </si>
  <si>
    <t>FHD-TRANSMIT-001900</t>
  </si>
  <si>
    <t>FHD-TRANSMIT-001901</t>
  </si>
  <si>
    <t>WF-006200</t>
  </si>
  <si>
    <t>WF-006252</t>
  </si>
  <si>
    <t>WF-006253</t>
  </si>
  <si>
    <t>WF-006254</t>
  </si>
  <si>
    <t>WF-006255</t>
  </si>
  <si>
    <t>WF-006256</t>
  </si>
  <si>
    <t>WF-006257</t>
  </si>
  <si>
    <t>WF-006258</t>
  </si>
  <si>
    <t>WF-006269</t>
  </si>
  <si>
    <t>There is no new comments, suppose to be code - A</t>
  </si>
  <si>
    <t>FHD-TRANSMIT-001917</t>
  </si>
  <si>
    <t>000000</t>
  </si>
  <si>
    <t>40-000000-4800001272-FHD-CIV-CRS-000001</t>
  </si>
  <si>
    <t>40-000000-4800001272-FHD-CIV-MAT-000001</t>
  </si>
  <si>
    <t>Asset Code</t>
  </si>
  <si>
    <t>40-000000-4800001272-FHD-ARC-CRS-000001</t>
  </si>
  <si>
    <t>40-000000-4800001272-FHD-ARC-MAT-000001</t>
  </si>
  <si>
    <t>4800001272-FHD-CG - Material Submittal for Non Fire Rated Sealant By Unitech</t>
  </si>
  <si>
    <t>FHD-TRANSMIT-001919</t>
  </si>
  <si>
    <t xml:space="preserve">4800001272-FHD-CG - Material Submittal for Foam Backing Rods By Unitech </t>
  </si>
  <si>
    <t>FHD-TRANSMIT-001920</t>
  </si>
  <si>
    <t>FHD-TRANSMIT-001921</t>
  </si>
  <si>
    <t>40-310002-4800001272-FHD-CIV-ITP-000001</t>
  </si>
  <si>
    <t>40-310002-4800001272-FHD-CIV-CRS-000002</t>
  </si>
  <si>
    <t>4800001272-FHD-CG - Inspection and Test Plan for Plaster Works</t>
  </si>
  <si>
    <t>FHD-TRANSMIT-001922</t>
  </si>
  <si>
    <t>FHD-TRANSMIT-001923</t>
  </si>
  <si>
    <t>FHD-TRANSMIT-001924</t>
  </si>
  <si>
    <t>WF-006292</t>
  </si>
  <si>
    <t>FHD-TRANSMIT-001916</t>
  </si>
  <si>
    <t>WF-006293</t>
  </si>
  <si>
    <t>WF-006340</t>
  </si>
  <si>
    <t>WF-006341</t>
  </si>
  <si>
    <t>WF-006342</t>
  </si>
  <si>
    <t>WF-006345</t>
  </si>
  <si>
    <t>WF-006346</t>
  </si>
  <si>
    <t>WF-006347</t>
  </si>
  <si>
    <t>FHD-TRANSMIT-001942</t>
  </si>
  <si>
    <t>FHD-TRANSMIT-001950</t>
  </si>
  <si>
    <t>FHD-TRANSMIT-001952</t>
  </si>
  <si>
    <t>40-310002-4800001272-FHD-MEC-CRS-000002</t>
  </si>
  <si>
    <t>40-100008-4800001272-FHD-MEC-CRS-000002</t>
  </si>
  <si>
    <t>40-100008-4800001272-FHD-MEC-ITP-000001</t>
  </si>
  <si>
    <t>40-100008-4800001272-FHD-MEC-ITP-000002</t>
  </si>
  <si>
    <t>40-100008-4800001272-FHD-MEC-CRS-000003</t>
  </si>
  <si>
    <t>4800001272-FHD-CG - Inspection and Test Plan for HVAC System</t>
  </si>
  <si>
    <t>FHD-TRANSMIT-001957</t>
  </si>
  <si>
    <t>FHD-TRANSMIT-001958</t>
  </si>
  <si>
    <t>WF-006451</t>
  </si>
  <si>
    <t>WF-006452</t>
  </si>
  <si>
    <t>WF-006454</t>
  </si>
  <si>
    <t>WF-006457</t>
  </si>
  <si>
    <t>Asset Codes</t>
  </si>
  <si>
    <t>FHD-TRANSMIT-001961</t>
  </si>
  <si>
    <t>40-000000-4800001272-FHD-ARC-MAT-000002</t>
  </si>
  <si>
    <t>40-000000-4800001272-FHD-ARC-CRS-000002</t>
  </si>
  <si>
    <t>4800001272-FHD-CG - Material Submittal for Standing Seam Sheet By Maani - Kingspan</t>
  </si>
  <si>
    <t>FHD-TRANSMIT-001962</t>
  </si>
  <si>
    <t>FHD-TRANSMIT-001963</t>
  </si>
  <si>
    <t>FHD-TRANSMIT-001964</t>
  </si>
  <si>
    <t xml:space="preserve">Contractor has been submitted same materials according to the new design selection, Alternative submittal Refer to # 40-730007-4800001272-FHD-MEC-MAT-000082
</t>
  </si>
  <si>
    <t>WF-006535</t>
  </si>
  <si>
    <t>WF-006536</t>
  </si>
  <si>
    <t>WF-006537</t>
  </si>
  <si>
    <t>WF-006547</t>
  </si>
  <si>
    <t>WF-006560</t>
  </si>
  <si>
    <t>FHD-TRANSMIT-001966</t>
  </si>
  <si>
    <t>FHD-TRANSMIT-001968</t>
  </si>
  <si>
    <t>WF-006571</t>
  </si>
  <si>
    <t>FHD-TRANSMIT-001974</t>
  </si>
  <si>
    <t>FHD-TRANSMIT-001975</t>
  </si>
  <si>
    <t>WF-006614</t>
  </si>
  <si>
    <t>4800001272-FHD-CG - Material Submittal for Pegler Valves By Muhammed Fawaz Alanizi Est for Trading</t>
  </si>
  <si>
    <t>40-000000-4800001272-FHD-MEC-CRS-000001</t>
  </si>
  <si>
    <t>40-000000-4800001272-FHD-MEC-MAT-000001</t>
  </si>
  <si>
    <t>FHD-TRANSMIT-001977</t>
  </si>
  <si>
    <t>FHD-TRANSMIT-001978</t>
  </si>
  <si>
    <t>FHD-TRANSMIT-001982</t>
  </si>
  <si>
    <t>FHD-TRANSMIT-001983</t>
  </si>
  <si>
    <t>FHD-TRANSMIT-001987</t>
  </si>
  <si>
    <t>WF-006131 / WF-006727</t>
  </si>
  <si>
    <t>WF-006747</t>
  </si>
  <si>
    <t>WF-006748</t>
  </si>
  <si>
    <t>WF-006749</t>
  </si>
  <si>
    <t>WF-006750</t>
  </si>
  <si>
    <t>WF-006751</t>
  </si>
  <si>
    <t>Incorrect Status inside of CRS</t>
  </si>
  <si>
    <t>WF-006773</t>
  </si>
  <si>
    <t>WF-006783</t>
  </si>
  <si>
    <t>FHD-TRANSMIT-001997</t>
  </si>
  <si>
    <t>FHD-TRANSMIT-001998</t>
  </si>
  <si>
    <t>FHD-TRANSMIT-002001</t>
  </si>
  <si>
    <t>FHD-TRANSMIT-002006</t>
  </si>
  <si>
    <t>FHD-TRANSMIT-002009</t>
  </si>
  <si>
    <t>FHD-TRANSMIT-002011</t>
  </si>
  <si>
    <t>FHD-TRANSMIT-002012</t>
  </si>
  <si>
    <t>WF-006869</t>
  </si>
  <si>
    <t>WF-006870</t>
  </si>
  <si>
    <t>WF-006873</t>
  </si>
  <si>
    <t>WF-006874</t>
  </si>
  <si>
    <t>40-000000-4800001272-FHD-SEC-MAT-000001</t>
  </si>
  <si>
    <t>40-000000-4800001272-FHD-SEC-CRS-000001</t>
  </si>
  <si>
    <t>FHD-TRANSMIT-002014</t>
  </si>
  <si>
    <t>WF-006891</t>
  </si>
  <si>
    <t>WF-006892</t>
  </si>
  <si>
    <t>WF-006893</t>
  </si>
  <si>
    <t>FHD-TRANSMIT-002015</t>
  </si>
  <si>
    <t>40-000000-4800001272-FHD-ARC-MAT-000003</t>
  </si>
  <si>
    <t>40-000000-4800001272-FHD-ARC-CRS-000003</t>
  </si>
  <si>
    <t>4800001272-FHD-CG - Material Submittal for Toilet Partitions By Alsawaed</t>
  </si>
  <si>
    <t>WF-006921</t>
  </si>
  <si>
    <t>WF-006923</t>
  </si>
  <si>
    <t>40-000000-4800001272-FHD-ELE-CRS-000001</t>
  </si>
  <si>
    <t>40-000000-4800001272-FHD-ELE-MAT-000001</t>
  </si>
  <si>
    <t>FHD-TRANSMIT-002032</t>
  </si>
  <si>
    <t>FHD-TRANSMIT-002033</t>
  </si>
  <si>
    <t>FHD-TRANSMIT-002035</t>
  </si>
  <si>
    <t>WF-007025</t>
  </si>
  <si>
    <t>WF-007026</t>
  </si>
  <si>
    <t>WF-007027</t>
  </si>
  <si>
    <t>40-310002-4800001272-FHD-MEC-MST-000001</t>
  </si>
  <si>
    <t>4800001272-FHD-CG - Method Statement for Installation and Testing UPVC Pipe Aboveground with Solvent Joint and Rubber Joint</t>
  </si>
  <si>
    <t>FHD-TRANSMIT-002037</t>
  </si>
  <si>
    <t>FHD-TRANSMIT-002041</t>
  </si>
  <si>
    <t>4800001272-FHD-CG - Inspection and Test Plan for Sanitary Sewer Works (Internal)</t>
  </si>
  <si>
    <t>FHD-TRANSMIT-002042</t>
  </si>
  <si>
    <t>FHD-TRANSMIT-002043</t>
  </si>
  <si>
    <t>FHD-TRANSMIT-002045</t>
  </si>
  <si>
    <t>40-100008-4800001272-FHD-MEC-MST-000001</t>
  </si>
  <si>
    <t>40-100008-4800001272-FHD-MEC-CRS-000004</t>
  </si>
  <si>
    <t xml:space="preserve">4800001272-FHD-CG - Method Statement for Installation of HVAC Ductwork </t>
  </si>
  <si>
    <t>FHD-TRANSMIT-002046</t>
  </si>
  <si>
    <t>WF-007045</t>
  </si>
  <si>
    <t>WF-007061</t>
  </si>
  <si>
    <t>WF-007064</t>
  </si>
  <si>
    <t>WF-007063</t>
  </si>
  <si>
    <t>40-310002-4800001272-FHD-ARC-ITP-000001</t>
  </si>
  <si>
    <t>40-310002-4800001272-FHD-ARC-CRS-000002</t>
  </si>
  <si>
    <t>ITP to be adjusted to correct discipline from CIV to ARC as per 03-000000-4800000507-CH2-ARC-SPC-000001_01 Refer to 40-310002-4800001272-FHD-ARC-ITP-000001</t>
  </si>
  <si>
    <t>FHD-TRANSMIT-002049</t>
  </si>
  <si>
    <t>FHD-TRANSMIT-002051</t>
  </si>
  <si>
    <t>40-000000-4800001272-FHD-ELE-MAT-000002</t>
  </si>
  <si>
    <t>40-000000-4800001272-FHD-ELE-CRS-000002</t>
  </si>
  <si>
    <t>4800001272-FHD-CG - Material Submittal for Panel Board By ERCO Company</t>
  </si>
  <si>
    <t>FHD-TRANSMIT-002057</t>
  </si>
  <si>
    <t>40-100008-4800001272-FHD-MEC-MST-000002</t>
  </si>
  <si>
    <t>40-100008-4800001272-FHD-MEC-CRS-000005</t>
  </si>
  <si>
    <t>FHD-TRANSMIT-002059</t>
  </si>
  <si>
    <t>FHD-TRANSMIT-002063</t>
  </si>
  <si>
    <t>FHD-TRANSMIT-002064</t>
  </si>
  <si>
    <t>WF-007089</t>
  </si>
  <si>
    <t>WF-007109</t>
  </si>
  <si>
    <t>WF-007090</t>
  </si>
  <si>
    <t>WF-007097</t>
  </si>
  <si>
    <t>WF-007146</t>
  </si>
  <si>
    <t>WF-007150</t>
  </si>
  <si>
    <t>WF-007152</t>
  </si>
  <si>
    <t>FHD-TRANSMIT-002069</t>
  </si>
  <si>
    <t>FHD-TRANSMIT-002072</t>
  </si>
  <si>
    <t>FHD-TRANSMIT-002076</t>
  </si>
  <si>
    <t>FHD-TRANSMIT-002077</t>
  </si>
  <si>
    <t>FHD-TRANSMIT-002079</t>
  </si>
  <si>
    <t>WF-007153</t>
  </si>
  <si>
    <t>40-100008-4800001272-FHD-MEC-MST-000003</t>
  </si>
  <si>
    <t>40-100008-4800001272-FHD-MEC-CRS-000006</t>
  </si>
  <si>
    <t>FHD-TRANSMIT-002082</t>
  </si>
  <si>
    <t>4800001272-FHD-CG -Method Statement for Installation and Testing Potable Water Distribution System (PLD) CPVC Solvent Joint</t>
  </si>
  <si>
    <t>FHD-TRANSMIT-002086</t>
  </si>
  <si>
    <t>FHD-TRANSMIT-002087</t>
  </si>
  <si>
    <t>FHD-TRANSMIT-002088</t>
  </si>
  <si>
    <t>FHD-TRANSMIT-002092</t>
  </si>
  <si>
    <t>01-06-25</t>
  </si>
  <si>
    <t>WF-007283</t>
  </si>
  <si>
    <t>WF-007284</t>
  </si>
  <si>
    <t>WF-007285</t>
  </si>
  <si>
    <t>FHD-TRANSMIT-002096</t>
  </si>
  <si>
    <t>FHD-TRANSMIT-002099</t>
  </si>
  <si>
    <t>WF-007287</t>
  </si>
  <si>
    <t>WF-007288</t>
  </si>
  <si>
    <t>WF-007290</t>
  </si>
  <si>
    <t>WF-007291</t>
  </si>
  <si>
    <t>WF-007293</t>
  </si>
  <si>
    <t>WF-007295</t>
  </si>
  <si>
    <t>WF-007296</t>
  </si>
  <si>
    <t>WF-007298</t>
  </si>
  <si>
    <t xml:space="preserve">4800001272-FHD-CG - Vendor Inspection and Test plan for Air Handling  Units by DAIKIN Co.
</t>
  </si>
  <si>
    <t>40-100008-4800001272-FHD-MEC-ITP-000003</t>
  </si>
  <si>
    <t>40-100008-4800001272-FHD-MEC-CRS-000007</t>
  </si>
  <si>
    <t>FHD-TRANSMIT-002104</t>
  </si>
  <si>
    <t>WF-007341</t>
  </si>
  <si>
    <t>40-100008-4800001272-FHD-ARC-MST-000001</t>
  </si>
  <si>
    <t>40-100008-4800001272-FHD-ARC-CRS-000001</t>
  </si>
  <si>
    <t>FHD-TRANSMIT-002106</t>
  </si>
  <si>
    <t>FHD-TRANSMIT-002110</t>
  </si>
  <si>
    <t>40-000000-4800001272-FHD-ELV-MAT-000001</t>
  </si>
  <si>
    <t>40-000000-4800001272-FHD-ELV-CRS-000001</t>
  </si>
  <si>
    <t>FHD-TRANSMIT-002111</t>
  </si>
  <si>
    <t>FHD-TRANSMIT-002108</t>
  </si>
  <si>
    <t>40-100008-4800001272-FHD-MEC-CRS-000008</t>
  </si>
  <si>
    <t>40-100008-4800001272-FHD-MEC-ITP-000004</t>
  </si>
  <si>
    <t>WF-007447</t>
  </si>
  <si>
    <t>WF-007448</t>
  </si>
  <si>
    <t>40-730007-4800001272-FHD-CIV-MST-000026</t>
  </si>
  <si>
    <t>40-730007-4800001272-FHD-CIV-CRS-000117</t>
  </si>
  <si>
    <t>4800001272-FHD-CG - Method Statement for Injecting Water Tanks</t>
  </si>
  <si>
    <t>FHD-TRANSMIT-002114</t>
  </si>
  <si>
    <t>FHD-TRANSMIT-002115</t>
  </si>
  <si>
    <t>FHD-TRANSMIT-002116</t>
  </si>
  <si>
    <t>WF-007452</t>
  </si>
  <si>
    <t>WF-007454</t>
  </si>
  <si>
    <t>WF-007455</t>
  </si>
  <si>
    <t>WF-007457</t>
  </si>
  <si>
    <t>WF-007458</t>
  </si>
  <si>
    <t>40-730007-4800001272-FHD-MEC-MST-000002</t>
  </si>
  <si>
    <t>40-730007-4800001272-FHD-MEC-CRS-000191</t>
  </si>
  <si>
    <t>4800001272-FHD-CG - Method Statement for Welding Works for Chilled Water Piping</t>
  </si>
  <si>
    <t>WF-007460</t>
  </si>
  <si>
    <t>FHD-TRANSMIT-002117</t>
  </si>
  <si>
    <t>40-730007-4800001272-FHD-MEC-MST-000003</t>
  </si>
  <si>
    <t>40-730007-4800001272-FHD-MEC-CRS-000192</t>
  </si>
  <si>
    <t>FHD-TRANSMIT-002118</t>
  </si>
  <si>
    <t>FHD-TRANSMIT-002120</t>
  </si>
  <si>
    <t>40-730007-4800001272-FHD-MEC-MST-000004</t>
  </si>
  <si>
    <t>40-730007-4800001272-FHD-MEC-CRS-000193</t>
  </si>
  <si>
    <t>FHD-TRANSMIT-002122</t>
  </si>
  <si>
    <t>04-06-25</t>
  </si>
  <si>
    <t>WF-007508</t>
  </si>
  <si>
    <t>WF-007510</t>
  </si>
  <si>
    <t>WF-007511</t>
  </si>
  <si>
    <t>WF-007512</t>
  </si>
  <si>
    <t>WF-007532</t>
  </si>
  <si>
    <t>WF-007533</t>
  </si>
  <si>
    <t>FHD-TRANSMIT-002123</t>
  </si>
  <si>
    <t>FHD-TRANSMIT-002126</t>
  </si>
  <si>
    <t>FHD-TRANSMIT-002128</t>
  </si>
  <si>
    <t>40-100008-4800001272-FHD-MEC-MST-000004</t>
  </si>
  <si>
    <t>40-100008-4800001272-FHD-MEC-CRS-000009</t>
  </si>
  <si>
    <t>FHD-TRANSMIT-002131</t>
  </si>
  <si>
    <t>FHD-TRANSMIT-002132</t>
  </si>
  <si>
    <t>WF-007596</t>
  </si>
  <si>
    <t>WF-007597</t>
  </si>
  <si>
    <t>40-100008-4800001272-FHD-MEC-ITP-000005</t>
  </si>
  <si>
    <t>40-100008-4800001272-FHD-MEC-CRS-000010</t>
  </si>
  <si>
    <t>4800001272-FHD-CG - Vendor FAT Inspection and Test Plan for Pre-insulated pipes and fittings at Manufacturer facility Perma Pipes Co.</t>
  </si>
  <si>
    <t>FHD-TRANSMIT-002136</t>
  </si>
  <si>
    <t>FHD-TRANSMIT-002139</t>
  </si>
  <si>
    <t>WF-007643</t>
  </si>
  <si>
    <t>WF-007644</t>
  </si>
  <si>
    <t>40-100008-4800001272-FHD-MEC-ITP-000006</t>
  </si>
  <si>
    <t>40-100008-4800001272-FHD-MEC-CRS-000011</t>
  </si>
  <si>
    <t>4800001272 - Vendor FAT Inspection and Test plan for Submersible Pumps by KOON Co.(Manufacturer, Grundfos Co).</t>
  </si>
  <si>
    <t>12-06-25</t>
  </si>
  <si>
    <t>FHD-TRANSMIT-002140</t>
  </si>
  <si>
    <t>WF-007686</t>
  </si>
  <si>
    <t>40-730007-4800001272-FHD-MEC-CRS-000194</t>
  </si>
  <si>
    <t>40-730007-4800001272-FHD-MEC-MST-000005</t>
  </si>
  <si>
    <t>FHD-TRANSMIT-002143</t>
  </si>
  <si>
    <t>WF-007459</t>
  </si>
  <si>
    <t>WF-007732</t>
  </si>
  <si>
    <t>FHD-TRANSMIT-002165</t>
  </si>
  <si>
    <t>FHD-TRANSMIT-002170</t>
  </si>
  <si>
    <t>FHD-TRANSMIT-002185</t>
  </si>
  <si>
    <t>FHD-TRANSMIT-002197</t>
  </si>
  <si>
    <t>WF-008225</t>
  </si>
  <si>
    <t>WF-008231</t>
  </si>
  <si>
    <t>FHD-TRANSMIT-002209</t>
  </si>
  <si>
    <t>FHD-TRANSMIT-002210</t>
  </si>
  <si>
    <t>WF-008238</t>
  </si>
  <si>
    <t>FHD-TRANSMIT-002204</t>
  </si>
  <si>
    <t>WF-008239</t>
  </si>
  <si>
    <t>WF-008240</t>
  </si>
  <si>
    <t>FHD-TRANSMIT-002212</t>
  </si>
  <si>
    <t>40-000000-4800001272-FHD-ARC-MAT-000004</t>
  </si>
  <si>
    <t>40-000000-4800001272-FHD-ARC-CRS-000004</t>
  </si>
  <si>
    <t>4800001272-FHD-CG - Material Submittal for Crystalline Water proofing Veto proof CM741 By SAVETO</t>
  </si>
  <si>
    <t>FHD-TRANSMIT-002216</t>
  </si>
  <si>
    <t>40-000000-4800001272-FHD-MEC-MAT-000002</t>
  </si>
  <si>
    <t>40-000000-4800001272-FHD-MEC-CRS-000002</t>
  </si>
  <si>
    <t>4800001272-FHD-CG - Material Submittal for Chilled water valves By muhammed fawaz alanazi</t>
  </si>
  <si>
    <t>FHD-TRANSMIT-002217</t>
  </si>
  <si>
    <t>WF-008342</t>
  </si>
  <si>
    <t>WF-008347</t>
  </si>
  <si>
    <t>WF-008348</t>
  </si>
  <si>
    <t>WF-008020</t>
  </si>
  <si>
    <t>FHD-TRANSMIT-002224</t>
  </si>
  <si>
    <t>FHD-TRANSMIT-002225</t>
  </si>
  <si>
    <t>40-000000-4800001272-FHD-ARC-MAT-000005</t>
  </si>
  <si>
    <t>40-000000-4800001272-FHD-ARC-CRS-000005</t>
  </si>
  <si>
    <t>4800001272-FHD-CG - Material Submittal for Rock wool insulation By Saudi international insulation manufacturing co.</t>
  </si>
  <si>
    <t>FHD-TRANSMIT-002226</t>
  </si>
  <si>
    <t>FHD-TRANSMIT-002230</t>
  </si>
  <si>
    <t>FHD-TRANSMIT-002232</t>
  </si>
  <si>
    <t>FHD-TRANSMIT-002233</t>
  </si>
  <si>
    <t>WF-008559</t>
  </si>
  <si>
    <t>WF-008560</t>
  </si>
  <si>
    <t>WF-008561</t>
  </si>
  <si>
    <t>WF-008562</t>
  </si>
  <si>
    <t>WF-008563</t>
  </si>
  <si>
    <t>WF-008564</t>
  </si>
  <si>
    <t>WF-008568</t>
  </si>
  <si>
    <t>FHD-TRANSMIT-002238</t>
  </si>
  <si>
    <t>FHD-TRANSMIT-002239</t>
  </si>
  <si>
    <t>FHD-TRANSMIT-002240</t>
  </si>
  <si>
    <t>FHD-TRANSMIT-002243</t>
  </si>
  <si>
    <t>WF-008656</t>
  </si>
  <si>
    <t>WF-008657</t>
  </si>
  <si>
    <t>WF-008658</t>
  </si>
  <si>
    <t>WF-008659</t>
  </si>
  <si>
    <t>40-730007-4800001272-FHD-MEC-PQD-000071</t>
  </si>
  <si>
    <t>40-730007-4800001272-FHD-MEC-CRS-000196</t>
  </si>
  <si>
    <t>4800001272-FHD-CG - Pre-qualification Documents for Saudi Steel Galvanizing Industries for the Galvanization of Carbon Pipes and Fitting.</t>
  </si>
  <si>
    <t>FHD-TRANSMIT-002250</t>
  </si>
  <si>
    <t>40-000000-4800001272-FHD-ARC-MAT-000006</t>
  </si>
  <si>
    <t>40-000000-4800001272-FHD-ARC-CRS-000006</t>
  </si>
  <si>
    <t>4800001272-FHD-CG-Material Submittal for Extruded Polystyrene XPS By Gulf Panels factory.</t>
  </si>
  <si>
    <t>FHD-TRANSMIT-002259</t>
  </si>
  <si>
    <t>FHD-TRANSMIT-002261</t>
  </si>
  <si>
    <t>FHD-TRANSMIT-002262</t>
  </si>
  <si>
    <t>40-000000-4800001272-FHD-ARC-MAT-000007</t>
  </si>
  <si>
    <t>40-000000-4800001272-FHD-ARC-CRS-000007</t>
  </si>
  <si>
    <t>FHD-TRANSMIT-002263</t>
  </si>
  <si>
    <t>WF-008729</t>
  </si>
  <si>
    <t>WF-008816</t>
  </si>
  <si>
    <t>WF-008817</t>
  </si>
  <si>
    <t>WF-008818</t>
  </si>
  <si>
    <t>WF-008819</t>
  </si>
  <si>
    <t>40-000000-4800001272-FHD-ARC-MAT-000008</t>
  </si>
  <si>
    <t>40-000000-4800001272-FHD-ARC-CRS-000008</t>
  </si>
  <si>
    <t>4800001272-FHD-CG-Material Submittal for Sprayable cementitious premixed plastering /rendering material( Spatter Dash SB &amp; Premix Plaster S ) By Saveto</t>
  </si>
  <si>
    <t>FHD-TRANSMIT-002266</t>
  </si>
  <si>
    <t>40-000000-4800001272-FHD-ARC-MAT-000009</t>
  </si>
  <si>
    <t>4800001272-FHD-CG-Material Submittal for Porcelain Tiles By Exa ceramic Co</t>
  </si>
  <si>
    <t>FHD-TRANSMIT-002267</t>
  </si>
  <si>
    <t>FHD-TRANSMIT-002269</t>
  </si>
  <si>
    <t>WF-008865</t>
  </si>
  <si>
    <t>WF-008866</t>
  </si>
  <si>
    <t>WF-008867</t>
  </si>
  <si>
    <t>4800001272-FHD-CG - Pre-qualification Documents for ERCONCO. for the Supply of LV BUSWAY by LINKK Co.</t>
  </si>
  <si>
    <t>FHD-TRANSMIT-002277</t>
  </si>
  <si>
    <t>FHD-TRANSMIT-002279</t>
  </si>
  <si>
    <t>FHD-TRANSMIT-002280</t>
  </si>
  <si>
    <t>WF-008992</t>
  </si>
  <si>
    <t>WF-008993</t>
  </si>
  <si>
    <t>WF-008994</t>
  </si>
  <si>
    <t>FHD-TRANSMIT-002281</t>
  </si>
  <si>
    <t>WF-008995</t>
  </si>
  <si>
    <t>FHD-TRANSMIT-002284</t>
  </si>
  <si>
    <t>FHD-TRANSMIT-002287</t>
  </si>
  <si>
    <t>WF-009041</t>
  </si>
  <si>
    <t>WF-009042</t>
  </si>
  <si>
    <t>40-730007-4800001272-FHD-ELE-PQD-000033</t>
  </si>
  <si>
    <t>40-730007-4800001272-FHD-ELE-CRS-000109</t>
  </si>
  <si>
    <t xml:space="preserve">FHD-TRANSMIT-002290
</t>
  </si>
  <si>
    <t>FHD-TRANSMIT-002296</t>
  </si>
  <si>
    <t>40-310002-4800001272-FHD-ARC-MST-000001</t>
  </si>
  <si>
    <t>40-310002-4800001272-FHD-ARC-CRS-000003</t>
  </si>
  <si>
    <t>4800001272-FHD-CG - Method Statement for Internal Waterproofing of Water Tank</t>
  </si>
  <si>
    <t>FHD-TRANSMIT-002297</t>
  </si>
  <si>
    <t>40-730007-4800001272-FHD-CIV-MST-000027</t>
  </si>
  <si>
    <t>40-730007-4800001272-FHD-CIV-CRS-000118</t>
  </si>
  <si>
    <t>FHD-TRANSMIT-002299</t>
  </si>
  <si>
    <t>FHD-TRANSMIT-002301</t>
  </si>
  <si>
    <t>40-000000-4800001272-FHD-ARC-MAT-000010</t>
  </si>
  <si>
    <t>40-000000-4800001272-FHD-ARC-CRS-000009</t>
  </si>
  <si>
    <t>40-000000-4800001272-FHD-ARC-CRS-000010</t>
  </si>
  <si>
    <t>FHD-TRANSMIT-002302</t>
  </si>
  <si>
    <t>WF-009181</t>
  </si>
  <si>
    <t>WF-009182</t>
  </si>
  <si>
    <t>WF-009184</t>
  </si>
  <si>
    <t>40-310002-4800001272-FHD-MEC-ITP-000001</t>
  </si>
  <si>
    <t>40-310002-4800001272-FHD-MEC-CRS-000004</t>
  </si>
  <si>
    <t>4800001272-FHD-CG - Vendor FAT Inspection and Test plan of NKK Co.for Carbon Steel pipes and fittings by Elite Fire Trading Co</t>
  </si>
  <si>
    <t>FHD-TRANSMIT-002304</t>
  </si>
  <si>
    <t>FHD-TRANSMIT-002311</t>
  </si>
  <si>
    <t>40-730007-4800001272-FHD-MEC-PQD-000072</t>
  </si>
  <si>
    <t>40-730007-4800001272-FHD-MEC-PQD-000073</t>
  </si>
  <si>
    <t>40-730007-4800001272-FHD-MEC-CRS-000200</t>
  </si>
  <si>
    <t>FHD-TRANSMIT-002317</t>
  </si>
  <si>
    <t>WF-009385</t>
  </si>
  <si>
    <t>WF-009386</t>
  </si>
  <si>
    <t>WF-009426</t>
  </si>
  <si>
    <t>40-730007-4800001272-FHD-CIV-PQD-000016</t>
  </si>
  <si>
    <t>40-730007-4800001272-FHD-CIV-CRS-000119</t>
  </si>
  <si>
    <t>4800001272-FHD-CG -Pre-qualification Document for AL IMTYAZ ALWATANIA as Concrete Batching Plant</t>
  </si>
  <si>
    <t>FHD-TRANSMIT-002323</t>
  </si>
  <si>
    <t>WF-009473</t>
  </si>
  <si>
    <t>WF-009474</t>
  </si>
  <si>
    <t>FHD-TRANSMIT-002325</t>
  </si>
  <si>
    <t>40-000000-4800001272-FHD-MEC-MAT-000003</t>
  </si>
  <si>
    <t>40-000000-4800001272-FHD-MEC-CRS-000003</t>
  </si>
  <si>
    <t>FHD-TRANSMIT-002331</t>
  </si>
  <si>
    <t>10-7-25</t>
  </si>
  <si>
    <t>WF-009551</t>
  </si>
  <si>
    <t>WF-009557</t>
  </si>
  <si>
    <t>FHD-TRANSMIT-002337</t>
  </si>
  <si>
    <t>FHD-TRANSMIT-002338</t>
  </si>
  <si>
    <t>WF-009641</t>
  </si>
  <si>
    <t>WF-009642</t>
  </si>
  <si>
    <t>40-730007-4800001272-FHD-MEC-ITP-000013</t>
  </si>
  <si>
    <t>40-730007-4800001272-FHD-MEC-CRS-000201</t>
  </si>
  <si>
    <t>4800001272-FHD-CG - Vendor FAT Inspection and Test Plan for NRS Gate Valve by GMC Co.(Supplier:Elite Fire Trading Co)</t>
  </si>
  <si>
    <t>FHD-TRANSMIT-002347</t>
  </si>
  <si>
    <t>40-730007-4800001272-FHD-CIV-MST-000028</t>
  </si>
  <si>
    <t>40-730007-4800001272-FHD-CIV-CRS-000121</t>
  </si>
  <si>
    <t>4800001272-FHD-CG - Method Statement for Installation of Shinko Sheet on the Roof of Portacabin</t>
  </si>
  <si>
    <t>FHD-TRANSMIT-002350</t>
  </si>
  <si>
    <t>40-000000-4800001272-FHD-MEC-MAT-000004</t>
  </si>
  <si>
    <t>40-000000-4800001272-FHD-MEC-CRS-000004</t>
  </si>
  <si>
    <t>4800001272-FHD-CG - Material Submittal for Flexible duct by Excellect Co.</t>
  </si>
  <si>
    <t>FHD-TRANSMIT-002351</t>
  </si>
  <si>
    <t>40-000000-4800001272-FHD-MEC-MAT-000005</t>
  </si>
  <si>
    <t>40-000000-4800001272-FHD-MEC-CRS-000005</t>
  </si>
  <si>
    <t>4800001272-FHD-CG - Sealant and adhesive for duct by ( NAPCO ) Al-Sayed center</t>
  </si>
  <si>
    <t>FHD-TRANSMIT-002352</t>
  </si>
  <si>
    <t>WF-009651</t>
  </si>
  <si>
    <t>WF-009653</t>
  </si>
  <si>
    <t>WF-009654</t>
  </si>
  <si>
    <t>WF-009655</t>
  </si>
  <si>
    <t>FHD-TRANSMIT-002356</t>
  </si>
  <si>
    <t>WF-009694</t>
  </si>
  <si>
    <t>WF-009704</t>
  </si>
  <si>
    <t>FHD-TRANSMIT-002369</t>
  </si>
  <si>
    <t>40-000000-4800001272-FHD-ARC-MAT-000011</t>
  </si>
  <si>
    <t>40-000000-4800001272-FHD-ARC-CRS-000011</t>
  </si>
  <si>
    <t>4800001272-FHD-CG - Material Submittal for sand for plaster work By Mashail Al-Atwi</t>
  </si>
  <si>
    <t>FHD-TRANSMIT-002371</t>
  </si>
  <si>
    <t>FHD-TRANSMIT-002372</t>
  </si>
  <si>
    <t>40-730007-4800001272-FHD-CIV-MST-000029</t>
  </si>
  <si>
    <t>40-730007-4800001272-FHD-CIV-CRS-000122</t>
  </si>
  <si>
    <t>4800001272-FHD-CG -Method Statement for Construction of Tower Crane Foundation</t>
  </si>
  <si>
    <t>FHD-TRANSMIT-002373</t>
  </si>
  <si>
    <t>40-000000-4800001272-FHD-MEC-MAT-000006</t>
  </si>
  <si>
    <t>40-000000-4800001272-FHD-MEC-CRS-000006</t>
  </si>
  <si>
    <t>4800001272-FHD-CG - Material Submittal for Transparent Tube Level Indicator ENVOTEC EL2080 By Al-Yami Co.</t>
  </si>
  <si>
    <t>FHD-TRANSMIT-002374</t>
  </si>
  <si>
    <t>WF-009833</t>
  </si>
  <si>
    <t>WF-009835</t>
  </si>
  <si>
    <t>WF-009836</t>
  </si>
  <si>
    <t>FHD-TRANSMIT-002375</t>
  </si>
  <si>
    <t>40-000000-4800001272-FHD-CIV-CRS-000003</t>
  </si>
  <si>
    <t>40-000000-4800001272-FHD-CIV-MAT-000003</t>
  </si>
  <si>
    <t>4800001272-FHD-CG - Material Submittal for Concrete Design Mix for C40(27%OPC + 65%GGBFS +8%MS) (B) Pile caps) by AL IMTYAZ ALWATANIA</t>
  </si>
  <si>
    <t>FHD-TRANSMIT-002376</t>
  </si>
  <si>
    <t>WF-009841</t>
  </si>
  <si>
    <t>WF-009871</t>
  </si>
  <si>
    <t>WF-009872</t>
  </si>
  <si>
    <t>WF-009874</t>
  </si>
  <si>
    <t>FHD-TRANSMIT-002385</t>
  </si>
  <si>
    <t>FHD-TRANSMIT-002386</t>
  </si>
  <si>
    <t>WF-009183</t>
  </si>
  <si>
    <t>WF-009915</t>
  </si>
  <si>
    <t>WF-009916</t>
  </si>
  <si>
    <t>40-100008-4800001272-FHD-MEC-ITP-000007</t>
  </si>
  <si>
    <t>40-100008-4800001272-FHD-MEC-CRS-000012</t>
  </si>
  <si>
    <t>FHD-TRANSMIT-002396</t>
  </si>
  <si>
    <t>40-730007-4800001272-FHD-ELE-ITP-000009</t>
  </si>
  <si>
    <t>40-730007-4800001272-FHD-ELE-CRS-000111</t>
  </si>
  <si>
    <t>4800001272-FHD-CG - Vendor FAT Inspection and Test Plan for MDB's at Manufacturer Facility ERCON CO.</t>
  </si>
  <si>
    <t>FHD-TRANSMIT-002397</t>
  </si>
  <si>
    <t>40-730007-4800001272-FHD-ELE-ITP-000010</t>
  </si>
  <si>
    <t>40-730007-4800001272-FHD-ELE-CRS-000112</t>
  </si>
  <si>
    <t>4800001272-FHD-CG - Vendor FAT Inspection and Test Plan for SMDB's at Manufacturer Facility ERCON CO</t>
  </si>
  <si>
    <t>FHD-TRANSMIT-002398</t>
  </si>
  <si>
    <t>40-730007-4800001272-FHD-ELE-ITP-000011</t>
  </si>
  <si>
    <t>40-730007-4800001272-FHD-ELE-CRS-000113</t>
  </si>
  <si>
    <t>4800001272-FHD-CG - Vendor FAT Inspection and Test Plan for Motor Control Centre at Manufacturer Facility ERCON CO.</t>
  </si>
  <si>
    <t>FHD-TRANSMIT-002399</t>
  </si>
  <si>
    <t>40-730007-4800001272-FHD-ELE-ITP-000012</t>
  </si>
  <si>
    <t>40-730007-4800001272-FHD-ELE-CRS-000114</t>
  </si>
  <si>
    <t>4800001272-FHD-CG - Vendor FAT Inspection and Test Plan for Capacitor Bank at Manufacturer Facility ERCON CO</t>
  </si>
  <si>
    <t>FHD-TRANSMIT-002400</t>
  </si>
  <si>
    <t>40-730007-4800001272-FHD-STR-PQD-000002</t>
  </si>
  <si>
    <t>40-730007-4800001272-FHD-STR-CRS-000026</t>
  </si>
  <si>
    <t>4800001272-FHD-CG -Pre-qualifcation document for MAANI Co. as Supplier for Checkered Plates and Fittings.</t>
  </si>
  <si>
    <t>FHD-TRANSMIT-002402</t>
  </si>
  <si>
    <t>FHD-TRANSMIT-002406</t>
  </si>
  <si>
    <t>FHD-TRANSMIT-002408</t>
  </si>
  <si>
    <t>WF-009982</t>
  </si>
  <si>
    <t>WF-009983</t>
  </si>
  <si>
    <t>WF-009984</t>
  </si>
  <si>
    <t>WF-009985</t>
  </si>
  <si>
    <t>WF-009986</t>
  </si>
  <si>
    <t>WF-009987</t>
  </si>
  <si>
    <t>WF-009988</t>
  </si>
  <si>
    <t>FHD-TRANSMIT-002403</t>
  </si>
  <si>
    <t>WF-009989</t>
  </si>
  <si>
    <t>40-730007-4800001272-FHD-ARC-MST-000002</t>
  </si>
  <si>
    <t>FHD-TRANSMIT-002409</t>
  </si>
  <si>
    <t>WF-010000</t>
  </si>
  <si>
    <t>WF-010003</t>
  </si>
  <si>
    <t>WF-010010</t>
  </si>
  <si>
    <t>FHD-TRANSMIT-002412</t>
  </si>
  <si>
    <t>FHD-TRANSMIT-002413</t>
  </si>
  <si>
    <t>WF-010052</t>
  </si>
  <si>
    <t>WF-010053</t>
  </si>
  <si>
    <t>FHD-TRANSMIT-002421</t>
  </si>
  <si>
    <t>FHD-TRANSMIT-002427</t>
  </si>
  <si>
    <t>FHD-TRANSMIT-002430</t>
  </si>
  <si>
    <t>-</t>
  </si>
  <si>
    <t>40-730007-4800001272-FHD-MEC-PQD-000074</t>
  </si>
  <si>
    <t>40-730007-4800001272-FHD-MEC-CRS-000207</t>
  </si>
  <si>
    <t>4800001272-FHD-CG - Pre-qualifcation document for Ali Atallah Co. for the supply of SS Puddle Flanges</t>
  </si>
  <si>
    <t>FHD-TRANSMIT-002419</t>
  </si>
  <si>
    <t>WF-010094</t>
  </si>
  <si>
    <t>FHD-TRANSMIT-002432</t>
  </si>
  <si>
    <r>
      <rPr>
        <b/>
        <sz val="16"/>
        <color theme="1"/>
        <rFont val="Verdana"/>
        <family val="2"/>
      </rPr>
      <t>Type of Doc:</t>
    </r>
    <r>
      <rPr>
        <sz val="16"/>
        <color theme="1"/>
        <rFont val="Verdana"/>
        <family val="2"/>
      </rPr>
      <t xml:space="preserve"> </t>
    </r>
  </si>
  <si>
    <r>
      <rPr>
        <b/>
        <sz val="16"/>
        <color theme="1"/>
        <rFont val="Verdana"/>
        <family val="2"/>
      </rPr>
      <t>Discipline:</t>
    </r>
    <r>
      <rPr>
        <sz val="16"/>
        <color theme="1"/>
        <rFont val="Verdana"/>
        <family val="2"/>
      </rPr>
      <t xml:space="preserve"> </t>
    </r>
  </si>
  <si>
    <t>40-000000-4800001272-FHD-STR-MAT-000001</t>
  </si>
  <si>
    <t>40-000000-4800001272-FHD-STR-CRS-000001</t>
  </si>
  <si>
    <t>4800001272-FHD-CG - Material Submittal for Primer Paint for Steel Structure By Maani - Jotun</t>
  </si>
  <si>
    <t>FHD-TRANSMIT-002433</t>
  </si>
  <si>
    <t>FHD-TRANSMIT-002434</t>
  </si>
  <si>
    <t>FHD-TRANSMIT-002435</t>
  </si>
  <si>
    <t>WF-010162</t>
  </si>
  <si>
    <t>WF-010165</t>
  </si>
  <si>
    <t>WF-010173</t>
  </si>
  <si>
    <t>WF-010178</t>
  </si>
  <si>
    <t>WF-010176</t>
  </si>
  <si>
    <t>WF-010179</t>
  </si>
  <si>
    <t>WF-010181</t>
  </si>
  <si>
    <t>FHD-TRANSMIT-002437</t>
  </si>
  <si>
    <t>WF-010200</t>
  </si>
  <si>
    <t>40-730007-4800001272-FHD-MEC-PQD-000075</t>
  </si>
  <si>
    <t>40-730007-4800001272-FHD-MEC-CRS-000209</t>
  </si>
  <si>
    <t>4800001272-FHD-CG - Pre-qualification document for I.E.C Co.as Sub-Contractor for Fuel System Works</t>
  </si>
  <si>
    <t>FHD-TRANSMIT-002438</t>
  </si>
  <si>
    <t>FHD-TRANSMIT-002451</t>
  </si>
  <si>
    <t>40-310002-4800001272-FHD-ARC-MST-000002</t>
  </si>
  <si>
    <t>40-310002-4800001272-FHD-ARC-CRS-000005</t>
  </si>
  <si>
    <t>FHD-TRANSMIT-002452</t>
  </si>
  <si>
    <t>FHD-TRANSMIT-002453</t>
  </si>
  <si>
    <t>FHD-TRANSMIT-002454</t>
  </si>
  <si>
    <t>FHD-TRANSMIT-002455</t>
  </si>
  <si>
    <t>40-000000-4800001272-FHD-ARC-MAT-000012</t>
  </si>
  <si>
    <t>40-000000-4800001272-FHD-ARC-CRS-000012</t>
  </si>
  <si>
    <t>4800001272-FHD-CG - Material Submittal for High-Build Epoxy Wall Coating And Anti Pallast Parrier ( Vetorep ER351 , Vetoprime EP491 , Vetoproof EC722 ) By SAVETO</t>
  </si>
  <si>
    <t>FHD-TRANSMIT-002457</t>
  </si>
  <si>
    <t>WF-010312</t>
  </si>
  <si>
    <t>WF-010315</t>
  </si>
  <si>
    <t>WF-010316</t>
  </si>
  <si>
    <t>WF-010317</t>
  </si>
  <si>
    <t>WF-010318</t>
  </si>
  <si>
    <t>WF-010319</t>
  </si>
  <si>
    <t>FHD-TRANSMIT-002459</t>
  </si>
  <si>
    <t>WF-010338</t>
  </si>
  <si>
    <t>FHD-TRANSMIT-002464</t>
  </si>
  <si>
    <t>40-000000-4800001272-FHD-MEC-MAT-000007</t>
  </si>
  <si>
    <t>40-000000-4800001272-FHD-MEC-CRS-000007</t>
  </si>
  <si>
    <t>4800001272-FHD-CG - Material Submittal for Flexible Duct connector By Modern Generations contracting company MGCC</t>
  </si>
  <si>
    <t>FHD-TRANSMIT-002465</t>
  </si>
  <si>
    <t>40-000000-4800001272-FHD-ELE-MAT-000003</t>
  </si>
  <si>
    <t>40-000000-4800001272-FHD-ELE-CRS-000003</t>
  </si>
  <si>
    <t>4800001272-FHD-CG - Material Submittal for Busway By ERCO (LINKK)</t>
  </si>
  <si>
    <t>FHD-TRANSMIT-002467</t>
  </si>
  <si>
    <t>FHD-TRANSMIT-002468</t>
  </si>
  <si>
    <t>WF-010379</t>
  </si>
  <si>
    <t>WF-010380</t>
  </si>
  <si>
    <t>WF-010381</t>
  </si>
  <si>
    <t>WF-010382</t>
  </si>
  <si>
    <t>FHD-TRANSMIT-002473</t>
  </si>
  <si>
    <t>40-000000-4800001272-FHD-MEC-MAT-000008</t>
  </si>
  <si>
    <t>40-000000-4800001272-FHD-MEC-CRS-000008</t>
  </si>
  <si>
    <t>4800001272-FHD-CG - Material Submittal for Sprinklers &amp; FDC By Elite Co.</t>
  </si>
  <si>
    <t>FHD-TRANSMIT-002475</t>
  </si>
  <si>
    <t>40-730007-4800001272-FHD-MEC-ITP-000014</t>
  </si>
  <si>
    <t>40-730007-4800001272-FHD-MEC-CRS-000216</t>
  </si>
  <si>
    <t>4800001272-FHD-CG - Vendor FAT Inspection and Test Plan for Fire Pump at Manufacturer Facility Bristol Engineering Co.(Supplier: Koon Co)</t>
  </si>
  <si>
    <t>FHD-TRANSMIT-002477</t>
  </si>
  <si>
    <t>WF-010455</t>
  </si>
  <si>
    <t>FHD-TRANSMIT-002471</t>
  </si>
  <si>
    <t>WF-010456</t>
  </si>
  <si>
    <t>WF-010457</t>
  </si>
  <si>
    <t>FHD-TRANSMIT-002479</t>
  </si>
  <si>
    <t>WF-010463</t>
  </si>
  <si>
    <t>40-000000-4800001272-FHD-MEC-MAT-000009</t>
  </si>
  <si>
    <t>40-000000-4800001272-FHD-MEC-CRS-000009</t>
  </si>
  <si>
    <t>FHD-TRANSMIT-002481</t>
  </si>
  <si>
    <t>FHD-TRANSMIT-002482</t>
  </si>
  <si>
    <t>WF-010489</t>
  </si>
  <si>
    <t>FHD-TRANSMIT-002485</t>
  </si>
  <si>
    <t>WF-010501</t>
  </si>
  <si>
    <t>WF-010503</t>
  </si>
  <si>
    <t>FHD-TRANSMIT-002486</t>
  </si>
  <si>
    <t>FHD-TRANSMIT-002487</t>
  </si>
  <si>
    <t>40-000000-4800001272-FHD-MEC-MAT-000010</t>
  </si>
  <si>
    <t>40-000000-4800001272-FHD-MEC-CRS-000010</t>
  </si>
  <si>
    <t>40-000000-4800001272-FHD-MEC-MAT-000011</t>
  </si>
  <si>
    <t>40-000000-4800001272-FHD-MEC-CRS-000011</t>
  </si>
  <si>
    <t>FHD-TRANSMIT-002489</t>
  </si>
  <si>
    <t>FHD-TRANSMIT-002490</t>
  </si>
  <si>
    <t>4800001272-FHD-CG - Material Submittal for Firefighting valves, Hydrants, pressure Gauge &amp; Fire blanket By Elite</t>
  </si>
  <si>
    <t>40-000000-4800001272-FHD-MEC-CRS-000012</t>
  </si>
  <si>
    <t>40-000000-4800001272-FHD-MEC-MAT-000012</t>
  </si>
  <si>
    <t>4800001272-FHD-CG - Material Submittal for Support, Channels, Paint &amp; Primer By Elite</t>
  </si>
  <si>
    <t>FHD-TRANSMIT-002491</t>
  </si>
  <si>
    <t>WF-010539</t>
  </si>
  <si>
    <t>WF-010541</t>
  </si>
  <si>
    <t>WF-010542</t>
  </si>
  <si>
    <t>WF-010544</t>
  </si>
  <si>
    <t>WF-010546</t>
  </si>
  <si>
    <t>WF-010547</t>
  </si>
  <si>
    <t>FHD-TRANSMIT-002494</t>
  </si>
  <si>
    <t>FHD-TRANSMIT-002504</t>
  </si>
  <si>
    <t>FHD-TRANSMIT-002505</t>
  </si>
  <si>
    <t>40-730007-4800001272-FHD-MEC-PQD-000076</t>
  </si>
  <si>
    <t>40-730007-4800001272-FHD-MEC-CRS-000217</t>
  </si>
  <si>
    <t>4800001272-FHD-CG - Pre-qualification document for Emaar Pole Co. for the Supply of Link Seals by PSI Products Co.</t>
  </si>
  <si>
    <t>FHD-TRANSMIT-002511</t>
  </si>
  <si>
    <t>FHD-TRANSMIT-002518</t>
  </si>
  <si>
    <t>FHD-TRANSMIT-002519</t>
  </si>
  <si>
    <t>FHD-TRANSMIT-002520</t>
  </si>
  <si>
    <t>FHD-TRANSMIT-002522</t>
  </si>
  <si>
    <t>FHD-TRANSMIT-002525</t>
  </si>
  <si>
    <t>WF-010855</t>
  </si>
  <si>
    <t>WF-010856</t>
  </si>
  <si>
    <t>WF-010858</t>
  </si>
  <si>
    <t>WF-010862</t>
  </si>
  <si>
    <t>WF-010866</t>
  </si>
  <si>
    <t>WF-010867</t>
  </si>
  <si>
    <t>WF-010868</t>
  </si>
  <si>
    <t>WF-010869</t>
  </si>
  <si>
    <t>WF-010871</t>
  </si>
  <si>
    <t>FHD-TRANSMIT-002527</t>
  </si>
  <si>
    <t>FHD-TRANSMIT-002529</t>
  </si>
  <si>
    <t>40-000000-4800001272-FHD-CIV-MAT-000004</t>
  </si>
  <si>
    <t>40-000000-4800001272-FHD-CIV-CRS-000004</t>
  </si>
  <si>
    <t>FHD-TRANSMIT-002534</t>
  </si>
  <si>
    <t>40-000000-4800001272-FHD-MEC-MAT-000013</t>
  </si>
  <si>
    <t>40-000000-4800001272-FHD-MEC-CRS-000013</t>
  </si>
  <si>
    <t>4800001272-FHD-CG - Material Submittal For Vibration isolator By Afak Al Malaz ( WELCCO)</t>
  </si>
  <si>
    <t>FHD-TRANSMIT-002535</t>
  </si>
  <si>
    <t>40-730007-4800001272-FHD-ELE-ITP-000013</t>
  </si>
  <si>
    <t>40-730007-4800001272-FHD-ELE-CRS-000117</t>
  </si>
  <si>
    <t>4800001272-FHD-CG - Vendor FAT Inspection and Test plan for SCADA SYSTEM BY GNS CO.(Honeywell).</t>
  </si>
  <si>
    <t>FHD-TRANSMIT-002536</t>
  </si>
  <si>
    <t>WF-011011</t>
  </si>
  <si>
    <t>WF-011015</t>
  </si>
  <si>
    <t>WF-011016</t>
  </si>
  <si>
    <t>WF-011017</t>
  </si>
  <si>
    <t>FHD-TRANSMIT-002539</t>
  </si>
  <si>
    <t>FHD-TRANSMIT-002547</t>
  </si>
  <si>
    <t>FHD-TRANSMIT-002549</t>
  </si>
  <si>
    <t>FHD-TRANSMIT-002550</t>
  </si>
  <si>
    <t>FHD-TRANSMIT-002558</t>
  </si>
  <si>
    <t>40-000000-4800001272-FHD-MEC-MAT-000014</t>
  </si>
  <si>
    <t>40-000000-4800001272-FHD-MEC-CRS-000014</t>
  </si>
  <si>
    <t>4800001272-FHD-CG - Material Submittal For FCU KIT valves By muhammed fawaz alanazi</t>
  </si>
  <si>
    <t>FHD-TRANSMIT-002559</t>
  </si>
  <si>
    <t>WF-011126</t>
  </si>
  <si>
    <t>WF-011137</t>
  </si>
  <si>
    <t>WF-011138</t>
  </si>
  <si>
    <t>WF-011139</t>
  </si>
  <si>
    <t>WF-011143</t>
  </si>
  <si>
    <t>WF-011145</t>
  </si>
  <si>
    <t>WF-011149</t>
  </si>
  <si>
    <t>4800001272-FHD-CG - Method Statement for Installation of Facade Cladding</t>
  </si>
  <si>
    <t>FHD-TRANSMIT-002567</t>
  </si>
  <si>
    <t>FHD-TRANSMIT-002574</t>
  </si>
  <si>
    <t>WF-011206</t>
  </si>
  <si>
    <t>FHD-TRANSMIT-002576</t>
  </si>
  <si>
    <t>40-730007-4800001272-FHD-CIV-MST-000030</t>
  </si>
  <si>
    <t>40-730007-4800001272-FHD-CIV-CRS-000123</t>
  </si>
  <si>
    <t>4800001272-FHD-CG - Method Statement for Tower Crane Erection</t>
  </si>
  <si>
    <t>4800001272-FHD-CG - Material Submittal for Pipe insulation (Arma flex) by JBG</t>
  </si>
  <si>
    <t>4800001272-FHD-CG - Method Statement for Ready Mix Plastering Work</t>
  </si>
  <si>
    <t>FHD-TRANSMIT-002583</t>
  </si>
  <si>
    <t>40-000000-4800001272-FHD-ARC-MAT-000013</t>
  </si>
  <si>
    <t>40-000000-4800001272-FHD-ARC-CRS-000013</t>
  </si>
  <si>
    <t>4800001272-FHD-CG - Material Submittal for Grout (NP Tile Grout - GP) By Atiaf Factory for Paints (National)</t>
  </si>
  <si>
    <t>FHD-TRANSMIT-002585</t>
  </si>
  <si>
    <t>40-730007-4800001272-FHD-MEC-PQD-000077</t>
  </si>
  <si>
    <t>40-730007-4800001272-FHD-MEC-CRS-000230</t>
  </si>
  <si>
    <t>4800001272-FHD-CG - Pre-qualification Document for Werdah Gulnar Co. for the Supply of Irrigation Pipes and Fittings by Al-Wasail Co.</t>
  </si>
  <si>
    <t>FHD-TRANSMIT-002592</t>
  </si>
  <si>
    <t>WF-011313</t>
  </si>
  <si>
    <t>WF-011351</t>
  </si>
  <si>
    <t>FHD-TRANSMIT-002597</t>
  </si>
  <si>
    <t>WF-011380</t>
  </si>
  <si>
    <t>FHD-TRANSMIT-002599</t>
  </si>
  <si>
    <t>40-000000-4800001272-FHD-ELV-MAT-000002</t>
  </si>
  <si>
    <t>40-000000-4800001272-FHD-ELV-CRS-000002</t>
  </si>
  <si>
    <t>4800001272-FHD-CG - Material Submittal for Arm Barriers By Parkpoint Qingqong</t>
  </si>
  <si>
    <t>4800001272-FHD-CG - Material Submittal for Fire alarm system By Elite (Edward)</t>
  </si>
  <si>
    <t>FHD-TRANSMIT-002601</t>
  </si>
  <si>
    <t>FHD-TRANSMIT-002602</t>
  </si>
  <si>
    <t>FHD-TRANSMIT-002603</t>
  </si>
  <si>
    <t>4800001272-FHD-CG - 4800001272-FHD-CG - Material Submittal for1mm thick Steel Floor Decking By Maani Steel (AGIS)</t>
  </si>
  <si>
    <t>FHD-TRANSMIT-002606</t>
  </si>
  <si>
    <t>FHD-TRANSMIT-002608</t>
  </si>
  <si>
    <t>TO BE REVIEW PMC</t>
  </si>
  <si>
    <t>WF-011396</t>
  </si>
  <si>
    <t>missing document number on aconex register</t>
  </si>
  <si>
    <t>40-730007-4800001272-FHD-ELE-PQD-000034</t>
  </si>
  <si>
    <t>40-730007-4800001272-FHD-ELE-CRS-000121</t>
  </si>
  <si>
    <t>4800001272-FHD-CG - Prequalification Documents for Shenzhen Weitu Hongda Industrial Co. Ltd (WTHD) for the Supply of UPS System.</t>
  </si>
  <si>
    <t>FHD-TRANSMIT-002618</t>
  </si>
  <si>
    <t>40-100008-4800001272-FHD-MEC-ITP-000008</t>
  </si>
  <si>
    <t>4800001272-FHD-CG - Inspection &amp; Test Plan for Sanitary Sewer (External Network)</t>
  </si>
  <si>
    <t>40-100008-4800001272-FHD-MEC-CRS-000013</t>
  </si>
  <si>
    <t>FHD-TRANSMIT-002620</t>
  </si>
  <si>
    <t>WF-011456</t>
  </si>
  <si>
    <t>WF-011477</t>
  </si>
  <si>
    <t>WF-011478</t>
  </si>
  <si>
    <t>WF-011479</t>
  </si>
  <si>
    <t>WF-011480</t>
  </si>
  <si>
    <t>4800001272-FHD-CG - Method Statement for Fan Coil Unit Installation</t>
  </si>
  <si>
    <t>4800001272-FHD-CG - Method Statement for Irrigation Mechanical and Control System</t>
  </si>
  <si>
    <t>FHD-TRANSMIT-002622</t>
  </si>
  <si>
    <t>40-000000-4800001272-FHD-MEC-MAT-000015</t>
  </si>
  <si>
    <t>40-000000-4800001272-FHD-MEC-CRS-000015</t>
  </si>
  <si>
    <t>4800001272-FHD-CG - Material Submittal For Welding Electrode for CS Pipe joining of Chilled water network By ESAB</t>
  </si>
  <si>
    <t>FHD-TRANSMIT-002621</t>
  </si>
  <si>
    <t>40-000000-4800001272-FHD-MEC-MAT-000016</t>
  </si>
  <si>
    <t>FHD-TRANSMIT-002623</t>
  </si>
  <si>
    <t>40-000000-4800001272-FHD-MEC-CRS-000016</t>
  </si>
  <si>
    <t>WF-011500</t>
  </si>
  <si>
    <t>40-000000-4800001272-FHD-ARC-MAT-000014</t>
  </si>
  <si>
    <t>40-000000-4800001272-FHD-ARC-CRS-000014</t>
  </si>
  <si>
    <t>4800001272-FHD-CG - Material Submittal for Indoor Flooring Rupper (Creation Rigid 55 PVC Vinyl) by Gerflor Middle East Co. Ltd.</t>
  </si>
  <si>
    <t>FHD-TRANSMIT-002624</t>
  </si>
  <si>
    <t>WF-011525</t>
  </si>
  <si>
    <t>WF-011526</t>
  </si>
  <si>
    <t>WF-011529</t>
  </si>
  <si>
    <t>WF-011530</t>
  </si>
  <si>
    <t>WF-011531</t>
  </si>
  <si>
    <t>WF-011532</t>
  </si>
  <si>
    <t>WF-011540</t>
  </si>
  <si>
    <t>4800001272-FHD-CG - Method Statement for Installation of Fresh Air Handling Units (Floor Mounted)</t>
  </si>
  <si>
    <t>FHD-TRANSMIT-002637</t>
  </si>
  <si>
    <t>FHD-TRANSMIT-002643</t>
  </si>
  <si>
    <t>FHD-TRANSMIT-002644</t>
  </si>
  <si>
    <t>FHD-TRANSMIT-002641</t>
  </si>
  <si>
    <t>WF-011392</t>
  </si>
  <si>
    <t>FHD-TRANSMIT-002593</t>
  </si>
  <si>
    <t>FHD-TRANSMIT-002645</t>
  </si>
  <si>
    <t>FHD-TRANSMIT-002474</t>
  </si>
  <si>
    <t>4800001272-FHD-CG - Inspection and Test Plan for Ready Mix Plastering Works</t>
  </si>
  <si>
    <t>40-310002-4800001272-FHD-ARC-ITP-000002</t>
  </si>
  <si>
    <t>40-310002-4800001272-FHD-ARC-CRS-000006</t>
  </si>
  <si>
    <t>FHD-TRANSMIT-002650</t>
  </si>
  <si>
    <t>40-000000-4800001272-FHD-FPR-CRS-000001</t>
  </si>
  <si>
    <t>40-000000-4800001272-FHD-FPR-MAT-000001</t>
  </si>
  <si>
    <t xml:space="preserve">FPR - Fire Protection </t>
  </si>
  <si>
    <t>FHD-TRANSMIT-002652</t>
  </si>
  <si>
    <t>40-000000-4800001272-FHD-ARC-MAT-000015</t>
  </si>
  <si>
    <t>4800001272-FHD-CG - Material Submittal for Vetorep CR520 / Vetorep CR523 / Vetobond PB434 By Saudi Vetonit Co. Ltd. SAVETO</t>
  </si>
  <si>
    <t>40-000000-4800001272-FHD-ARC-CRS-000015</t>
  </si>
  <si>
    <t>FHD-TRANSMIT-002653</t>
  </si>
  <si>
    <t>40-100008-4800001272-FHD-MEC-ITP-000009</t>
  </si>
  <si>
    <t>40-100008-4800001272-FHD-MEC-CRS-000014</t>
  </si>
  <si>
    <t>4800001272-FHD-CG - Vendor FAT Inspection and Test Plan for End Suction Pump by KOON Co. (Manufacturer, Grundfos Co).</t>
  </si>
  <si>
    <t>FHD-TRANSMIT-002656</t>
  </si>
  <si>
    <t>FHD-TRANSMIT-002662</t>
  </si>
  <si>
    <t>FHD-TRANSMIT-002663</t>
  </si>
  <si>
    <t>WF-011661</t>
  </si>
  <si>
    <t>WF-011666</t>
  </si>
  <si>
    <t>WF-011687</t>
  </si>
  <si>
    <t>WF-011700</t>
  </si>
  <si>
    <t>WF-011704</t>
  </si>
  <si>
    <t>WF-011750</t>
  </si>
  <si>
    <t>WF-011752</t>
  </si>
  <si>
    <t>FHD-TRANSMIT-002688</t>
  </si>
  <si>
    <t>40-100008-4800001272-FHD-MEC-ITP-000010</t>
  </si>
  <si>
    <t>40-100008-4800001272-FHD-MEC-CRS-000015</t>
  </si>
  <si>
    <t>4800001272-FHD-CG - Inspection and Test Plan for Potable Water System (Inside Building)</t>
  </si>
  <si>
    <t>FHD-TRANSMIT-002689</t>
  </si>
  <si>
    <t>FHD-TRANSMIT-002690</t>
  </si>
  <si>
    <t>FHD-TRANSMIT-002696</t>
  </si>
  <si>
    <t>40-100008-4800001272-FHD-MEC-MST-000005</t>
  </si>
  <si>
    <t>40-100008-4800001272-FHD-MEC-CRS-000016</t>
  </si>
  <si>
    <t>4800001272-FHD-CG - Method Statement for Chilled Water Piping Insulation</t>
  </si>
  <si>
    <t>FHD-TRANSMIT-002701</t>
  </si>
  <si>
    <t>4800001272-FHD-CG - Method Statement for Installation &amp; Testing of Chilled Water Piping (Grooved &amp; Threaded Connections)</t>
  </si>
  <si>
    <t>FHD-TRANSMIT-002703</t>
  </si>
  <si>
    <t>WF-011847</t>
  </si>
  <si>
    <t>WF-011848</t>
  </si>
  <si>
    <t>WF-011849</t>
  </si>
  <si>
    <t>WF-011856</t>
  </si>
  <si>
    <t>WF-011857</t>
  </si>
  <si>
    <t>WF-011858</t>
  </si>
  <si>
    <t>40-730007-4800001272-FHD-CIV-MST-000031</t>
  </si>
  <si>
    <t>40-730007-4800001272-FHD-CIV-CRS-000124</t>
  </si>
  <si>
    <t>FHD-TRANSMIT-002714</t>
  </si>
  <si>
    <t>40-000000-4800001272-FHD-CIV-MAT-000005</t>
  </si>
  <si>
    <t>40-000000-4800001272-FHD-CIV-CRS-000005</t>
  </si>
  <si>
    <t>FHD-TRANSMIT-002715</t>
  </si>
  <si>
    <t>40-000000-4800001272-FHD-CIV-MAT-000006</t>
  </si>
  <si>
    <t>40-000000-4800001272-FHD-CIV-CRS-000006</t>
  </si>
  <si>
    <t>FHD-TRANSMIT-002716</t>
  </si>
  <si>
    <t>4800001272-FHD-CG - Material Submittal for Retarder (Sika Antisol-111) By Sika</t>
  </si>
  <si>
    <t>40-730007-4800001272-FHD-ELE-MST-000003</t>
  </si>
  <si>
    <t>40-730007-4800001272-FHD-ELE-CRS-000123</t>
  </si>
  <si>
    <t>FHD-TRANSMIT-002718</t>
  </si>
  <si>
    <t>WF-011914</t>
  </si>
  <si>
    <t>WF-011915</t>
  </si>
  <si>
    <t>FHD-TRANSMIT-002721</t>
  </si>
  <si>
    <t>FHD-TRANSMIT-002726</t>
  </si>
  <si>
    <t>FHD-TRANSMIT-002723</t>
  </si>
  <si>
    <t>FHD-TRANSMIT-002722</t>
  </si>
  <si>
    <t>40-000000-4800001272-FHD-ARC-MAT-000016</t>
  </si>
  <si>
    <t>40-000000-4800001272-FHD-ARC-CRS-000016</t>
  </si>
  <si>
    <t>4800001272-FHD-CG - Material Submittal for Epoxy Flooring system ( vetorep ER351/ Vetoprime EP691/ vetotop EC498 / vetotop UC371/ vetograin Range ) By Saveto</t>
  </si>
  <si>
    <t>WF-011994</t>
  </si>
  <si>
    <t>WF-011995</t>
  </si>
  <si>
    <t>WF-011998</t>
  </si>
  <si>
    <t>WF-011999</t>
  </si>
  <si>
    <t>FHD-TRANSMIT-002744</t>
  </si>
  <si>
    <t>4800001272-FHD-CG - Construction Activity Safety Analysis (CASA) for Installation of Concrete Masonry Units (CMU)</t>
  </si>
  <si>
    <t>FHD-TRANSMIT-002747</t>
  </si>
  <si>
    <t>40-000000-4800001272-FHD-ELE-MAT-000004</t>
  </si>
  <si>
    <t>40-000000-4800001272-FHD-ELE-CRS-000004</t>
  </si>
  <si>
    <t>4800001272-FHD-CG - Material Submittal for UPS BY WTHD</t>
  </si>
  <si>
    <t>FHD-TRANSMIT-002748</t>
  </si>
  <si>
    <t>40-730007-4800001272-FHD-CIV-MST-000032</t>
  </si>
  <si>
    <t>40-730007-4800001272-FHD-CIV-CRS-000125</t>
  </si>
  <si>
    <t>4800001272-FHD-CG - Method Statement for Concrete Pouring for Masonry Wall Elements</t>
  </si>
  <si>
    <t>40-730007-4800001272-FHD-ELE-ITP-000014</t>
  </si>
  <si>
    <t>4800001272-FHD-CG - Inspection and Test plan for Cables &amp; Wires Pulling and Termination</t>
  </si>
  <si>
    <t>FHD-TRANSMIT-002754</t>
  </si>
  <si>
    <t>40-730007-4800001272-FHD-HSE-MST-000004</t>
  </si>
  <si>
    <t>40-730007-4800001272-FHD-HSE-CRS-000027</t>
  </si>
  <si>
    <t>4800001272-FHD-CG - Construction Activity Safety Analysis (CASA) for Working during the 12:00 PM – 03:00 PM Period (15th June to 15th September)</t>
  </si>
  <si>
    <t>FHD-TRANSMIT-002755</t>
  </si>
  <si>
    <t>4800001272-FHD-CG - Material Submittal for Sika 107 Injection By Sika</t>
  </si>
  <si>
    <t>WF-012186</t>
  </si>
  <si>
    <t>WF-012187</t>
  </si>
  <si>
    <t>WF-012188</t>
  </si>
  <si>
    <t>WF-012190</t>
  </si>
  <si>
    <t>WF-012192</t>
  </si>
  <si>
    <t>WF-012197</t>
  </si>
  <si>
    <t>WF-012198</t>
  </si>
  <si>
    <t>WF-012201</t>
  </si>
  <si>
    <t>WF-012202</t>
  </si>
  <si>
    <t>4800001272-FHD-CG - Material Submittal for SS Pipe &amp; SS,CS Fittings for Fire Pump Room By Tysseer Services Trading Co.</t>
  </si>
  <si>
    <t>40-000000-4800001272-FHD-CIV-MAT-000007</t>
  </si>
  <si>
    <t>40-000000-4800001272-FHD-CIV-CRS-000007</t>
  </si>
  <si>
    <t>FHD-TRANSMIT-002764</t>
  </si>
  <si>
    <t>WF-012296</t>
  </si>
  <si>
    <t>FHD-TRANSMIT-002767</t>
  </si>
  <si>
    <t>40-000000-4800001272-FHD-ARC-MAT-000017</t>
  </si>
  <si>
    <t>40-000000-4800001272-FHD-ARC-CRS-000017</t>
  </si>
  <si>
    <t>4800001272-FHD-CG - Material Submittal for Vetonit Putty WR By Saudi Vetonit Co. LTD. SAVETO.</t>
  </si>
  <si>
    <t>FHD-TRANSMIT-002768</t>
  </si>
  <si>
    <t>FHD-TRANSMIT-002773</t>
  </si>
  <si>
    <t>WF-012363</t>
  </si>
  <si>
    <t>WF-012364</t>
  </si>
  <si>
    <t>WF-012365</t>
  </si>
  <si>
    <t>FHD-TRANSMIT-002780</t>
  </si>
  <si>
    <t>FHD-TRANSMIT-002781</t>
  </si>
  <si>
    <t>40-000000-4800001272-FHD-MEC-MAT-000017</t>
  </si>
  <si>
    <t>4800001272-FHD-CG - Material Submittal For Chilled water valves KIT for FCU By Ali Manea Alyami Trading Co. (Maplef)</t>
  </si>
  <si>
    <t>40-000000-4800001272-FHD-MEC-CRS-000017</t>
  </si>
  <si>
    <t>FHD-TRANSMIT-002782</t>
  </si>
  <si>
    <t>40-000000-4800001272-FHD-ARC-MAT-000018</t>
  </si>
  <si>
    <t>40-000000-4800001272-FHD-ARC-CRS-000018</t>
  </si>
  <si>
    <t>4800001272-FHD-CG - Material Submittal for Internal Rubber By Life Time (RDX)</t>
  </si>
  <si>
    <t>FHD-TRANSMIT-002783</t>
  </si>
  <si>
    <t>40-310002-4800001272-FHD-ARC-ITP-000003</t>
  </si>
  <si>
    <t>40-310002-4800001272-FHD-ARC-CRS-000007</t>
  </si>
  <si>
    <t>WF-004082 / WF-008340  /  WF-010017 / WF-012399</t>
  </si>
  <si>
    <t>WF-012407</t>
  </si>
  <si>
    <t>40-000000-4800001272-FHD-MEC-MAT-000018</t>
  </si>
  <si>
    <t>40-000000-4800001272-FHD-MEC-CRS-000018</t>
  </si>
  <si>
    <t>4800001272-FHD-CG - Material Submittal For Drains and Manhole cover By Saudi Cast Co.</t>
  </si>
  <si>
    <t>FHD-TRANSMIT-002790</t>
  </si>
  <si>
    <t>WF-012463</t>
  </si>
  <si>
    <t>WF-012467</t>
  </si>
  <si>
    <t>FHD-TRANSMIT-002794</t>
  </si>
  <si>
    <t>40-000000-4800001272-FHD-ARC-CRS-000019</t>
  </si>
  <si>
    <t>40-000000-4800001272-FHD-ARC-MAT-000019</t>
  </si>
  <si>
    <t>FHD-TRANSMIT-002796</t>
  </si>
  <si>
    <t>4800001272-FHD-CG - Material Submittal for Galvanized Bolt for Elevation Rockwool By Fischer</t>
  </si>
  <si>
    <t>40-000000-4800001272-FHD-ARC-MAT-000020</t>
  </si>
  <si>
    <t>40-000000-4800001272-FHD-ARC-CRS-000020</t>
  </si>
  <si>
    <t>4800001272-FHD-CG - Material Submittal for HDF - SPC Flooring By Alsourayi</t>
  </si>
  <si>
    <t>FHD-TRANSMIT-002800</t>
  </si>
  <si>
    <t>WF-012500</t>
  </si>
  <si>
    <t>WF-012502</t>
  </si>
  <si>
    <t>FHD-TRANSMIT-002802</t>
  </si>
  <si>
    <t>4800001272-FHD-CG - Inspection and Test Plan for Painting Works</t>
  </si>
  <si>
    <t>40-730007-4800001272-FHD-MEC-PQD-000078</t>
  </si>
  <si>
    <t>40-730007-4800001272-FHD-MEC-CRS-000235</t>
  </si>
  <si>
    <t>4800001272-FHD-CG - Pre-qualification Document for Elite Fire Trading co. for the Supply of Fire Fighting Network Materials</t>
  </si>
  <si>
    <t>FHD-TRANSMIT-002811</t>
  </si>
  <si>
    <t>WF-012533</t>
  </si>
  <si>
    <t>WF-012534</t>
  </si>
  <si>
    <t>40-310002-4800001272-FHD-STR-CRS-000010</t>
  </si>
  <si>
    <t>40-310002-4800001272-FHD-STR-MST-000001</t>
  </si>
  <si>
    <t>FHD-TRANSMIT-002812</t>
  </si>
  <si>
    <t>WF-012552</t>
  </si>
  <si>
    <t>WF-012575</t>
  </si>
  <si>
    <t>40-100008-4800001272-FHD-MEC-ITP-000011</t>
  </si>
  <si>
    <t>40-100008-4800001272-FHD-MEC-CRS-000017</t>
  </si>
  <si>
    <t>4800001272-FHD-CG - Inspection and Test Plan for Mechanical Irrigation System</t>
  </si>
  <si>
    <t>FHD-TRANSMIT-002823</t>
  </si>
  <si>
    <t>FHD-TRANSMIT-002819</t>
  </si>
  <si>
    <t>FHD-TRANSMIT-002820</t>
  </si>
  <si>
    <t>FHD-TRANSMIT-002826</t>
  </si>
  <si>
    <t>FHD-TRANSMIT-002827</t>
  </si>
  <si>
    <t>WF-012615</t>
  </si>
  <si>
    <t>WF-012617</t>
  </si>
  <si>
    <t>WF-012618</t>
  </si>
  <si>
    <t>WF-012621</t>
  </si>
  <si>
    <t>WF-012622</t>
  </si>
  <si>
    <t>WF-012624</t>
  </si>
  <si>
    <t>FHD-TRANSMIT-002824</t>
  </si>
  <si>
    <t>FHD-TRANSMIT-002835</t>
  </si>
  <si>
    <t>FHD-TRANSMIT-002838</t>
  </si>
  <si>
    <t>FHD-TRANSMIT-002844</t>
  </si>
  <si>
    <t>WF-012413</t>
  </si>
  <si>
    <t>11/05/2025 (Revised on 10/09/2025)</t>
  </si>
  <si>
    <t>WF-012691 / WF-012691</t>
  </si>
  <si>
    <t>WF-012709</t>
  </si>
  <si>
    <t>WF-012718</t>
  </si>
  <si>
    <t>WF-012720</t>
  </si>
  <si>
    <t>40-100008-4800001272-FHD-CIV-CRS-000004</t>
  </si>
  <si>
    <t>40-100008-4800001272-FHD-CIV-MST-000001</t>
  </si>
  <si>
    <t>4800001272-FHD-CG - Method Statement for Petrographic Examination of Concrete Cores</t>
  </si>
  <si>
    <t>FHD-TRANSMIT-002854</t>
  </si>
  <si>
    <t>4800001272-FHD-CG - Inspection And Test Plan For (ELV, ICT &amp; OSP) Cables &amp; Wires Pulling And Termination</t>
  </si>
  <si>
    <t>40-730007-4800001272-FHD-ELE-CRS-000126</t>
  </si>
  <si>
    <t>40-730007-4800001272-FHD-ELE-ITP-000015</t>
  </si>
  <si>
    <t>FHD-TRANSMIT-002848</t>
  </si>
  <si>
    <t>FHD-TRANSMIT-002852</t>
  </si>
  <si>
    <t>FHD-TRANSMIT-002855</t>
  </si>
  <si>
    <t>40-100008-4800001272-FHD-CIV-CRS-000005</t>
  </si>
  <si>
    <t>40-100008-4800001272-FHD-CIV-PQD-000001</t>
  </si>
  <si>
    <t>WF-012759</t>
  </si>
  <si>
    <t>WF-012760</t>
  </si>
  <si>
    <t>WF-012761</t>
  </si>
  <si>
    <t>4800001272-FHD-CG - Method Statement for Cable Laying, Pulling and Termination</t>
  </si>
  <si>
    <t>FHD-TRANSMIT-002862</t>
  </si>
  <si>
    <t>4800001272-FHD-CG - Method Statement for Load Test of Concrete Structures Slab Load Test</t>
  </si>
  <si>
    <t>40-310002-4800001272-FHD-STR-MST-000002</t>
  </si>
  <si>
    <t>40-310002-4800001272-FHD-STR-CRS-000011</t>
  </si>
  <si>
    <t>FHD-TRANSMIT-002864</t>
  </si>
  <si>
    <t>WF-012816</t>
  </si>
  <si>
    <t>WF-012818</t>
  </si>
  <si>
    <t>FHD-TRANSMIT-002866</t>
  </si>
  <si>
    <t xml:space="preserve">WF-012464 </t>
  </si>
  <si>
    <t>FHD-TRANSMIT-002868</t>
  </si>
  <si>
    <t>FHD-TRANSMIT-002869</t>
  </si>
  <si>
    <t>4800001272-FHD-CG - Inspection and Test Plan for Installation Precast Concrete Members (Casted at Site Yard)</t>
  </si>
  <si>
    <t>40-100008-4800001272-FHD-CIV-CRS-000006</t>
  </si>
  <si>
    <t>40-100008-4800001272-FHD-CIV-ITP-000001</t>
  </si>
  <si>
    <t>FHD-TRANSMIT-002870</t>
  </si>
  <si>
    <t>FHD-TRANSMIT-002875</t>
  </si>
  <si>
    <t>40-730007-4800001272-FHD-ELV-MST-000002</t>
  </si>
  <si>
    <t>4800001272-FHD-CG - Method Statement for ELV, ICT and OSP Cable Laying, Pulling, Termination.</t>
  </si>
  <si>
    <t>40-730007-4800001272-FHD-ELV-CRS-000012</t>
  </si>
  <si>
    <t>FHD-TRANSMIT-002880</t>
  </si>
  <si>
    <t>FHD-TRANSMIT-002881</t>
  </si>
  <si>
    <t>WF-012877</t>
  </si>
  <si>
    <t>WF-012885</t>
  </si>
  <si>
    <t>WF-012889</t>
  </si>
  <si>
    <t>FHD-TRANSMIT-002883</t>
  </si>
  <si>
    <t>FHD-TRANSMIT-002885</t>
  </si>
  <si>
    <t>40-000000-4800001272-FHD-ELE-MAT-000005</t>
  </si>
  <si>
    <t>4800001272-FHD-CG - Material Submittal for HDG Cable tray &amp; Trunk By Bahra</t>
  </si>
  <si>
    <t>40-000000-4800001272-FHD-ELE-CRS-000005</t>
  </si>
  <si>
    <t>FHD-TRANSMIT-002886</t>
  </si>
  <si>
    <t>FHD-TRANSMIT-002887</t>
  </si>
  <si>
    <t>40-000000-4800001272-FHD-ARC-MAT-000021</t>
  </si>
  <si>
    <t>40-000000-4800001272-FHD-ARC-CRS-000021</t>
  </si>
  <si>
    <t>4800001272-FHD-CG - Material Submittal for Glass Doors and Panels By Life Time</t>
  </si>
  <si>
    <t>FHD-TRANSMIT-002888</t>
  </si>
  <si>
    <t>40-730007-4800001272-FHD-MEC-PQD-000079</t>
  </si>
  <si>
    <t>4800001272-FHD-CG - Pre- qualifcation document for Riyadh Foundry Co. for the supply of Manholes Cover</t>
  </si>
  <si>
    <t>40-730007-4800001272-FHD-MEC-CRS-000238</t>
  </si>
  <si>
    <t>FHD-TRANSMIT-002889</t>
  </si>
  <si>
    <t>4800001272-FHD-CG - Pre- qualifcation document for Oman Grating trading Co. for the supply of GRP ladder by Ferrotech Engineering Co.</t>
  </si>
  <si>
    <t>FHD-TRANSMIT-002890</t>
  </si>
  <si>
    <t>40-730007-4800001272-FHD-MEC-PQD-000080</t>
  </si>
  <si>
    <t>40-730007-4800001272-FHD-MEC-CRS-000239</t>
  </si>
  <si>
    <t>FHD-TRANSMIT-002891</t>
  </si>
  <si>
    <t>WF-012927</t>
  </si>
  <si>
    <t>WF-012928</t>
  </si>
  <si>
    <t>WF-012929</t>
  </si>
  <si>
    <t>WF-012930</t>
  </si>
  <si>
    <t>WF-012932</t>
  </si>
  <si>
    <t>WF-012933</t>
  </si>
  <si>
    <t>WF-012941</t>
  </si>
  <si>
    <t>4800001272-FHD-CG -Pre-qualification Document for (Third Party Laboratory) for Petrography Examination</t>
  </si>
  <si>
    <t>FHD-TRANSMIT-002896</t>
  </si>
  <si>
    <t>WF-012958</t>
  </si>
  <si>
    <t>WF-012959</t>
  </si>
  <si>
    <t>40-310002-4800001272-FHD-MEC-ITP-000002</t>
  </si>
  <si>
    <t>40-310002-4800001272-FHD-MEC-CRS-000006</t>
  </si>
  <si>
    <t>4800001272-FHD-CG - Vendor FAT Inspection and Test Plan for Anchor Bolts by Masdar Co.</t>
  </si>
  <si>
    <t>FHD-TRANSMIT-002901</t>
  </si>
  <si>
    <t>FHD-TRANSMIT-002902</t>
  </si>
  <si>
    <t>FHD-TRANSMIT-002900</t>
  </si>
  <si>
    <t>WF-012989</t>
  </si>
  <si>
    <t>WF-012990</t>
  </si>
  <si>
    <t>WF-012991</t>
  </si>
  <si>
    <t>WF-012992</t>
  </si>
  <si>
    <t>FHD-TRANSMIT-002916</t>
  </si>
  <si>
    <t>40-100008-4800001272-FHD-MEC-ITP-000012</t>
  </si>
  <si>
    <t>4800001272-FHD-CG - Inspection and Test Plan for Plumbing Fixtures</t>
  </si>
  <si>
    <t>40-100008-4800001272-FHD-MEC-CRS-000018</t>
  </si>
  <si>
    <t>FHD-TRANSMIT-002917</t>
  </si>
  <si>
    <t>FHD-TRANSMIT-002912</t>
  </si>
  <si>
    <t>WF-013044</t>
  </si>
  <si>
    <t>4800001272-FHD-CG - Material Submittal For Hyperseal DP 2010-H (Self Expanding Rubber Water Stop for Fire Tank Pipe Sleeves) By DCP.</t>
  </si>
  <si>
    <t>FHD-TRANSMIT-002918</t>
  </si>
  <si>
    <t>FHD-TRANSMIT-002919</t>
  </si>
  <si>
    <t>FHD-TRANSMIT-002920</t>
  </si>
  <si>
    <t>FHD-TRANSMIT-002921</t>
  </si>
  <si>
    <t>FHD-TRANSMIT-002922</t>
  </si>
  <si>
    <t>FHD-TRANSMIT-002924</t>
  </si>
  <si>
    <t>40-310002-4800001272-FHD-ARC-MST-000003</t>
  </si>
  <si>
    <t>40-310002-4800001272-FHD-ARC-CRS-000008</t>
  </si>
  <si>
    <t>40-000000-4800001272-FHD-MEC-MAT-000019</t>
  </si>
  <si>
    <t>40-000000-4800001272-FHD-MEC-CRS-000019</t>
  </si>
  <si>
    <t>FHD-TRANSMIT-002929</t>
  </si>
  <si>
    <t>4800001272-FHD-CG - Material Submittal For Hand dryer by BAYT ALEBAA</t>
  </si>
  <si>
    <t>FHD-TRANSMIT-002930</t>
  </si>
  <si>
    <t>WF-013052</t>
  </si>
  <si>
    <t>WF-013054</t>
  </si>
  <si>
    <t>WF-013060</t>
  </si>
  <si>
    <t>40-310002-4800001272-FHD-ARC-MST-000004</t>
  </si>
  <si>
    <t>40-310002-4800001272-FHD-ARC-CRS-000009</t>
  </si>
  <si>
    <t>FHD-TRANSMIT-002935</t>
  </si>
  <si>
    <t>Refer to 40-310002-4800001272-FHD-ARC-MST-000004</t>
  </si>
  <si>
    <t>FHD-TRANSMIT-002933</t>
  </si>
  <si>
    <t>FHD-TRANSMIT-002934</t>
  </si>
  <si>
    <t>40-000000-4800001272-FHD-ARC-MAT-000022</t>
  </si>
  <si>
    <t>40-000000-4800001272-FHD-ARC-CRS-000022</t>
  </si>
  <si>
    <t>FHD-TRANSMIT-002937</t>
  </si>
  <si>
    <t>4800001272-FHD-CG - Material Submittal for Aluminum Ceiling By Nine degrees</t>
  </si>
  <si>
    <t>FHD-TRANSMIT-002940</t>
  </si>
  <si>
    <t>FHD-TRANSMIT-002943</t>
  </si>
  <si>
    <t>WF-013080</t>
  </si>
  <si>
    <t>WF-013081</t>
  </si>
  <si>
    <t>WF-013085</t>
  </si>
  <si>
    <t>WF-013095</t>
  </si>
  <si>
    <t>WF-013096</t>
  </si>
  <si>
    <t>4800001272-FHD-CG - Method Statement for Repetitive Static Plate Load Test on Subgrade Soils (ASTM D1195)</t>
  </si>
  <si>
    <t>40-100008-4800001272-FHD-CIV-MST-000002</t>
  </si>
  <si>
    <t>40-100008-4800001272-FHD-CIV-CRS-000007</t>
  </si>
  <si>
    <t xml:space="preserve">FHD-TRANSMIT-002947	</t>
  </si>
  <si>
    <t>FHD-TRANSMIT-002949</t>
  </si>
  <si>
    <t>WF-013114</t>
  </si>
  <si>
    <t>WF-013116</t>
  </si>
  <si>
    <t>WF-013118</t>
  </si>
  <si>
    <t>FHD-TRANSMIT-002951</t>
  </si>
  <si>
    <t>40-000000-4800001272-FHD-ELE-MAT-000006</t>
  </si>
  <si>
    <t>40-000000-4800001272-FHD-ELE-CRS-000006</t>
  </si>
  <si>
    <t>FHD-TRANSMIT-002952</t>
  </si>
  <si>
    <t>4800001272-FHD-CG - Material Submittal for MV Cable By Bahra</t>
  </si>
  <si>
    <t>FHD-TRANSMIT-002960</t>
  </si>
  <si>
    <t>FHD-TRANSMIT-002961</t>
  </si>
  <si>
    <t>40-000000-4800001272-FHD-ARC-MAT-000023</t>
  </si>
  <si>
    <t>40-000000-4800001272-FHD-ARC-CRS-000023</t>
  </si>
  <si>
    <t>FHD-TRANSMIT-002962</t>
  </si>
  <si>
    <t>FHD-TRANSMIT-002964</t>
  </si>
  <si>
    <t>FHD-TRANSMIT-002968</t>
  </si>
  <si>
    <t>FHD-TRANSMIT-002972</t>
  </si>
  <si>
    <t>WF-013157</t>
  </si>
  <si>
    <t>WF-013158</t>
  </si>
  <si>
    <t>WF-013160</t>
  </si>
  <si>
    <t>WF-013161</t>
  </si>
  <si>
    <t>WF-013165</t>
  </si>
  <si>
    <t>WF-013166</t>
  </si>
  <si>
    <t>WF-013167</t>
  </si>
  <si>
    <t>WF-012848/WF-013174</t>
  </si>
  <si>
    <t>4800001272-FHD-CG -Material Submittal for CHW Pipe Insulation by Al-Sayed Center</t>
  </si>
  <si>
    <t>WF-013175</t>
  </si>
  <si>
    <t>WF-013190</t>
  </si>
  <si>
    <t>WF-013191</t>
  </si>
  <si>
    <t>40-000000-4800001272-FHD-ARC-MAT-000024</t>
  </si>
  <si>
    <t>4800001272-FHD-CG - Material Submittal for Sigma Guardian Shell Medium By Sigma</t>
  </si>
  <si>
    <t>40-000000-4800001272-FHD-ARC-CRS-000024</t>
  </si>
  <si>
    <t>FHD-TRANSMIT-002982</t>
  </si>
  <si>
    <t>FHD-TRANSMIT-002983</t>
  </si>
  <si>
    <t>40-000000-4800001272-FHD-CIV-MAT-000008</t>
  </si>
  <si>
    <t>40-000000-4800001272-FHD-CIV-CRS-000008</t>
  </si>
  <si>
    <t>4800001272-FHD-CG - Material Submittal for Vetorep CR520 Vetorep CR523 Vetobond PB434 By Saudi Vetonit Co. Ltd. SAVETO</t>
  </si>
  <si>
    <t>WF-013235</t>
  </si>
  <si>
    <t>WF-013236</t>
  </si>
  <si>
    <t>40-100008-4800001272-FHD-MEC-MST-000006</t>
  </si>
  <si>
    <t>40-100008-4800001272-FHD-MEC-CRS-000020</t>
  </si>
  <si>
    <t>4800001272-FHD-CG - Method Statement for Painting Works of Fire Piping by Elite Fire Trading Company</t>
  </si>
  <si>
    <t>FHD-TRANSMIT-002993</t>
  </si>
  <si>
    <t>FHD-TRANSMIT-002998</t>
  </si>
  <si>
    <t>WF-013283</t>
  </si>
  <si>
    <t>40-310002-4800001272-FHD-ARC-MST-000005</t>
  </si>
  <si>
    <t>4800001272-FHD-CG - Method Statement for Epoxy Flooring Application</t>
  </si>
  <si>
    <t>40-310002-4800001272-FHD-ARC-CRS-000010</t>
  </si>
  <si>
    <t>FHD-TRANSMIT-003002</t>
  </si>
  <si>
    <t>40-730007-4800001272-FHD-ELE-CRS-000124</t>
  </si>
  <si>
    <t>4800001272-FHD-CG - Method Statement for Steel Structure Touch-Up Works</t>
  </si>
  <si>
    <t>FHD-TRANSMIT-003011</t>
  </si>
  <si>
    <t>40-100008-4800001272-FHD-STR-CRS-000008</t>
  </si>
  <si>
    <t>40-100008-4800001272-FHD-STR-MST-000001</t>
  </si>
  <si>
    <t>WF-013324</t>
  </si>
  <si>
    <t>40-000000-4800001272-FHD-ARC-MAT-000025</t>
  </si>
  <si>
    <t>40-000000-4800001272-FHD-ARC-CRS-000025</t>
  </si>
  <si>
    <t>WF-013325</t>
  </si>
  <si>
    <t>4800001272-FHD-CG - Material Submittal for Intermediate Epoxy Coat By Sigma</t>
  </si>
  <si>
    <t>FHD-TRANSMIT-003004</t>
  </si>
  <si>
    <t>WF-013327</t>
  </si>
  <si>
    <t>WF-013332</t>
  </si>
  <si>
    <t>FHD-TRANSMIT-003016</t>
  </si>
  <si>
    <t>WF-013373</t>
  </si>
  <si>
    <t>FHD-TRANSMIT-003017</t>
  </si>
  <si>
    <t>FHD-TRANSMIT-003019</t>
  </si>
  <si>
    <t>FHD-TRANSMIT-003020</t>
  </si>
  <si>
    <t>FHD-TRANSMIT-003018</t>
  </si>
  <si>
    <t>4800001272-FHD-CG - Pre-qualification Document for Maani Gulf Co. Tabuk Facility for the Rectification of Steel Structure and Painting Works</t>
  </si>
  <si>
    <t>FHD-TRANSMIT-003022</t>
  </si>
  <si>
    <t>FHD-TRANSMIT-003024</t>
  </si>
  <si>
    <t>40-100008-4800001272-FHD-INF-CRS-000002</t>
  </si>
  <si>
    <t>40-100008-4800001272-FHD-INF-MST-000001</t>
  </si>
  <si>
    <t>INF - Infrastructure</t>
  </si>
  <si>
    <t>4800001272-FHD-CG - Method Statement for Installation Underground Utilities (INFRA)</t>
  </si>
  <si>
    <t>WF-013405</t>
  </si>
  <si>
    <t>WF-013407</t>
  </si>
  <si>
    <t>WF-013406</t>
  </si>
  <si>
    <t>FHD-TRANSMIT-003025</t>
  </si>
  <si>
    <t>WF-013408</t>
  </si>
  <si>
    <t>WF-013409</t>
  </si>
  <si>
    <t>WF-013412</t>
  </si>
  <si>
    <t>WF-013413</t>
  </si>
  <si>
    <t>WF-013414</t>
  </si>
  <si>
    <t>40-100008-4800001272-FHD-CIV-MST-000003</t>
  </si>
  <si>
    <t>40-100008-4800001272-FHD-CIV-CRS-000008</t>
  </si>
  <si>
    <t>4800001272-FHD-CG - Method Statement for Concrete Repairing of Water Tank</t>
  </si>
  <si>
    <t>FHD-TRANSMIT-003031</t>
  </si>
  <si>
    <t>WF-013456</t>
  </si>
  <si>
    <t>4800001272-FHD-CG - Inspection and Test Plan for Water Tank Repairing, Injection, Water Leakage Test, Crystalline Waterproofing</t>
  </si>
  <si>
    <t>40-100008-4800001272-FHD-ARC-CRS-000002</t>
  </si>
  <si>
    <t>40-100008-4800001272-FHD-ARC-ITP-000001</t>
  </si>
  <si>
    <t>FHD-TRANSMIT-003037</t>
  </si>
  <si>
    <t>FHD-TRANSMIT-003045</t>
  </si>
  <si>
    <t>FHD-TRANSMIT-003046</t>
  </si>
  <si>
    <t>WF-005738</t>
  </si>
  <si>
    <t>FHD-TRANSMIT-003047</t>
  </si>
  <si>
    <t>40-000000-4800001272-FHD-MEC-MAT-000020</t>
  </si>
  <si>
    <t>40-000000-4800001272-FHD-MEC-CRS-000020</t>
  </si>
  <si>
    <t>4800001272-FHD-CG - Material Submittal for Manhole Covers by Riyadh Foundry</t>
  </si>
  <si>
    <t>40-000000-4800001272-FHD-ARC-MAT-000026</t>
  </si>
  <si>
    <t>40-000000-4800001272-FHD-ARC-CRS-000026</t>
  </si>
  <si>
    <t>4800001272-FHD-CG - Material Submittal for Broadloom Carpet By 9 Degrees</t>
  </si>
  <si>
    <t>FHD-TRANSMIT-003049</t>
  </si>
  <si>
    <t>WF-013541</t>
  </si>
  <si>
    <t>WF-013544</t>
  </si>
  <si>
    <t>WF-013545</t>
  </si>
  <si>
    <t>WF-013547</t>
  </si>
  <si>
    <t>WF-013585</t>
  </si>
  <si>
    <t>FHD-TRANSMIT-003048</t>
  </si>
  <si>
    <t>WF-013586</t>
  </si>
  <si>
    <t>FHD-TRANSMIT-003055</t>
  </si>
  <si>
    <t>WF-013590</t>
  </si>
  <si>
    <t>FHD-TRANSMIT-003058</t>
  </si>
  <si>
    <t>40-730007-4800001272-FHD-MEC-PQD-000081</t>
  </si>
  <si>
    <t>40-730007-4800001272-FHD-MEC-CRS-000243</t>
  </si>
  <si>
    <t>4800001272-FHD-CG - Prequalification Documents for Third-Party Testing Lab Al-Hoty Stanger Lab for WPS and PQR of Site Welding Activities</t>
  </si>
  <si>
    <t>FHD-TRANSMIT-003061</t>
  </si>
  <si>
    <t>40-310002-4800001272-FHD-ARC-ITP-000004</t>
  </si>
  <si>
    <t>40-310002-4800001272-FHD-ARC-CRS-000011</t>
  </si>
  <si>
    <t>4800001272-FHD-CG - Inspection and Test Plan for Installation of Gypsum Drywalls and False Ceiling Systems</t>
  </si>
  <si>
    <t>FHD-TRANSMIT-003063</t>
  </si>
  <si>
    <t>FHD-TRANSMIT-003064</t>
  </si>
  <si>
    <t>M. Salah_QC Supervisor</t>
  </si>
  <si>
    <t>WF-013618</t>
  </si>
  <si>
    <t>WF-013619</t>
  </si>
  <si>
    <t>WF-013620</t>
  </si>
  <si>
    <t>WF-013621</t>
  </si>
  <si>
    <t>40-730007-4800001272-FHD-MEC-PQD-000082</t>
  </si>
  <si>
    <t>40-730007-4800001272-FHD-MEC-CRS-000244</t>
  </si>
  <si>
    <t>4800001272-FHD-CG - Prequalification Documents for ACO System Co. for the Supply of Manholes Cover.</t>
  </si>
  <si>
    <t>FHD-TRANSMIT-003075</t>
  </si>
  <si>
    <t>FHD-TRANSMIT-003077</t>
  </si>
  <si>
    <t>4800001272-FHD-CG - Method Statement for Installation of Tile Works</t>
  </si>
  <si>
    <t>FHD-TRANSMIT-003081</t>
  </si>
  <si>
    <t>FHD-TRANSMIT-003078</t>
  </si>
  <si>
    <t>40-310002-4800001272-FHD-ARC-ITP-000005</t>
  </si>
  <si>
    <t>40-310002-4800001272-FHD-ARC-CRS-000012</t>
  </si>
  <si>
    <t>4800001272-FHD-CG - Inspection and Test Plan for Tiles Work Installation</t>
  </si>
  <si>
    <t>FHD-TRANSMIT-003082</t>
  </si>
  <si>
    <t>FHD-TRANSMIT-003087</t>
  </si>
  <si>
    <t>WF-013648</t>
  </si>
  <si>
    <t>WF-013655</t>
  </si>
  <si>
    <t>WF-013656</t>
  </si>
  <si>
    <t>WF-013658</t>
  </si>
  <si>
    <t>WF-013721</t>
  </si>
  <si>
    <t>WF-013723</t>
  </si>
  <si>
    <t>40-100008-4800001272-FHD-CIV-MST-000004</t>
  </si>
  <si>
    <t>40-100008-4800001272-FHD-CIV-CRS-000009</t>
  </si>
  <si>
    <t>FHD-TRANSMIT-003099</t>
  </si>
  <si>
    <t>4800001272-FHD-CG - Method Statement for Concrete Repairing of Water Tank By Sika Materials</t>
  </si>
  <si>
    <t>FHD-TRANSMIT-003101</t>
  </si>
  <si>
    <t>Mr. Salah - QC Supervisor</t>
  </si>
  <si>
    <t>40-100008-4800001272-FHD-MEC-MST-000007</t>
  </si>
  <si>
    <t>40-100008-4800001272-FHD-MEC-CRS-000023</t>
  </si>
  <si>
    <t>FHD-TRANSMIT-003102</t>
  </si>
  <si>
    <t>FHD-TRANSMIT-003107</t>
  </si>
  <si>
    <t>40-000000-4800001272-FHD-ARC-MAT-000027</t>
  </si>
  <si>
    <t>40-000000-4800001272-FHD-ARC-CRS-000027</t>
  </si>
  <si>
    <t>FHD-TRANSMIT-003109</t>
  </si>
  <si>
    <t>4800001272-FHD-CG - Material Submittal for Expansion Joints By Unitech for Building &amp; Construction materials</t>
  </si>
  <si>
    <t>40-000000-4800001272-FHD-ARC-MAT-000028</t>
  </si>
  <si>
    <t>40-000000-4800001272-FHD-ARC-CRS-000028</t>
  </si>
  <si>
    <t>FHD-TRANSMIT-003110</t>
  </si>
  <si>
    <t>WF-013836</t>
  </si>
  <si>
    <t>WF-013837</t>
  </si>
  <si>
    <t>WF-013838</t>
  </si>
  <si>
    <t>WF-013841</t>
  </si>
  <si>
    <t>WF-013843</t>
  </si>
  <si>
    <t>WF-013844</t>
  </si>
  <si>
    <t>Mr. Salah</t>
  </si>
  <si>
    <t>FHD-TRANSMIT-003112</t>
  </si>
  <si>
    <t>FHD-TRANSMIT-003115</t>
  </si>
  <si>
    <t>FHD-TRANSMIT-003116</t>
  </si>
  <si>
    <t>4800001272-FHD-CG - Material Submittal For GRP Ladder By Oman Gating Trading Company</t>
  </si>
  <si>
    <t>40-000000-4800001272-FHD-MEC-MAT-000021</t>
  </si>
  <si>
    <t>40-000000-4800001272-FHD-MEC-CRS-000021</t>
  </si>
  <si>
    <t>13-10-25</t>
  </si>
  <si>
    <t>FHD-TRANSMIT-003117</t>
  </si>
  <si>
    <t>FHD-TRANSMIT-003118</t>
  </si>
  <si>
    <t>WF-013853</t>
  </si>
  <si>
    <t>WF-013855</t>
  </si>
  <si>
    <t>WF-013873</t>
  </si>
  <si>
    <t>WF-013875</t>
  </si>
  <si>
    <t>40-100008-4800001272-FHD-ARC-ITP-000002</t>
  </si>
  <si>
    <t>40-100008-4800001272-FHD-ARC-CRS-000003</t>
  </si>
  <si>
    <t>4800001272-FHD-CG - Inspection and Test Plan for Facade Cladding</t>
  </si>
  <si>
    <t>FHD-TRANSMIT-003121</t>
  </si>
  <si>
    <t>WF-013929</t>
  </si>
  <si>
    <t>WF-013930</t>
  </si>
  <si>
    <t>FHD-TRANSMIT-003119</t>
  </si>
  <si>
    <t>WF-013932</t>
  </si>
  <si>
    <t>WF-013934</t>
  </si>
  <si>
    <t>FHD-TRANSMIT-003123</t>
  </si>
  <si>
    <t>FHD-TRANSMIT-003131</t>
  </si>
  <si>
    <t>FHD-TRANSMIT-003132</t>
  </si>
  <si>
    <t>FHD-TRANSMIT-003134</t>
  </si>
  <si>
    <t>40-730007-4800001272-FHD-MEC-PQD-000083</t>
  </si>
  <si>
    <t>40-730007-4800001272-FHD-MEC-CRS-000245</t>
  </si>
  <si>
    <t>FHD-TRANSMIT-003138</t>
  </si>
  <si>
    <t>40-310002-4800001272-FHD-FAS-CRS-000004</t>
  </si>
  <si>
    <t>40-310002-4800001272-FHD-FAS-ITP-000001</t>
  </si>
  <si>
    <t>4800001272-FHD-CG - Inspection and Test Plan for Fire Alarm System</t>
  </si>
  <si>
    <t>FAS - Fire Alarm System</t>
  </si>
  <si>
    <t>FHD-TRANSMIT-003139</t>
  </si>
  <si>
    <t>4800001272-FHD-CG - Prequalification Documents for TTE Engineering Co. for Seismic Restraint Engineering Study for MEP Systems.</t>
  </si>
  <si>
    <t>FHD-TRANSMIT-003141</t>
  </si>
  <si>
    <t>WF-013999</t>
  </si>
  <si>
    <t>WF-014000</t>
  </si>
  <si>
    <t>FHD-TRANSMIT-003142</t>
  </si>
  <si>
    <t>4800001272-FHD-CG - Material Submittal for Steel Box By Al Fahd Idahah (TCCC)</t>
  </si>
  <si>
    <t>FHD-TRANSMIT-003146</t>
  </si>
  <si>
    <t>FHD-TRANSMIT-003144</t>
  </si>
  <si>
    <t>FHD-TRANSMIT-003145</t>
  </si>
  <si>
    <t>WF-014021</t>
  </si>
  <si>
    <t>WF-014022</t>
  </si>
  <si>
    <t>WF-014023</t>
  </si>
  <si>
    <t>WF-014024</t>
  </si>
  <si>
    <t>WF-014025</t>
  </si>
  <si>
    <t>WF-014026</t>
  </si>
  <si>
    <t>WF-014027</t>
  </si>
  <si>
    <t>WF-014028</t>
  </si>
  <si>
    <t>FHD-TRANSMIT-003151</t>
  </si>
  <si>
    <t>4800001272-FHD-CG - Method Statement for Chemical Cleaning &amp; Treatment for Chilled Water Network</t>
  </si>
  <si>
    <t>40-100008-4800001272-FHD-MEC-MST-000008</t>
  </si>
  <si>
    <t>40-100008-4800001272-FHD-MEC-CRS-000028</t>
  </si>
  <si>
    <t>Mr. Faiyaz</t>
  </si>
  <si>
    <t>FHD-TRANSMIT-003153</t>
  </si>
  <si>
    <t>FHD-TRANSMIT-003154</t>
  </si>
  <si>
    <t>4800001272-FHD-CG - Method Statement for Installation of Fuel Oil System</t>
  </si>
  <si>
    <t>40-150023-4800001272-FHD-MEC-CRS-000002</t>
  </si>
  <si>
    <t>40-150023-4800001272-FHD-MEC-MST-000001</t>
  </si>
  <si>
    <t>FHD-TRANSMIT-003157</t>
  </si>
  <si>
    <t>WF-014056</t>
  </si>
  <si>
    <t>WF-014058</t>
  </si>
  <si>
    <t>WF-014059</t>
  </si>
  <si>
    <t>WF-014063</t>
  </si>
  <si>
    <t>FHD-TRANSMIT-003158</t>
  </si>
  <si>
    <t>FHD-TRANSMIT-003160</t>
  </si>
  <si>
    <t>WF-014097</t>
  </si>
  <si>
    <t>FHD-TRANSMIT-003166</t>
  </si>
  <si>
    <t>Received by whatsapp from Mr. Moustafa Saied / Waqar Ahmed / Gamal - QC</t>
  </si>
  <si>
    <t>FHD-TRANSMIT-003168</t>
  </si>
  <si>
    <t>FHD-TRANSMIT-003172</t>
  </si>
  <si>
    <t>40-000000-4800001272-FHD-MEC-MAT-000022</t>
  </si>
  <si>
    <t>40-000000-4800001272-FHD-MEC-CRS-000022</t>
  </si>
  <si>
    <t>4800001272-FHD-CG - Material Submittal For Manholes Steps by Oman Grating Trading Co</t>
  </si>
  <si>
    <t>FHD-TRANSMIT-003174</t>
  </si>
  <si>
    <t>FHD-TRANSMIT-003177</t>
  </si>
  <si>
    <t>FHD-TRANSMIT-003178</t>
  </si>
  <si>
    <t>40-730007-4800001272-FHD-CIV-CRS-000060</t>
  </si>
  <si>
    <t>FHD-TRANSMIT-003179</t>
  </si>
  <si>
    <t>40-310002-4800001272-FHD-ARC-MST-000006</t>
  </si>
  <si>
    <t>40-310002-4800001272-FHD-ARC-CRS-000013</t>
  </si>
  <si>
    <t>4800001272-FHD-CG - Method Statement for Installation Roof Proofing System</t>
  </si>
  <si>
    <t>FHD-TRANSMIT-003181</t>
  </si>
  <si>
    <t>40-100008-4800001272-FHD-MEC-MST-000009</t>
  </si>
  <si>
    <t>40-100008-4800001272-FHD-MEC-CRS-000029</t>
  </si>
  <si>
    <t>4800001272-FHD-CG - Method Statement for Installation, Testing, Flushing &amp; Vacuuming of Refrigerant Pipes</t>
  </si>
  <si>
    <t>FHD-TRANSMIT-003185</t>
  </si>
  <si>
    <t>WF-014118</t>
  </si>
  <si>
    <t>WF-014119</t>
  </si>
  <si>
    <t>WF-014121</t>
  </si>
  <si>
    <t>WF-014122</t>
  </si>
  <si>
    <t>WF-014123</t>
  </si>
  <si>
    <t>WF-014124</t>
  </si>
  <si>
    <t>WF-014125</t>
  </si>
  <si>
    <t>WF-014126</t>
  </si>
  <si>
    <t>FHD-TRANSMIT-003189</t>
  </si>
  <si>
    <t>FHD-TRANSMIT-003191</t>
  </si>
  <si>
    <t>FHD-TRANSMIT-003192</t>
  </si>
  <si>
    <t>WF-014152</t>
  </si>
  <si>
    <t>WF-014156</t>
  </si>
  <si>
    <t>WF-014158</t>
  </si>
  <si>
    <t>FHD-TRANSMIT-003197</t>
  </si>
  <si>
    <t>WF-002825</t>
  </si>
  <si>
    <t>FHD-TRANSMIT-003198</t>
  </si>
  <si>
    <t>FHD-TRANSMIT-003199</t>
  </si>
  <si>
    <t>40-730007-4800001272-FHD-MEC-PQD-000084</t>
  </si>
  <si>
    <t>40-730007-4800001272-FHD-MEC-CRS-000248</t>
  </si>
  <si>
    <t>4800001272-FHD-CG - Prequalification Documents for Hilti Co. for Seismic Restraint Engineering Study for MEP Systems</t>
  </si>
  <si>
    <t>40-100008-4800001272-FHD-ARC-MST-000002</t>
  </si>
  <si>
    <t>40-100008-4800001272-FHD-ARC-CRS-000004</t>
  </si>
  <si>
    <t>4800001272-FHD-CG - Method Statement for Installation Architecture Accessories of Water Tanks &amp; Manholes</t>
  </si>
  <si>
    <t>FHD-TRANSMIT-003201</t>
  </si>
  <si>
    <t>FHD-TRANSMIT-003202</t>
  </si>
  <si>
    <t>WF-014211</t>
  </si>
  <si>
    <t>WF-014213</t>
  </si>
  <si>
    <t>WF-014214</t>
  </si>
  <si>
    <t>WF-014215</t>
  </si>
  <si>
    <t>WF-014217</t>
  </si>
  <si>
    <t>WF-014218</t>
  </si>
  <si>
    <t>4800001272-FHD-CG - Material Submittal For PVC Waterproofing System By Insuwrap</t>
  </si>
  <si>
    <t>FHD-TRANSMIT-003205</t>
  </si>
  <si>
    <t>FHD-TRANSMIT-003206</t>
  </si>
  <si>
    <t>FHD-TRANSMIT-003209</t>
  </si>
  <si>
    <t>FHD-TRANSMIT-003208</t>
  </si>
  <si>
    <t>40-100008-4800001272-FHD-ARC-ITP-000003</t>
  </si>
  <si>
    <t>40-100008-4800001272-FHD-ARC-CRS-000005</t>
  </si>
  <si>
    <t>Engr. Salah</t>
  </si>
  <si>
    <t>4800001272-FHD-CG - Inspection and Test Plan for Installation Architecture Accessories of Water Tanks &amp; Manholes</t>
  </si>
  <si>
    <t>FHD-TRANSMIT-003210</t>
  </si>
  <si>
    <t>FHD-TRANSMIT-003226</t>
  </si>
  <si>
    <t>FHD-TRANSMIT-003220</t>
  </si>
  <si>
    <t>FHD-TRANSMIT-003224</t>
  </si>
  <si>
    <t>WF-014255</t>
  </si>
  <si>
    <t>WF-014256</t>
  </si>
  <si>
    <t>WF-014257</t>
  </si>
  <si>
    <t>WF-014258</t>
  </si>
  <si>
    <t>WF-014260</t>
  </si>
  <si>
    <t>FHD-TRANSMIT-003228</t>
  </si>
  <si>
    <t>40-000000-4800001272-FHD-ARC-MAT-000029</t>
  </si>
  <si>
    <t>40-000000-4800001272-FHD-ARC-CRS-000029</t>
  </si>
  <si>
    <t>4800001272-FHD-CG - Material Submittal for Glass doors, Partitions and Interior Metal Coverings by MASANA ALTAMAIZ Co</t>
  </si>
  <si>
    <t>FHD-TRANSMIT-003227</t>
  </si>
  <si>
    <t>WF-014266</t>
  </si>
  <si>
    <t>WF-014322</t>
  </si>
  <si>
    <t>WF-014323</t>
  </si>
  <si>
    <t>WF-014325</t>
  </si>
  <si>
    <t>WF-014326</t>
  </si>
  <si>
    <t>4800001272-FHD-CG - Material Submittal for Cementitious product (Grouting material) By Al-Jazeera Paint Co</t>
  </si>
  <si>
    <t>40-000000-4800001272-FHD-ARC-MAT-000030</t>
  </si>
  <si>
    <t>40-000000-4800001272-FHD-ARC-CRS-000030</t>
  </si>
  <si>
    <t>FHD-TRANSMIT-003234</t>
  </si>
  <si>
    <t>FHD-TRANSMIT-003239</t>
  </si>
  <si>
    <t>FHD-TRANSMIT-003240</t>
  </si>
  <si>
    <t>FHD-TRANSMIT-003241</t>
  </si>
  <si>
    <t>WF-014365</t>
  </si>
  <si>
    <t>FHD-TRANSMIT-003243</t>
  </si>
  <si>
    <t>WF-014377</t>
  </si>
  <si>
    <t>FHD-TRANSMIT-003254</t>
  </si>
  <si>
    <t>40-150023-4800001272-FHD-MEC-CRS-000004</t>
  </si>
  <si>
    <t>40-150023-4800001272-FHD-MEC-ITP-000001</t>
  </si>
  <si>
    <t>4800001272-FHD-CG - Inspection and Test Plan for Installation &amp; Testing of Fuel Oil System</t>
  </si>
  <si>
    <t>FHD-TRANSMIT-003256</t>
  </si>
  <si>
    <t>FHD-TRANSMIT-003255</t>
  </si>
  <si>
    <t>4800001272-FHD-CG - Material Submittal for Mill work and Lamination by Al Samman Co</t>
  </si>
  <si>
    <t>40-000000-4800001272-FHD-ARC-CRS-000031</t>
  </si>
  <si>
    <t>40-000000-4800001272-FHD-ARC-MAT-000031</t>
  </si>
  <si>
    <t>FHD-TRANSMIT-003257</t>
  </si>
  <si>
    <t>WF-014418</t>
  </si>
  <si>
    <t>WF-014420</t>
  </si>
  <si>
    <t>WF-014422</t>
  </si>
  <si>
    <t>WF-014423</t>
  </si>
  <si>
    <t>Do not require approval at the Project</t>
  </si>
  <si>
    <t>WF-014457</t>
  </si>
  <si>
    <t>WF-014462</t>
  </si>
  <si>
    <t>WF-014463</t>
  </si>
  <si>
    <t>WF-014464</t>
  </si>
  <si>
    <t>4800001272-FHD-CG - Method Statement for Load Test of Concrete Structures Slab Load Test for Point No. 04</t>
  </si>
  <si>
    <t>4800001272-FHD-CG - Material Submittal for HDF Flooring By Gerflor Co</t>
  </si>
  <si>
    <t>40-000000-4800001272-FHD-ARC-CRS-000032</t>
  </si>
  <si>
    <t>40-000000-4800001272-FHD-ARC-MAT-000032</t>
  </si>
  <si>
    <t>FHD-TRANSMIT-003275</t>
  </si>
  <si>
    <t>WF-014491</t>
  </si>
  <si>
    <t>FHD-TRANSMIT-003282</t>
  </si>
  <si>
    <t>FHD-TRANSMIT-003279</t>
  </si>
  <si>
    <t>FHD-TRANSMIT-003283</t>
  </si>
  <si>
    <t>FHD-TRANSMIT-003284</t>
  </si>
  <si>
    <t>FHD-TRANSMIT-003285</t>
  </si>
  <si>
    <t>40-730007-4800001272-FHD-MEC-PQD-000085</t>
  </si>
  <si>
    <t>40-730007-4800001272-FHD-MEC-CRS-000251</t>
  </si>
  <si>
    <t>4800001272-FHD-CG - Prequalification Documents for Al-Wasail Co. for the Supply of HDPE Perforated Pipes and Fittings</t>
  </si>
  <si>
    <t>FHD-TRANSMIT-003286</t>
  </si>
  <si>
    <t>FHD-TRANSMIT-003287</t>
  </si>
  <si>
    <t>40-100008-4800001272-FHD-MEC-ITP-000013</t>
  </si>
  <si>
    <t>40-100008-4800001272-FHD-MEC-CRS-000030</t>
  </si>
  <si>
    <t>FHD-TRANSMIT-003288</t>
  </si>
  <si>
    <t>FHD-TRANSMIT-003289</t>
  </si>
  <si>
    <t>4800001272-FHD-CG - Inspection and Test Plan for Testing &amp; Commissioning of HVAC System</t>
  </si>
  <si>
    <t>40-100008-4800001272-FHD-MEC-ITP-000014</t>
  </si>
  <si>
    <t>40-100008-4800001272-FHD-MEC-CRS-000031</t>
  </si>
  <si>
    <t>4800001272-FHD-CG - Inspection and Test Plan for Welding &amp; NDT Testing for Fuel Oil &amp; Chilled Water Piping</t>
  </si>
  <si>
    <t>FHD-TRANSMIT-003295</t>
  </si>
  <si>
    <t>40-100008-4800001272-FHD-CIV-MST-000005</t>
  </si>
  <si>
    <t>40-100008-4800001272-FHD-CIV-CRS-000010</t>
  </si>
  <si>
    <t>FHD-TRANSMIT-003291</t>
  </si>
  <si>
    <t>40-310002-4800001272-FHD-CIV-CRS-000003</t>
  </si>
  <si>
    <t>40-310002-4800001272-FHD-CIV-MST-000001</t>
  </si>
  <si>
    <t>4800001272-FHD-CG - Method Statement for Bulged Beam and Shifted Anchor Rectification</t>
  </si>
  <si>
    <t>4800001272-FHD-CG - Method Statement for Installation of Covers for Manholes, Chambers and Electrical Trenches</t>
  </si>
  <si>
    <t>4800001272-FHD-CG - Vendor FAT Inspection and Test Plan for Carbon Steel Pipes and Fittings By Interpipe Co. (Tysseer Trading Co).</t>
  </si>
  <si>
    <t>FHD-TRANSMIT-003299</t>
  </si>
  <si>
    <t>WF-014503</t>
  </si>
  <si>
    <t>FHD-TRANSMIT-003303</t>
  </si>
  <si>
    <t>40-100008-4800001272-FHD-INF-MST-000002</t>
  </si>
  <si>
    <t>40-100008-4800001272-FHD-INF-CRS-000003</t>
  </si>
  <si>
    <t>4800001272-FHD-CG - Method Statement for Internal Finishing and Leak Testing of Manholes</t>
  </si>
  <si>
    <t>FHD-TRANSMIT-003304</t>
  </si>
  <si>
    <t>FHD-TRANSMIT-003306</t>
  </si>
  <si>
    <t>WF-014535</t>
  </si>
  <si>
    <t>WF-014536</t>
  </si>
  <si>
    <t>WF-014538</t>
  </si>
  <si>
    <t>WF-014539</t>
  </si>
  <si>
    <t>WF-014540</t>
  </si>
  <si>
    <t>WF-014542</t>
  </si>
  <si>
    <t>WF-014543</t>
  </si>
  <si>
    <t>WF-014544</t>
  </si>
  <si>
    <t>FHD-TRANSMIT-003290</t>
  </si>
  <si>
    <t>WF-014545</t>
  </si>
  <si>
    <t>WF-014547</t>
  </si>
  <si>
    <t>WF-014552</t>
  </si>
  <si>
    <t>WF-014555</t>
  </si>
  <si>
    <t>4800001272-FHD-CG - Vendor Inspection and Test Plan for Carbon Steel Pipes and Fittings by Al-Jazeera Co. (Supplier: Elite Fire Trading Co)</t>
  </si>
  <si>
    <t>FHD-TRANSMIT-003312</t>
  </si>
  <si>
    <t>4800001272/000 - Pre-qualification document for Masdar Technical Service Co. for the Supply of Anchor Bolts, Nuts and Washers</t>
  </si>
  <si>
    <t>FHD-TRANSMIT-003313</t>
  </si>
  <si>
    <t>FHD-TRANSMIT-003315</t>
  </si>
  <si>
    <t>FHD-TRANSMIT-003317</t>
  </si>
  <si>
    <t>FHD-TRANSMIT-003318</t>
  </si>
  <si>
    <t>4800001272-FHD-CG - Construction Activity Safety Analysis (CASA) for Tower Crane Operations (XGT7026-12S1 12TON TC)</t>
  </si>
  <si>
    <t>40-730007-4800001272-FHD-HSE-MST-000005</t>
  </si>
  <si>
    <t>40-730007-4800001272-FHD-HSE-CRS-000030</t>
  </si>
  <si>
    <t>FHD-TRANSMIT-003320</t>
  </si>
  <si>
    <t>40-730007-4800001272-FHD-MEC-PQD-000086</t>
  </si>
  <si>
    <t>40-730007-4800001272-FHD-MEC-CRS-000252</t>
  </si>
  <si>
    <t>4800001272-FHD-CG - Prequalification Document for Bright Star Construction Co. for the Supply of Shear Studs by Swenn Co.</t>
  </si>
  <si>
    <t>FHD-TRANSMIT-003321</t>
  </si>
  <si>
    <t>FHD-TRANSMIT-003322</t>
  </si>
  <si>
    <t>FHD-TRANSMIT-003323</t>
  </si>
  <si>
    <t>FHD-TRANSMIT-003326</t>
  </si>
  <si>
    <t>FHD-TRANSMIT-003327</t>
  </si>
  <si>
    <t>40-000000-4800001272-FHD-MEC-MAT-000023</t>
  </si>
  <si>
    <t>40-000000-4800001272-FHD-MEC-CRS-000023</t>
  </si>
  <si>
    <t>4800001272-FHD-CG - Material Submittal for Sealant for threaded HVAC pipe by Al-sayed center</t>
  </si>
  <si>
    <t>FHD-TRANSMIT-003330</t>
  </si>
  <si>
    <t>4800001272-FHD-CG - Vendor Inspection and Test Plan for Rectification of Steel Structure at Manufacturer Facility MAANI Co.</t>
  </si>
  <si>
    <t>FHD-TRANSMIT-003334</t>
  </si>
  <si>
    <t>40-310002-4800001272-FHD-ARC-ITP-000006</t>
  </si>
  <si>
    <t>40-310002-4800001272-FHD-ARC-CRS-000014</t>
  </si>
  <si>
    <t>4800001272-FHD-CG - Inspection and Test Plan for Epoxy Flooring Application</t>
  </si>
  <si>
    <t>FHD-TRANSMIT-003335</t>
  </si>
  <si>
    <t>WF-014583</t>
  </si>
  <si>
    <t>WF-014584</t>
  </si>
  <si>
    <t>WF-014585</t>
  </si>
  <si>
    <t>WF-014587</t>
  </si>
  <si>
    <t>WF-014588</t>
  </si>
  <si>
    <t>WF-014589</t>
  </si>
  <si>
    <t>WF-014590</t>
  </si>
  <si>
    <t>FHD-TRANSMIT-003316</t>
  </si>
  <si>
    <t>FHD-TRANSMIT-003333</t>
  </si>
  <si>
    <t>WF-014619</t>
  </si>
  <si>
    <t>FHD-TRANSMIT-003336</t>
  </si>
  <si>
    <t>WF-014642</t>
  </si>
  <si>
    <t>WF-014644</t>
  </si>
  <si>
    <t>WF-014645</t>
  </si>
  <si>
    <t>WF-014647</t>
  </si>
  <si>
    <t>WF-014651</t>
  </si>
  <si>
    <t>WF-014652</t>
  </si>
  <si>
    <t>WF-014653</t>
  </si>
  <si>
    <t>FHD-TRANSMIT-003340</t>
  </si>
  <si>
    <t>WF-014654</t>
  </si>
  <si>
    <t>WF-014655</t>
  </si>
  <si>
    <t>WF-014656</t>
  </si>
  <si>
    <t>WF-014659</t>
  </si>
  <si>
    <t>WF-014660</t>
  </si>
  <si>
    <t>FHD-TRANSMIT-003341</t>
  </si>
  <si>
    <t>FHD-TRANSMIT-003342</t>
  </si>
  <si>
    <t>40-000000-4800001272-FHD-CIV-MAT-000009</t>
  </si>
  <si>
    <t>40-000000-4800001272-FHD-CIV-CRS-000009</t>
  </si>
  <si>
    <t>4800001272-FHD-CG - Material Submittal for Concrete Mix Design For pavement construction Class C35/45 By AL IMTYAZ ALWATANIA</t>
  </si>
  <si>
    <t>FHD-TRANSMIT-003343</t>
  </si>
  <si>
    <t>FHD-TRANSMIT-003351</t>
  </si>
  <si>
    <t>FHD-TRANSMIT-003349</t>
  </si>
  <si>
    <t>FHD-TRANSMIT-003357</t>
  </si>
  <si>
    <t>FHD-TRANSMIT-003350</t>
  </si>
  <si>
    <t>FHD-TRANSMIT-003355</t>
  </si>
  <si>
    <t>40-100008-4800001272-FHD-CIV-MST-000006</t>
  </si>
  <si>
    <t>40-100008-4800001272-FHD-CIV-CRS-000011</t>
  </si>
  <si>
    <t>4800001272-FHD-CG - Method Statement for Coring in Manhole Walls to Create Missing Service Openings</t>
  </si>
  <si>
    <t>FHD-TRANSMIT-003356</t>
  </si>
  <si>
    <t>40-310002-4800001272-FHD-ARC-MST-000007</t>
  </si>
  <si>
    <t>40-310002-4800001272-FHD-ARC-CRS-000015</t>
  </si>
  <si>
    <t>WF-014704</t>
  </si>
  <si>
    <t>WF-014705</t>
  </si>
  <si>
    <t>WF-014725</t>
  </si>
  <si>
    <t>WF-014726</t>
  </si>
  <si>
    <t>WF-014727</t>
  </si>
  <si>
    <t>FHD-TRANSMIT-003366</t>
  </si>
  <si>
    <t>FHD-TRANSMIT-003367</t>
  </si>
  <si>
    <t>FHD-TRANSMIT-003368</t>
  </si>
  <si>
    <t>FHD-TRANSMIT-003370</t>
  </si>
  <si>
    <t>WF-014728</t>
  </si>
  <si>
    <t>WF-014729</t>
  </si>
  <si>
    <t>WF-014730</t>
  </si>
  <si>
    <t>FHD-TRANSMIT-003378</t>
  </si>
  <si>
    <t>WF-014771</t>
  </si>
  <si>
    <t>WF-014772</t>
  </si>
  <si>
    <t>WF-014773</t>
  </si>
  <si>
    <t>WF-014774</t>
  </si>
  <si>
    <t>WF-014776</t>
  </si>
  <si>
    <t>40-100008-4800001272-FHD-INF-CRS-000004</t>
  </si>
  <si>
    <t>40-100008-4800001272-FHD-INF-ITP-000001</t>
  </si>
  <si>
    <t>4800001272-FHD-CG - Inspection and Test Plan for Installation of RCC Storm Water Pipes</t>
  </si>
  <si>
    <t>FHD-TRANSMIT-003383</t>
  </si>
  <si>
    <t>40-730007-4800001272-FHD-ELE-MST-000004</t>
  </si>
  <si>
    <t>FHD-TRANSMIT-003384</t>
  </si>
  <si>
    <t>FHD-TRANSMIT-003385</t>
  </si>
  <si>
    <t>FHD-TRANSMIT-003386</t>
  </si>
  <si>
    <t>FHD-TRANSMIT-003388</t>
  </si>
  <si>
    <t>FHD-TRANSMIT-003390</t>
  </si>
  <si>
    <t>FHD-TRANSMIT-003391</t>
  </si>
  <si>
    <t>FHD-TRANSMIT-003395</t>
  </si>
  <si>
    <t>FHD-TRANSMIT-003398</t>
  </si>
  <si>
    <t>FHD-TRANSMIT-003399</t>
  </si>
  <si>
    <t>FHD-TRANSMIT-003400</t>
  </si>
  <si>
    <t>FHD-TRANSMIT-003402</t>
  </si>
  <si>
    <t>FHD-TRANSMIT-003403</t>
  </si>
  <si>
    <t>FHD-TRANSMIT-003404</t>
  </si>
  <si>
    <t>FHD-TRANSMIT-003405</t>
  </si>
  <si>
    <t>Cacelled</t>
  </si>
  <si>
    <t>FHD-TRANSMIT-003406</t>
  </si>
  <si>
    <t>FHD-TRANSMIT-003410</t>
  </si>
  <si>
    <t>FHD-TRANSMIT-003412</t>
  </si>
  <si>
    <t>FHD-TRANSMIT-003414</t>
  </si>
  <si>
    <t>FHD-TRANSMIT-003416</t>
  </si>
  <si>
    <t>FHD-TRANSMIT-003417</t>
  </si>
  <si>
    <t>FHD-TRANSMIT-003418</t>
  </si>
  <si>
    <t>FHD-TRANSMIT-003420</t>
  </si>
  <si>
    <t>FHD-TRANSMIT-003421</t>
  </si>
  <si>
    <t>FHD-TRANSMIT-003423</t>
  </si>
  <si>
    <t>Cancellled</t>
  </si>
  <si>
    <t>40-310002-4800001272-FHD-ARC-MST-000008</t>
  </si>
  <si>
    <t>40-310002-4800001272-FHD-ARC-CRS-000016</t>
  </si>
  <si>
    <t>4800001272-FHD-CG - Method Statement for the Installation of Carpet Flooring</t>
  </si>
  <si>
    <t>FHD-TRANSMIT-003427</t>
  </si>
  <si>
    <t>FHD-TRANSMIT-003428</t>
  </si>
  <si>
    <t>40-000000-4800001272-FHD-MEC-MAT-000024</t>
  </si>
  <si>
    <t>40-000000-4800001272-FHD-MEC-CRS-000024</t>
  </si>
  <si>
    <t>FHD-TRANSMIT-003430</t>
  </si>
  <si>
    <t>4800001272-FHD-CG - Material Submittal for Filler Metal for Copper Brazing by Al-sayed center</t>
  </si>
  <si>
    <t>40-310002-4800001272-FHD-ARC-MST-000009</t>
  </si>
  <si>
    <t>40-310002-4800001272-FHD-ARC-CRS-000017</t>
  </si>
  <si>
    <t>4800001272-FHD-CG - Method Statement for Installation of Resilient Sheet Flooring (Vinyl / Rubber)</t>
  </si>
  <si>
    <t>FHD-TRANSMIT-003432</t>
  </si>
  <si>
    <t>40-310002-4800001272-FHD-ARC-MST-000010</t>
  </si>
  <si>
    <t>40-310002-4800001272-FHD-ARC-CRS-000018</t>
  </si>
  <si>
    <t>4800001272-FHD-CG - Method Statement for Installation of Wooden Floor HDF</t>
  </si>
  <si>
    <t>FHD-TRANSMIT-003433</t>
  </si>
  <si>
    <t>FHD-TRANSMIT-003434</t>
  </si>
  <si>
    <t>WF-014820</t>
  </si>
  <si>
    <t>WF-014821</t>
  </si>
  <si>
    <t>WF-014822</t>
  </si>
  <si>
    <t>WF-014823</t>
  </si>
  <si>
    <t>WF-014824</t>
  </si>
  <si>
    <t>WF-014827</t>
  </si>
  <si>
    <t>WF-014828</t>
  </si>
  <si>
    <t>WF-014830</t>
  </si>
  <si>
    <t>WF-014832</t>
  </si>
  <si>
    <t>WF-014834</t>
  </si>
  <si>
    <t>WF-014868</t>
  </si>
  <si>
    <t>FHD-TRANSMIT-003409</t>
  </si>
  <si>
    <t>WF-014869</t>
  </si>
  <si>
    <t>WF-014871</t>
  </si>
  <si>
    <t>WF-014872</t>
  </si>
  <si>
    <t>WF-014873</t>
  </si>
  <si>
    <t>WF-014875</t>
  </si>
  <si>
    <t>WF-014876</t>
  </si>
  <si>
    <t>WF-014877</t>
  </si>
  <si>
    <t>WF-014878</t>
  </si>
  <si>
    <t>WF-014879</t>
  </si>
  <si>
    <t>40-730007-4800001272-FHD-ELE-ITP-000016</t>
  </si>
  <si>
    <t>FHD-TRANSMIT-003437</t>
  </si>
  <si>
    <t>40-730007-4800001272-FHD-ELE-CRS-000128</t>
  </si>
  <si>
    <t>4800001272-FHD-CG - Inspection And Test Plan For Installation of Wiring Devices</t>
  </si>
  <si>
    <t>4800001272-FHD-CG - Method Statement for Applying Heat Shrink Tubing on a 50 Meter Cable</t>
  </si>
  <si>
    <t>40-730007-4800001272-FHD-ELE-CRS-000129</t>
  </si>
  <si>
    <t>FHD-TRANSMIT-003439</t>
  </si>
  <si>
    <t>40-730007-4800001272-FHD-ELE-MST-000005</t>
  </si>
  <si>
    <t>40-730007-4800001272-FHD-ELE-CRS-000130</t>
  </si>
  <si>
    <t>FHD-TRANSMIT-003440</t>
  </si>
  <si>
    <t>4800001272-FHD-CG - Method Statement for Installation Of Wiring Devices (Socket Outlets,Lighting Control Devices &amp; Disconnect Switches)</t>
  </si>
  <si>
    <t>40-000000-4800001272-FHD-CIV-MAT-000010</t>
  </si>
  <si>
    <t>40-000000-4800001272-FHD-CIV-CRS-000010</t>
  </si>
  <si>
    <t>FHD-TRANSMIT-003444</t>
  </si>
  <si>
    <t>4800001272-FHD-CG - Material Submittal for CEBEX 100 Plasticised by Fosroc</t>
  </si>
  <si>
    <t>4800001272-FHD-CG - Material Submittal for Conbextra (General purpose non-shrink cementitious grout) by Fosroc company</t>
  </si>
  <si>
    <t>40-000000-4800001272-FHD-CIV-CRS-000011</t>
  </si>
  <si>
    <t>40-000000-4800001272-FHD-CIV-MAT-000011</t>
  </si>
  <si>
    <t>FHD-TRANSMIT-003445</t>
  </si>
  <si>
    <t>FHD-TRANSMIT-003448</t>
  </si>
  <si>
    <t>FHD-TRANSMIT-003451</t>
  </si>
  <si>
    <t>FHD-TRANSMIT-003449</t>
  </si>
  <si>
    <t>FHD-TRANSMIT-003456</t>
  </si>
  <si>
    <t>FHD-TRANSMIT-003457</t>
  </si>
  <si>
    <t>FHD-TRANSMIT-003458</t>
  </si>
  <si>
    <t>FHD-TRANSMIT-003459</t>
  </si>
  <si>
    <t>FHD-TRANSMIT-003453</t>
  </si>
  <si>
    <t>FHD-TRANSMIT-003460</t>
  </si>
  <si>
    <t>WF-014927</t>
  </si>
  <si>
    <t>WF-014928</t>
  </si>
  <si>
    <t>WF-014929</t>
  </si>
  <si>
    <t>WF-014932</t>
  </si>
  <si>
    <t>WF-014934</t>
  </si>
  <si>
    <t>WF-014950</t>
  </si>
  <si>
    <t>WF-014951</t>
  </si>
  <si>
    <t>FHD-TRANSMIT-003466</t>
  </si>
  <si>
    <t>07</t>
  </si>
  <si>
    <t>FHD-TRANSMIT-003467</t>
  </si>
  <si>
    <t>40-000000-4800001272-FHD-CIV-MAT-000012</t>
  </si>
  <si>
    <t>40-000000-4800001272-FHD-CIV-CRS-000012</t>
  </si>
  <si>
    <t>FHD-TRANSMIT-003469</t>
  </si>
  <si>
    <t>40-000000-4800001272-FHD-ELE-MAT-000007</t>
  </si>
  <si>
    <t>40-000000-4800001272-FHD-ELE-CRS-000007</t>
  </si>
  <si>
    <t>4800001272-FHD-CG - Material Submittal for HEAT SHRINK TUBING HVOT by Idahah Co</t>
  </si>
  <si>
    <t>FHD-TRANSMIT-003475</t>
  </si>
  <si>
    <t>40-310002-4800001272-FHD-ARC-MST-000011</t>
  </si>
  <si>
    <t>40-310002-4800001272-FHD-ARC-CRS-000020</t>
  </si>
  <si>
    <t>4800001272-FHD-CG - Method Statement for Installation of Raised Floor</t>
  </si>
  <si>
    <t>FHD-TRANSMIT-003482</t>
  </si>
  <si>
    <t>WF-014974</t>
  </si>
  <si>
    <t>WF-014998</t>
  </si>
  <si>
    <t>WF-015000</t>
  </si>
  <si>
    <t>WF-015005</t>
  </si>
  <si>
    <t>WF-015006</t>
  </si>
  <si>
    <t>WF-015007</t>
  </si>
  <si>
    <t>WF-015008</t>
  </si>
  <si>
    <t>WF-015009</t>
  </si>
  <si>
    <t>FHD-TRANSMIT-003422</t>
  </si>
  <si>
    <t>FHD-TRANSMIT-003491</t>
  </si>
  <si>
    <t>FHD-TRANSMIT-003486</t>
  </si>
  <si>
    <t>FHD-TRANSMIT-003488</t>
  </si>
  <si>
    <t>WF-015076</t>
  </si>
  <si>
    <t>WF-015077</t>
  </si>
  <si>
    <t>WF-015080</t>
  </si>
  <si>
    <t>WF-015081</t>
  </si>
  <si>
    <t>4800001272-FHD-CG - Material Submittal for Steel Structure Framing For Solar Panels by MAANI Co</t>
  </si>
  <si>
    <t>FHD-TRANSMIT-003503</t>
  </si>
  <si>
    <t>FHD-TRANSMIT-003501</t>
  </si>
  <si>
    <t>FHD-TRANSMIT-003502</t>
  </si>
  <si>
    <t>FHD-TRANSMIT-003504</t>
  </si>
  <si>
    <t>4800001272-FHD-CG - Material Submittal for GRP access hatch by Al-Najof Company</t>
  </si>
  <si>
    <t>40-000000-4800001272-FHD-ARC-CRS-000033</t>
  </si>
  <si>
    <t>40-000000-4800001272-FHD-ARC-MAT-000033</t>
  </si>
  <si>
    <t>FHD-TRANSMIT-003505</t>
  </si>
  <si>
    <t>WF-015082</t>
  </si>
  <si>
    <t>FHD-TRANSMIT-003513</t>
  </si>
  <si>
    <t>FHD-TRANSMIT-003516</t>
  </si>
  <si>
    <t>FHD-TRANSMIT-003518</t>
  </si>
  <si>
    <t>FHD-TRANSMIT-003520</t>
  </si>
  <si>
    <t>40-730007-4800001272-FHD-MEC-ITP-000015</t>
  </si>
  <si>
    <t>40-730007-4800001272-FHD-MEC-ITP-000016</t>
  </si>
  <si>
    <t>40-730007-4800001272-FHD-MEC-CRS-000261</t>
  </si>
  <si>
    <t>FHD-TRANSMIT-003517</t>
  </si>
  <si>
    <t>40-730007-4800001272-FHD-MEC-CRS-000262</t>
  </si>
  <si>
    <t>FHD-TRANSMIT-003519</t>
  </si>
  <si>
    <t>FHD-TRANSMIT-003521</t>
  </si>
  <si>
    <t>WF-015125</t>
  </si>
  <si>
    <t>WF-015126</t>
  </si>
  <si>
    <t>WF-015129</t>
  </si>
  <si>
    <t>WF-015139</t>
  </si>
  <si>
    <t>WF-015141</t>
  </si>
  <si>
    <t>WF-015142</t>
  </si>
  <si>
    <t>WF-015143</t>
  </si>
  <si>
    <t>WF-015144</t>
  </si>
  <si>
    <t>WF-015151</t>
  </si>
  <si>
    <t>WF-015152</t>
  </si>
  <si>
    <t>WF-015154</t>
  </si>
  <si>
    <t>WF-015155</t>
  </si>
  <si>
    <t>WF-015156</t>
  </si>
  <si>
    <t>FHD-TRANSMIT-003528</t>
  </si>
  <si>
    <t>FHD-TRANSMIT-003530</t>
  </si>
  <si>
    <t>FHD-TRANSMIT-003527</t>
  </si>
  <si>
    <t>FHD-TRANSMIT-003529</t>
  </si>
  <si>
    <t>FHD-TRANSMIT-003533</t>
  </si>
  <si>
    <t>FHD-TRANSMIT-003534</t>
  </si>
  <si>
    <t>FHD-TRANSMIT-003537</t>
  </si>
  <si>
    <t>WF-015217</t>
  </si>
  <si>
    <t>WF-015220</t>
  </si>
  <si>
    <t>FHD-TRANSMIT-003522</t>
  </si>
  <si>
    <t>WF-015222</t>
  </si>
  <si>
    <t>Revision _ 08 - History</t>
  </si>
  <si>
    <t>WF-015223</t>
  </si>
  <si>
    <t>WF-015226</t>
  </si>
  <si>
    <t>WF-015227</t>
  </si>
  <si>
    <t>WF-015228</t>
  </si>
  <si>
    <t>WF-015229</t>
  </si>
  <si>
    <t>WF-015230</t>
  </si>
  <si>
    <t>FHD-TRANSMIT-003531</t>
  </si>
  <si>
    <t>40-000000-4800001272-FHD-CIV-MAT-000013</t>
  </si>
  <si>
    <t>40-000000-4800001272-FHD-CIV-CRS-000013</t>
  </si>
  <si>
    <t>4800001272-FHD-CG - Material Submittal for SikaTop Armatec 110 Epocem By Sika Co.</t>
  </si>
  <si>
    <t>FHD-TRANSMIT-003539</t>
  </si>
  <si>
    <t>FHD-TRANSMIT-003540</t>
  </si>
  <si>
    <t>FHD-TRANSMIT-003545</t>
  </si>
  <si>
    <t>FHD-TRANSMIT-003544</t>
  </si>
  <si>
    <t>FHD-TRANSMIT-003546</t>
  </si>
  <si>
    <t>FHD-TRANSMIT-003549</t>
  </si>
  <si>
    <t>FHD-TRANSMIT-003552</t>
  </si>
  <si>
    <t>WF-015281</t>
  </si>
  <si>
    <t>WF-015282</t>
  </si>
  <si>
    <t>WF-015284</t>
  </si>
  <si>
    <t>WF-015285</t>
  </si>
  <si>
    <t>FHD-TRANSMIT-003541</t>
  </si>
  <si>
    <t>WF-015286</t>
  </si>
  <si>
    <t>WF-015287</t>
  </si>
  <si>
    <t>WF-015288</t>
  </si>
  <si>
    <t>WF-015295</t>
  </si>
  <si>
    <t>WF-015296</t>
  </si>
  <si>
    <t>4800001272-FHD-CG - Material Submittal for Anchors for Access hatches By Al-Najof Co. (Hilti)</t>
  </si>
  <si>
    <t>40-000000-4800001272-FHD-CIV-MAT-000014</t>
  </si>
  <si>
    <t>40-000000-4800001272-FHD-CIV-CRS-000014</t>
  </si>
  <si>
    <t>40-730007-4800001272-FHD-MEC-PQD-000087</t>
  </si>
  <si>
    <t>40-730007-4800001272-FHD-MEC-CRS-000264</t>
  </si>
  <si>
    <t>4800001272-FHD-CG - Prequalification Document for Elite Trading Co. for the Supply of Flange Fitting by Kofco Co.</t>
  </si>
  <si>
    <t>FHD-TRANSMIT-003567</t>
  </si>
  <si>
    <t>WF-015438</t>
  </si>
  <si>
    <t>WF-015439</t>
  </si>
  <si>
    <t>WF-015441</t>
  </si>
  <si>
    <t>4800001272-FHD-CG - Material Submittal for Aggregate Base Course and Gravel by Aamal Nesma Co.</t>
  </si>
  <si>
    <t>40-000000-4800001272-FHD-CIV-MAT-000015</t>
  </si>
  <si>
    <t>40-000000-4800001272-FHD-CIV-CRS-000015</t>
  </si>
  <si>
    <t>FHD-TRANSMIT-003563</t>
  </si>
  <si>
    <t>FHD-TRANSMIT-003569</t>
  </si>
  <si>
    <t>FHD-TRANSMIT-003572</t>
  </si>
  <si>
    <t>FHD-TRANSMIT-003575</t>
  </si>
  <si>
    <t>FHD-TRANSMIT-003581</t>
  </si>
  <si>
    <t>FHD-TRANSMIT-003580</t>
  </si>
  <si>
    <t>WF-014935</t>
  </si>
  <si>
    <t>FHD-TRANSMIT-003582</t>
  </si>
  <si>
    <t>FHD-TRANSMIT-003583</t>
  </si>
  <si>
    <t>FHD-TRANSMIT-003584</t>
  </si>
  <si>
    <t>FHD-TRANSMIT-003585</t>
  </si>
  <si>
    <t>FHD-TRANSMIT-003587</t>
  </si>
  <si>
    <t>40-730007-4800001272-FHD-MEC-ITP-000017</t>
  </si>
  <si>
    <t>40-730007-4800001272-FHD-MEC-CRS-000265</t>
  </si>
  <si>
    <t>4800001272-FHD-CG - Vendor Inspection and Test Plan for Painting of Fire-Fighting Pipes at Manufacturer Facility MAANI Co.</t>
  </si>
  <si>
    <t>FHD-TRANSMIT-003588</t>
  </si>
  <si>
    <t>FHD-TRANSMIT-003596</t>
  </si>
  <si>
    <t>WF-015529</t>
  </si>
  <si>
    <t>WF-015533</t>
  </si>
  <si>
    <t>WF-015534</t>
  </si>
  <si>
    <t>WF-015535</t>
  </si>
  <si>
    <t>WF-015536</t>
  </si>
  <si>
    <t>WF-015537</t>
  </si>
  <si>
    <t>WF-015538</t>
  </si>
  <si>
    <t>WF-015539</t>
  </si>
  <si>
    <t>FHD-TRANSMIT-003599</t>
  </si>
  <si>
    <t>FHD-TRANSMIT-003601</t>
  </si>
  <si>
    <t>FHD-TRANSMIT-003600</t>
  </si>
  <si>
    <t>FHD-TRANSMIT-003603</t>
  </si>
  <si>
    <t>FHD-TRANSMIT-003604</t>
  </si>
  <si>
    <t>FHD-TRANSMIT-003605</t>
  </si>
  <si>
    <t>WF-015571</t>
  </si>
  <si>
    <t>WF-015572</t>
  </si>
  <si>
    <t>WF-015573</t>
  </si>
  <si>
    <t>WF-015575</t>
  </si>
  <si>
    <t>WF-015576</t>
  </si>
  <si>
    <t>WF-015577</t>
  </si>
  <si>
    <t>FHD-TRANSMIT-003606</t>
  </si>
  <si>
    <t>FHD-TRANSMIT-003607</t>
  </si>
  <si>
    <t>40-310002-4800001272-FHD-CIV-MST-000002</t>
  </si>
  <si>
    <t>Draft</t>
  </si>
  <si>
    <t>FHD-TRANSMIT-003611</t>
  </si>
  <si>
    <t>40-310002-4800001272-FHD-ARC-MST-000012</t>
  </si>
  <si>
    <t>40-310002-4800001272-FHD-ARC-CRS-000023</t>
  </si>
  <si>
    <t>4800001272-FHD-CG - Method Statement for Application of Anti Ballast Barrier Finish</t>
  </si>
  <si>
    <t>FHD-TRANSMIT-003612</t>
  </si>
  <si>
    <t>WF-015635</t>
  </si>
  <si>
    <t>WF-015636</t>
  </si>
  <si>
    <t>WF-015637</t>
  </si>
  <si>
    <t>WF-015638</t>
  </si>
  <si>
    <t>WF-015639</t>
  </si>
  <si>
    <t>FHD-TRANSMIT-003619</t>
  </si>
  <si>
    <t>FHD-TRANSMIT-003621</t>
  </si>
  <si>
    <t>WF-015656</t>
  </si>
  <si>
    <t>FHD-TRANSMIT-003622</t>
  </si>
  <si>
    <t>40-000000-4800001272-FHD-ARC-MAT-000034</t>
  </si>
  <si>
    <t>40-000000-4800001272-FHD-ARC-CRS-000034</t>
  </si>
  <si>
    <t>4800001272-FHD-CG - Material Submittal for yellow metal mesh panels Ceiling , Super Durable Finish By USG ME</t>
  </si>
  <si>
    <t>FHD-TRANSMIT-003624</t>
  </si>
  <si>
    <t>FHD-TRANSMIT-003628</t>
  </si>
  <si>
    <t>WF-015718</t>
  </si>
  <si>
    <t>WF-015719</t>
  </si>
  <si>
    <t>WF-015734</t>
  </si>
  <si>
    <t>FHD-TRANSMIT-003645</t>
  </si>
  <si>
    <t>WF-015785</t>
  </si>
  <si>
    <t>FHD-TRANSMIT-003490</t>
  </si>
  <si>
    <t>4800001272-FHD-CG - Method Statement for Underground HDPE Pipes Installation &amp; Testing</t>
  </si>
  <si>
    <t>FHD-TRANSMIT-003649</t>
  </si>
  <si>
    <t>WF-015861</t>
  </si>
  <si>
    <t>WF-015865</t>
  </si>
  <si>
    <t>FHD-TRANSMIT-003652</t>
  </si>
  <si>
    <t>FHD-TRANSMIT-003653</t>
  </si>
  <si>
    <t>40-100008-4800001272-FHD-ELE-CRS-000005</t>
  </si>
  <si>
    <t>40-100008-4800001272-FHD-ELE-MST-000001</t>
  </si>
  <si>
    <t>4800001272-FHD-CG - Method Statement for Installation of High Mast and Street Lighting Pole</t>
  </si>
  <si>
    <t>FHD-TRANSMIT-003663</t>
  </si>
  <si>
    <t>40-000000-4800001272-FHD-ARC-MAT-000035</t>
  </si>
  <si>
    <t>40-000000-4800001272-FHD-ARC-CRS-000035</t>
  </si>
  <si>
    <t>FHD-TRANSMIT-003656</t>
  </si>
  <si>
    <t>4800001272-FHD-CG - Material Submittal for Gypsum Boards By Unitech (MADA)</t>
  </si>
  <si>
    <t>4800001272-FHD-CG - Inspection And Test Plan For Installation of High Mast And Street Lighting Pole</t>
  </si>
  <si>
    <t>40-100008-4800001272-FHD-ELE-ITP-000001</t>
  </si>
  <si>
    <t>40-100008-4800001272-FHD-ELE-CRS-000004</t>
  </si>
  <si>
    <t>FHD-TRANSMIT-003662</t>
  </si>
  <si>
    <t>WF-015962</t>
  </si>
  <si>
    <t>WF-015967</t>
  </si>
  <si>
    <t>40-000000-4800001272-FHD-ARC-MAT-000036</t>
  </si>
  <si>
    <t>40-000000-4800001272-FHD-ARC-CRS-000036</t>
  </si>
  <si>
    <t>FHD-TRANSMIT-003671</t>
  </si>
  <si>
    <t>4800001272-FHD-CG - Material Submittal for Aluminum ceiling tiles and Mineral fiber ceiling tiles By Jawda</t>
  </si>
  <si>
    <t>40-000000-4800001272-FHD-ARC-MAT-000037</t>
  </si>
  <si>
    <t>40-000000-4800001272-FHD-ARC-CRS-000037</t>
  </si>
  <si>
    <t>4800001272-FHD-CG - Material Submittal for Acoustic metal ceiling Firecode Sonata Healthcare by USG ME</t>
  </si>
  <si>
    <t>FHD-TRANSMIT-003672</t>
  </si>
  <si>
    <t>40-730007-4800001272-FHD-ARC-PQD-000025</t>
  </si>
  <si>
    <t>40-730007-4800001272-FHD-ARC-CRS-000094</t>
  </si>
  <si>
    <t>FHD-TRANSMIT-003675</t>
  </si>
  <si>
    <t>WF-016038</t>
  </si>
  <si>
    <t>WF-016039</t>
  </si>
  <si>
    <t>WF-016044</t>
  </si>
  <si>
    <t>40-000000-4800001272-FHD-CIV-MAT-000016</t>
  </si>
  <si>
    <t>40-000000-4800001272-FHD-CIV-CRS-000016</t>
  </si>
  <si>
    <t>4800001272-FHD-CG - Material Submittal for SikaEmaco®-8100 AP for Protection of steel rebars By Sika</t>
  </si>
  <si>
    <t>FHD-TRANSMIT-003680</t>
  </si>
  <si>
    <t>FHD-TRANSMIT-003681</t>
  </si>
  <si>
    <t>FHD-TRANSMIT-003683</t>
  </si>
  <si>
    <t>40-000000-4800001272-FHD-ARC-MAT-000038</t>
  </si>
  <si>
    <t>40-000000-4800001272-FHD-ARC-CRS-000038</t>
  </si>
  <si>
    <t>4800001272-FHD-CG - Material Submittal for Corrugated Aluminum Cladding By LAVENCO Company</t>
  </si>
  <si>
    <t>FHD-TRANSMIT-003689</t>
  </si>
  <si>
    <t>FHD-TRANSMIT-003690</t>
  </si>
  <si>
    <t>40-000000-4800001272-FHD-ARC-CRS-000039</t>
  </si>
  <si>
    <t>40-000000-4800001272-FHD-ARC-MAT-000039</t>
  </si>
  <si>
    <t>FHD-TRANSMIT-003691</t>
  </si>
  <si>
    <t>40-000000-4800001272-FHD-MEC-CRS-000025</t>
  </si>
  <si>
    <t>40-000000-4800001272-FHD-MEC-MAT-000025</t>
  </si>
  <si>
    <t>4800001272-FHD-CG - Material Submittal for Link-seal By Tysseer Services Trading (psi)</t>
  </si>
  <si>
    <t>FHD-TRANSMIT-003694</t>
  </si>
  <si>
    <t>40-000000-4800001272-FHD-STR-MAT-000002</t>
  </si>
  <si>
    <t>40-000000-4800001272-FHD-STR-CRS-000002</t>
  </si>
  <si>
    <t>FHD-TRANSMIT-003701</t>
  </si>
  <si>
    <t>40-000000-4800001272-FHD-CIV-MAT-000017</t>
  </si>
  <si>
    <t>40-000000-4800001272-FHD-CIV-CRS-000017</t>
  </si>
  <si>
    <t>FHD-TRANSMIT-003704</t>
  </si>
  <si>
    <t>40-000000-4800001272-FHD-CIV-CRS-000018</t>
  </si>
  <si>
    <t>40-000000-4800001272-FHD-CIV-MAT-000018</t>
  </si>
  <si>
    <t>FHD-TRANSMIT-003705</t>
  </si>
  <si>
    <t>WF-016145</t>
  </si>
  <si>
    <t>WF-016146</t>
  </si>
  <si>
    <t>WF-016149</t>
  </si>
  <si>
    <t>WF-015963</t>
  </si>
  <si>
    <t>WF-016191</t>
  </si>
  <si>
    <t>WF-016192</t>
  </si>
  <si>
    <t>4800001272-FHD-CG - Material Submittal for Insulation Fastener By LAVENCO Company (HILTI)</t>
  </si>
  <si>
    <t>WF-016193</t>
  </si>
  <si>
    <t>FHD-TRANSMIT-003699</t>
  </si>
  <si>
    <t>WF-016194</t>
  </si>
  <si>
    <t>WF-016197</t>
  </si>
  <si>
    <t>WF-016242</t>
  </si>
  <si>
    <t>WF-016244</t>
  </si>
  <si>
    <t>FHD-TRANSMIT-003707</t>
  </si>
  <si>
    <t>FHD-TRANSMIT-003708</t>
  </si>
  <si>
    <t>40-000000-4800001272-FHD-MEC-MAT-000026</t>
  </si>
  <si>
    <t>40-000000-4800001272-FHD-MEC-CRS-000026</t>
  </si>
  <si>
    <t>4800001272-FHD-CG - Material Submittal for Gasket for Chilled Water Pipe by Alsayed Center.</t>
  </si>
  <si>
    <t>FHD-TRANSMIT-003710</t>
  </si>
  <si>
    <t>FHD-TRANSMIT-003716</t>
  </si>
  <si>
    <t>FHD-TRANSMIT-003720</t>
  </si>
  <si>
    <t>WF-016261</t>
  </si>
  <si>
    <t>WF-016275</t>
  </si>
  <si>
    <t>WF-016278</t>
  </si>
  <si>
    <t>WF-016279</t>
  </si>
  <si>
    <t>WF-016280</t>
  </si>
  <si>
    <t>FHD-TRANSMIT-003722</t>
  </si>
  <si>
    <t>NEOM-TRANSMIT-000737</t>
  </si>
  <si>
    <t>4800001272-FHD-CG - Material Submittal for Two part polysulphide Sealent for road joints and backing rod by Unitech-ANCHOR L.L.C.</t>
  </si>
  <si>
    <t>40-000000-4800001272-FHD-CIV-CRS-000019</t>
  </si>
  <si>
    <t>40-000000-4800001272-FHD-CIV-MAT-000019</t>
  </si>
  <si>
    <t>FHD-TRANSMIT-003724</t>
  </si>
  <si>
    <t>FHD-TRANSMIT-003726</t>
  </si>
  <si>
    <t>40-000000-4800001272-FHD-ELE-CRS-000008</t>
  </si>
  <si>
    <t>40-000000-4800001272-FHD-ELE-MAT-000008</t>
  </si>
  <si>
    <t>FHD-TRANSMIT-003727</t>
  </si>
  <si>
    <t>40-730007-4800001272-FHD-MEC-ITP-000018</t>
  </si>
  <si>
    <t>40-730007-4800001272-FHD-MEC-CRS-000274</t>
  </si>
  <si>
    <t>40-730007-4800001272-FHD-MEC-ITP-000019</t>
  </si>
  <si>
    <t>4800001272-FHD-CG - Vendor Inspection and Test Plan for Over-Head Crane by Saudi Cranes Co.</t>
  </si>
  <si>
    <t>FHD-TRANSMIT-003734</t>
  </si>
  <si>
    <t>FHD-TRANSMIT-003735</t>
  </si>
  <si>
    <t>WF-016309</t>
  </si>
  <si>
    <t>WF-016310</t>
  </si>
  <si>
    <t>WF-016312</t>
  </si>
  <si>
    <t>FHD-TRANSMIT-003738</t>
  </si>
  <si>
    <t>WF-016376</t>
  </si>
  <si>
    <t>WF-016377</t>
  </si>
  <si>
    <t>WF-016379</t>
  </si>
  <si>
    <t>WF-016381</t>
  </si>
  <si>
    <t xml:space="preserve">WF-015964 </t>
  </si>
  <si>
    <t>FHD-TRANSMIT-003743</t>
  </si>
  <si>
    <t>WF-016423</t>
  </si>
  <si>
    <t>FHD-TRANSMIT-003752</t>
  </si>
  <si>
    <t>FHD-TRANSMIT-003753</t>
  </si>
  <si>
    <t>4800001272-FHD-CG - Prequalification Documents for Hilti Saudi Arabia (Supplier) - Fitting Access hatches (Anchor Bolts)</t>
  </si>
  <si>
    <t>WF-016500</t>
  </si>
  <si>
    <t>WF-016502</t>
  </si>
  <si>
    <t>FHD-TRANSMIT-003759</t>
  </si>
  <si>
    <t>4800001272-FHD-CG - Method Statement for Installation Additional Reinforcement in the Columns</t>
  </si>
  <si>
    <t>FHD-TRANSMIT-003763</t>
  </si>
  <si>
    <t xml:space="preserve">WF-015965 </t>
  </si>
  <si>
    <t>40-100008-4800001272-FHD-ELE-MST-000002</t>
  </si>
  <si>
    <t>40-100008-4800001272-FHD-ELE-MST-000003</t>
  </si>
  <si>
    <t>40-100008-4800001272-FHD-ELE-CRS-000006</t>
  </si>
  <si>
    <t>40-100008-4800001272-FHD-ELE-CRS-000007</t>
  </si>
  <si>
    <t>4800001272-FHD-CG - Method Statement for Installation of Diesel Generator</t>
  </si>
  <si>
    <t>4800001272-FHD-CG - Method Statement for Installation of BMS System</t>
  </si>
  <si>
    <t>FHD-TRANSMIT-003765</t>
  </si>
  <si>
    <t>FHD-TRANSMIT-003764</t>
  </si>
  <si>
    <t>FHD-TRANSMIT-003767</t>
  </si>
  <si>
    <t>FHD-TRANSMIT-003768</t>
  </si>
  <si>
    <t>FHD-TRANSMIT-003774</t>
  </si>
  <si>
    <t>FHD-TRANSMIT-003770</t>
  </si>
  <si>
    <t>FHD-TRANSMIT-003771</t>
  </si>
  <si>
    <t>FHD-TRANSMIT-003772</t>
  </si>
  <si>
    <t>FHD-TRANSMIT-003773</t>
  </si>
  <si>
    <t>WF-016546</t>
  </si>
  <si>
    <t>FHD-TRANSMIT-003775</t>
  </si>
  <si>
    <t>FHD-TRANSMIT-003777</t>
  </si>
  <si>
    <t>FHD-TRANSMIT-003778</t>
  </si>
  <si>
    <t>FHD-TRANSMIT-003780</t>
  </si>
  <si>
    <t>FHD-TRANSMIT-003781</t>
  </si>
  <si>
    <t>FHD-TRANSMIT-003782</t>
  </si>
  <si>
    <t>FHD-TRANSMIT-003783</t>
  </si>
  <si>
    <t>4800001272-FHD-CG - Prequalification Documents for Al-Rafad Co. for the Supply of Metal Works</t>
  </si>
  <si>
    <t>40-730007-4800001272-FHD-ARC-PQD-000026</t>
  </si>
  <si>
    <t>40-730007-4800001272-FHD-ARC-CRS-000095</t>
  </si>
  <si>
    <t>FHD-TRANSMIT-003785</t>
  </si>
  <si>
    <t>4800001272-FHD-CG-Material Submittal for Plastering Accessories (C Chanel) By Unitech for Building &amp; Construction Materials</t>
  </si>
  <si>
    <t>WF-016608</t>
  </si>
  <si>
    <t>WF-016609</t>
  </si>
  <si>
    <t>WF-016610</t>
  </si>
  <si>
    <t>WF-016611</t>
  </si>
  <si>
    <t>WF-016612</t>
  </si>
  <si>
    <t>WF-016613</t>
  </si>
  <si>
    <t>WF-016614</t>
  </si>
  <si>
    <t>WF-016617</t>
  </si>
  <si>
    <t>WF-016621</t>
  </si>
  <si>
    <t>WF-016622</t>
  </si>
  <si>
    <t>WF-016623</t>
  </si>
  <si>
    <t>WF-016624</t>
  </si>
  <si>
    <t>WF-016625</t>
  </si>
  <si>
    <t>WF-016626</t>
  </si>
  <si>
    <t>WF-016627</t>
  </si>
  <si>
    <t>WF-016628</t>
  </si>
  <si>
    <t>WF-016629</t>
  </si>
  <si>
    <t>WF-016632</t>
  </si>
  <si>
    <t>WF-016633</t>
  </si>
  <si>
    <t>FHD-TRANSMIT-003791</t>
  </si>
  <si>
    <t>FHD-TRANSMIT-003795</t>
  </si>
  <si>
    <t>FHD-TRANSMIT-003794</t>
  </si>
  <si>
    <t>FHD-TRANSMIT-003796</t>
  </si>
  <si>
    <t>FHD-TRANSMIT-003797</t>
  </si>
  <si>
    <t>40-730007-4800001272-FHD-ARC-CRS-000092</t>
  </si>
  <si>
    <t>FHD-TRANSMIT-003798</t>
  </si>
  <si>
    <t>FHD-TRANSMIT-003799</t>
  </si>
  <si>
    <t>FHD-TRANSMIT-003800</t>
  </si>
  <si>
    <t>FHD-TRANSMIT-003801</t>
  </si>
  <si>
    <t>FHD-TRANSMIT-003802</t>
  </si>
  <si>
    <t>FHD-TRANSMIT-003803</t>
  </si>
  <si>
    <t>FHD-TRANSMIT-003804</t>
  </si>
  <si>
    <t>NEOM-TRANSMIT-000762</t>
  </si>
  <si>
    <t>WF-016730</t>
  </si>
  <si>
    <t>WF-016731</t>
  </si>
  <si>
    <t>WF-016732</t>
  </si>
  <si>
    <t>WF-016734</t>
  </si>
  <si>
    <t>WF-016735</t>
  </si>
  <si>
    <t>WF-016736</t>
  </si>
  <si>
    <t>40-100008-4800001272-FHD-ELE-MST-000004</t>
  </si>
  <si>
    <t>40-100008-4800001272-FHD-ELE-MST-000005</t>
  </si>
  <si>
    <t>40-100008-4800001272-FHD-ELE-MST-000006</t>
  </si>
  <si>
    <t>40-100008-4800001272-FHD-ELE-CRS-000008</t>
  </si>
  <si>
    <t>4800001272-FHD-CG - Method Statement for Installation of LV Power Distribution Panel Boards (MDB, SMDB, DP, MCC, Feeder Pillar, Power Panel, Lighting Panel)</t>
  </si>
  <si>
    <t>FHD-TRANSMIT-003807</t>
  </si>
  <si>
    <t>40-100008-4800001272-FHD-ELE-CRS-000009</t>
  </si>
  <si>
    <t>4800001272-FHD-CG - Method Statement for Installation of CCTV &amp; WIFI System</t>
  </si>
  <si>
    <t>FHD-TRANSMIT-003808</t>
  </si>
  <si>
    <t>40-100008-4800001272-FHD-ELE-CRS-000010</t>
  </si>
  <si>
    <t>FHD-TRANSMIT-003809</t>
  </si>
  <si>
    <t>4800001272-FHD-CG - Vendor FAT Inspection and Test Plan for Air Valve at Manufacturer Facility (Rvk Ramadan Shat Factory)</t>
  </si>
  <si>
    <t>FHD-TRANSMIT-003813</t>
  </si>
  <si>
    <t>40-310002-4800001272-FHD-ELV-CRS-000003</t>
  </si>
  <si>
    <t>40-310002-4800001272-FHD-ELV-ITP-000001</t>
  </si>
  <si>
    <t>FHD-TRANSMIT-003815</t>
  </si>
  <si>
    <t>40-310002-4800001272-FHD-ELV-CRS-000004</t>
  </si>
  <si>
    <t>40-310002-4800001272-FHD-ELV-MST-000001</t>
  </si>
  <si>
    <t>4800001272-FHD-CG - Method Statement for Installation of Fire Alarm System</t>
  </si>
  <si>
    <t>FHD-TRANSMIT-003820</t>
  </si>
  <si>
    <t>FHD-TRANSMIT-003825</t>
  </si>
  <si>
    <t>FHD-TRANSMIT-003810</t>
  </si>
  <si>
    <t>FHD-TRANSMIT-003811</t>
  </si>
  <si>
    <t>FHD-TRANSMIT-003812</t>
  </si>
  <si>
    <t>FHD-TRANSMIT-003814</t>
  </si>
  <si>
    <t>FHD-TRANSMIT-003834</t>
  </si>
  <si>
    <t>FHD-TRANSMIT-003816</t>
  </si>
  <si>
    <t>FHD-TRANSMIT-003817</t>
  </si>
  <si>
    <t>FHD-TRANSMIT-003818</t>
  </si>
  <si>
    <t>FHD-TRANSMIT-003819</t>
  </si>
  <si>
    <t>FHD-TRANSMIT-003821</t>
  </si>
  <si>
    <t>FHD-TRANSMIT-003822</t>
  </si>
  <si>
    <t>FHD-TRANSMIT-003824</t>
  </si>
  <si>
    <t>FHD-TRANSMIT-003831</t>
  </si>
  <si>
    <t>FHD-TRANSMIT-003829</t>
  </si>
  <si>
    <t>FHD-TRANSMIT-003830</t>
  </si>
  <si>
    <t>FHD-TRANSMIT-003832</t>
  </si>
  <si>
    <t>FHD-TRANSMIT-003835</t>
  </si>
  <si>
    <t>FHD-TRANSMIT-003838</t>
  </si>
  <si>
    <t>WF-016792</t>
  </si>
  <si>
    <t>WF-016795</t>
  </si>
  <si>
    <t>WF-016797</t>
  </si>
  <si>
    <t>WF-016800</t>
  </si>
  <si>
    <t>WF-016802</t>
  </si>
  <si>
    <t>WF-016803</t>
  </si>
  <si>
    <t>WF-016804</t>
  </si>
  <si>
    <t>WF-016807</t>
  </si>
  <si>
    <t>WF-016808</t>
  </si>
  <si>
    <t>WF-016809</t>
  </si>
  <si>
    <t>WF-016810</t>
  </si>
  <si>
    <t>WF-016811</t>
  </si>
  <si>
    <t>WF-016812</t>
  </si>
  <si>
    <t>WF-016813</t>
  </si>
  <si>
    <t>WF-016814</t>
  </si>
  <si>
    <t>WF-016815</t>
  </si>
  <si>
    <t>WF-016816</t>
  </si>
  <si>
    <t>WF-016817</t>
  </si>
  <si>
    <t>WF-016818</t>
  </si>
  <si>
    <t>40-100008-4800001272-FHD-CIV-MST-000007</t>
  </si>
  <si>
    <t>4800001272-FHD-CG - Method Statement for Concrete Pavement Works</t>
  </si>
  <si>
    <t>40-100008-4800001272-FHD-CIV-CRS-000013</t>
  </si>
  <si>
    <t>WF-016819</t>
  </si>
  <si>
    <t>FHD-TRANSMIT-003823</t>
  </si>
  <si>
    <t>WF-016820</t>
  </si>
  <si>
    <t>WF-016821</t>
  </si>
  <si>
    <t>WF-016823</t>
  </si>
  <si>
    <t>WF-016824</t>
  </si>
  <si>
    <t>WF-016825</t>
  </si>
  <si>
    <t>WF-016826</t>
  </si>
  <si>
    <t>WF-016827</t>
  </si>
  <si>
    <t>WF-016828</t>
  </si>
  <si>
    <t>WF-016829</t>
  </si>
  <si>
    <t>WF-016830</t>
  </si>
  <si>
    <t>WF-016832</t>
  </si>
  <si>
    <t>40-310002-4800001272-FHD-STR-CRS-000019</t>
  </si>
  <si>
    <t>40-310002-4800001272-FHD-STR-MST-000003</t>
  </si>
  <si>
    <t>4800001272-FHD-CG - Method Statement for Crack Injection Works for the First-Floor Slab at the Main Building</t>
  </si>
  <si>
    <t>FHD-TRANSMIT-003844</t>
  </si>
  <si>
    <t>WF-016897</t>
  </si>
  <si>
    <t>WF-016899</t>
  </si>
  <si>
    <t>FHD-TRANSMIT-003845</t>
  </si>
  <si>
    <t>40-100008-4800001272-FHD-STR-ITP-000001</t>
  </si>
  <si>
    <t>40-100008-4800001272-FHD-STR-CRS-000013</t>
  </si>
  <si>
    <t>4800001272-FHD-CG - Inspection and Test Plan for Crack Injection Works at First Floor Slab</t>
  </si>
  <si>
    <t>FHD-TRANSMIT-003849</t>
  </si>
  <si>
    <t>FHD-TRANSMIT-003852</t>
  </si>
  <si>
    <t>WF-016923</t>
  </si>
  <si>
    <t>40-100008-4800001272-FHD-CIV-ITP-000002</t>
  </si>
  <si>
    <t>4800001272-FHD-CG - Inspection and Test Plan for Concrete Pavement Works</t>
  </si>
  <si>
    <t>40-100008-4800001272-FHD-CIV-CRS-000015</t>
  </si>
  <si>
    <t>FHD-TRANSMIT-003854</t>
  </si>
  <si>
    <t>WF-016943</t>
  </si>
  <si>
    <t>WF-016946</t>
  </si>
  <si>
    <t>WF-016947</t>
  </si>
  <si>
    <t>40-000000-4800001272-FHD-STR-MAT-000003</t>
  </si>
  <si>
    <t>40-000000-4800001272-FHD-STR-CRS-000003</t>
  </si>
  <si>
    <t>FHD-TRANSMIT-003865</t>
  </si>
  <si>
    <t>4800001272-FHD-CG- Material Submittal for Mechanical bolts for GRP Access hatch and access ladder by Masdar</t>
  </si>
  <si>
    <t>40-730007-4800001272-FHD-MEC-PQD-000088</t>
  </si>
  <si>
    <t>40-730007-4800001272-FHD-MEC-CRS-000276</t>
  </si>
  <si>
    <t>4800001272-FHD-CG - Prequalification Document for Super Iron Foundry Co. for the Supply of Manholes Cover</t>
  </si>
  <si>
    <t>FHD-TRANSMIT-003870</t>
  </si>
  <si>
    <t>WF-017028</t>
  </si>
  <si>
    <t>WF-017030</t>
  </si>
  <si>
    <t>FHD-TRANSMIT-003878</t>
  </si>
  <si>
    <t>FHD-TRANSMIT-003880</t>
  </si>
  <si>
    <t>FHD-TRANSMIT-003882</t>
  </si>
  <si>
    <t>FHD-TRANSMIT-003876</t>
  </si>
  <si>
    <t>40-730007-4800001272-FHD-GEO-MST-000002</t>
  </si>
  <si>
    <t>4800001272-FHD-CG - Vendor FAT Inspection and Test Plan for Dismantling Joint and Fittings at Manufacturer Facility (Rvk Ramadan Shat Factory)</t>
  </si>
  <si>
    <t>FHD-TRANSMIT-003888</t>
  </si>
  <si>
    <t>4800001272-FHD-CG - Material Submittal for Electrical Panel for Sump Pump by El-Mawraqi (GRUNDFOS)</t>
  </si>
  <si>
    <t>40-310002-4800001272-FHD-STR-MST-000004</t>
  </si>
  <si>
    <t>40-310002-4800001272-FHD-STR-CRS-000020</t>
  </si>
  <si>
    <t>4800001272-FHD-CG - Method Statement for Torque Testing</t>
  </si>
  <si>
    <t>FHD-TRANSMIT-003890</t>
  </si>
  <si>
    <t>WF-017155</t>
  </si>
  <si>
    <t>FHD-TRANSMIT-003895</t>
  </si>
  <si>
    <t>40-000000-4800001272-FHD-ARC-MAT-000040</t>
  </si>
  <si>
    <t>FHD-TRANSMIT-003897</t>
  </si>
  <si>
    <t>40-000000-4800001272-FHD-ARC-CRS-000040</t>
  </si>
  <si>
    <t>4800001272-FHD-CG - Material Submittal for Flagpole and stairs By A-Rafad</t>
  </si>
  <si>
    <t>WF-017199</t>
  </si>
  <si>
    <t>40-730007-4800001272-FHD-MEC-PQD-000089</t>
  </si>
  <si>
    <t>40-730007-4800001272-FHD-MEC-CRS-000277</t>
  </si>
  <si>
    <t>4800001272-FHD-CG - Prequalification Document for Al-Wasail Co. for the Supply of LDPE Pipes and Fittings.</t>
  </si>
  <si>
    <t>FHD-TRANSMIT-003901</t>
  </si>
  <si>
    <t>FHD-TRANSMIT-003900</t>
  </si>
  <si>
    <t>FHD-TRANSMIT-003905</t>
  </si>
  <si>
    <t>WF-017255</t>
  </si>
  <si>
    <t>WF-017256</t>
  </si>
  <si>
    <t>WF-017258</t>
  </si>
  <si>
    <t>WF-017259</t>
  </si>
  <si>
    <t>WF-017260</t>
  </si>
  <si>
    <t>FHD-TRANSMIT-003784</t>
  </si>
  <si>
    <t>40-310002-4800001272-FHD-ARC-CRS-000026</t>
  </si>
  <si>
    <t>40-310002-4800001272-FHD-ARC-MST-000013</t>
  </si>
  <si>
    <t>4800001272-FHD-CG - Method Statement for Facade Insulation Works</t>
  </si>
  <si>
    <t>FHD-TRANSMIT-003911</t>
  </si>
  <si>
    <t>FHD-TRANSMIT-003913</t>
  </si>
  <si>
    <t>FHD-TRANSMIT-003914</t>
  </si>
  <si>
    <t>40-000000-4800001272-FHD-ARC-MAT-000041</t>
  </si>
  <si>
    <t>40-000000-4800001272-FHD-ARC-CRS-000041</t>
  </si>
  <si>
    <t>WF-017313</t>
  </si>
  <si>
    <t>WF-017315</t>
  </si>
  <si>
    <t>WF-017318</t>
  </si>
  <si>
    <t>40-730007-4800001272-FHD-MEC-CRS-000278</t>
  </si>
  <si>
    <t>40-730007-4800001272-FHD-MEC-PQD-000090</t>
  </si>
  <si>
    <t>4800001272-FHD-CG - Prequalification Document for Emaar Pole Co. for the Supply of Link Seals</t>
  </si>
  <si>
    <t>FHD-TRANSMIT-003922</t>
  </si>
  <si>
    <t>FHD-TRANSMIT-003925</t>
  </si>
  <si>
    <t>FHD-TRANSMIT-003926</t>
  </si>
  <si>
    <t>WF-017347</t>
  </si>
  <si>
    <t>WF-017348</t>
  </si>
  <si>
    <t>WF-017353</t>
  </si>
  <si>
    <t>4800001272-FHD-CG - Prequalification Document for TTE Co. for the Supply of Seismic Support Material</t>
  </si>
  <si>
    <t>40-730007-4800001272-FHD-MEC-PQD-000091</t>
  </si>
  <si>
    <t>40-730007-4800001272-FHD-MEC-CRS-000279</t>
  </si>
  <si>
    <t>FHD-TRANSMIT-003933</t>
  </si>
  <si>
    <t>FHD-TRANSMIT-003934</t>
  </si>
  <si>
    <t>WF-017398</t>
  </si>
  <si>
    <t>WF-017400</t>
  </si>
  <si>
    <t>4800001272-FHD-CG - Material Submittal for Acoustic wooden ceiling cladding By Alsawaed</t>
  </si>
  <si>
    <t>40-000000-4800001272-FHD-ARC-CRS-000042</t>
  </si>
  <si>
    <t>40-000000-4800001272-FHD-ARC-MAT-000042</t>
  </si>
  <si>
    <t>FHD-TRANSMIT-003942</t>
  </si>
  <si>
    <t>WF-017428</t>
  </si>
  <si>
    <t>FHD-TRANSMIT-003948</t>
  </si>
  <si>
    <t>40-000000-4800001272-FHD-ARC-MAT-000043</t>
  </si>
  <si>
    <t>40-000000-4800001272-FHD-ARC-CRS-000043</t>
  </si>
  <si>
    <t>4800001272-FHD-CG - Material Submittal for Rubber floor tile for GYM By Al-Rafad</t>
  </si>
  <si>
    <t>FHD-TRANSMIT-003949</t>
  </si>
  <si>
    <t>FHD-TRANSMIT-003950</t>
  </si>
  <si>
    <t>WF-017459</t>
  </si>
  <si>
    <t>WF-017461</t>
  </si>
  <si>
    <t>WF-017462</t>
  </si>
  <si>
    <t>FHD-TRANSMIT-003954</t>
  </si>
  <si>
    <t>FHD-TRANSMIT-003956</t>
  </si>
  <si>
    <t>FHD-TRANSMIT-003957</t>
  </si>
  <si>
    <t>FHD-TRANSMIT-003959</t>
  </si>
  <si>
    <t>WF-017479</t>
  </si>
  <si>
    <t>WF-017499</t>
  </si>
  <si>
    <t>WF-017501</t>
  </si>
  <si>
    <t>FHD-TRANSMIT-003968</t>
  </si>
  <si>
    <t>FHD-TRANSMIT-003962</t>
  </si>
  <si>
    <t>FHD-TRANSMIT-003964</t>
  </si>
  <si>
    <t>FHD-TRANSMIT-003965</t>
  </si>
  <si>
    <t>WF-017522</t>
  </si>
  <si>
    <t>WF-017523</t>
  </si>
  <si>
    <t>FHD-TRANSMIT-003969</t>
  </si>
  <si>
    <t>WF-017546</t>
  </si>
  <si>
    <t>WF-017547</t>
  </si>
  <si>
    <t>WF-017548</t>
  </si>
  <si>
    <t>WF-017551</t>
  </si>
  <si>
    <t>FHD-TRANSMIT-003973</t>
  </si>
  <si>
    <t>FHD-TRANSMIT-003974</t>
  </si>
  <si>
    <t>40-000000-4800001272-FHD-ARC-MAT-000044</t>
  </si>
  <si>
    <t>40-000000-4800001272-FHD-ARC-CRS-000044</t>
  </si>
  <si>
    <t>4800001272-FHD-CG - Material Submittal for BLAST RESISTANT GLASS BY LAVENCO</t>
  </si>
  <si>
    <t>FHD-TRANSMIT-003983</t>
  </si>
  <si>
    <t>WF-017573</t>
  </si>
  <si>
    <t>WF-017578</t>
  </si>
  <si>
    <t>FHD-TRANSMIT-003989</t>
  </si>
  <si>
    <t>FHD-TRANSMIT-003991</t>
  </si>
  <si>
    <t>FHD-TRANSMIT-003993</t>
  </si>
  <si>
    <t>WF-017644</t>
  </si>
  <si>
    <t>WF-017645</t>
  </si>
  <si>
    <t>WF-017646</t>
  </si>
  <si>
    <t>FHD-TRANSMIT-003998</t>
  </si>
  <si>
    <t>FHD-TRANSMIT-004000</t>
  </si>
  <si>
    <t>FHD-TRANSMIT-003999</t>
  </si>
  <si>
    <t>FHD-TRANSMIT-004001</t>
  </si>
  <si>
    <t>FHD-TRANSMIT-004002</t>
  </si>
  <si>
    <t>FHD-TRANSMIT-004003</t>
  </si>
  <si>
    <t>Terminate</t>
  </si>
  <si>
    <t>For Review &amp; Approval</t>
  </si>
  <si>
    <t>STR - MAT</t>
  </si>
  <si>
    <t>ELE - MAT</t>
  </si>
  <si>
    <t>ARC- MAT</t>
  </si>
  <si>
    <t>MEC- MAT</t>
  </si>
  <si>
    <t>SEC- MAT</t>
  </si>
  <si>
    <t>Total - Documents</t>
  </si>
  <si>
    <t>FHD-TRANSMIT-004006</t>
  </si>
  <si>
    <t>FHD-TRANSMIT-004007</t>
  </si>
  <si>
    <t>FHD-TRANSMIT-004005</t>
  </si>
  <si>
    <t>WF-017684</t>
  </si>
  <si>
    <t>WF-017685</t>
  </si>
  <si>
    <t>WF-017686</t>
  </si>
  <si>
    <t>WF-017687</t>
  </si>
  <si>
    <t>WF-017689</t>
  </si>
  <si>
    <t>WF-017690</t>
  </si>
  <si>
    <t>WF-017691</t>
  </si>
  <si>
    <t>WF-017692</t>
  </si>
  <si>
    <t>WF-017693</t>
  </si>
  <si>
    <t>FPR - MAT</t>
  </si>
  <si>
    <t>ICT - MAT</t>
  </si>
  <si>
    <t>LAN - MAT</t>
  </si>
  <si>
    <t>ELV - MAT</t>
  </si>
  <si>
    <t>CIV - PQD</t>
  </si>
  <si>
    <t>ELE - PQD</t>
  </si>
  <si>
    <t>MEC - PQD</t>
  </si>
  <si>
    <r>
      <rPr>
        <b/>
        <sz val="16"/>
        <rFont val="Calibri"/>
        <family val="2"/>
        <scheme val="minor"/>
      </rPr>
      <t xml:space="preserve">Approved % Code A, </t>
    </r>
    <r>
      <rPr>
        <b/>
        <sz val="16"/>
        <color rgb="FFFFFF00"/>
        <rFont val="Calibri"/>
        <family val="2"/>
        <scheme val="minor"/>
      </rPr>
      <t>B</t>
    </r>
    <r>
      <rPr>
        <b/>
        <sz val="16"/>
        <rFont val="Calibri"/>
        <family val="2"/>
        <scheme val="minor"/>
      </rPr>
      <t xml:space="preserve"> &amp; E</t>
    </r>
  </si>
  <si>
    <t>Date:</t>
  </si>
  <si>
    <t>STR - PQD</t>
  </si>
  <si>
    <t>ARC - PQD</t>
  </si>
  <si>
    <t>FLS - PQD</t>
  </si>
  <si>
    <t>SEC - PQD</t>
  </si>
  <si>
    <t>SUS - PQD</t>
  </si>
  <si>
    <t>FHD-TRANSMIT-004010</t>
  </si>
  <si>
    <t>CIV - MST</t>
  </si>
  <si>
    <t>FHD-TRANSMIT-004022</t>
  </si>
  <si>
    <t>4800001272-FHD-CG - Material Submittal for Seismic support by TTE Company</t>
  </si>
  <si>
    <t>40-000000-4800001272-FHD-MEC-CRS-000027</t>
  </si>
  <si>
    <t>40-000000-4800001272-FHD-MEC-MAT-000027</t>
  </si>
  <si>
    <t>FHD-TRANSMIT-004023</t>
  </si>
  <si>
    <t>FHD-TRANSMIT-004030</t>
  </si>
  <si>
    <t>WF-017736</t>
  </si>
  <si>
    <t>WF-017739</t>
  </si>
  <si>
    <t>WF-017740</t>
  </si>
  <si>
    <t>SRV - MST</t>
  </si>
  <si>
    <t>ARC- MST</t>
  </si>
  <si>
    <t>MEC - MST</t>
  </si>
  <si>
    <t>ELE - MST</t>
  </si>
  <si>
    <t>ELV - MST</t>
  </si>
  <si>
    <t xml:space="preserve">INF - MST </t>
  </si>
  <si>
    <t>STR - MST</t>
  </si>
  <si>
    <t>GEO - MST</t>
  </si>
  <si>
    <t>CON - MST</t>
  </si>
  <si>
    <t>HSE - MST</t>
  </si>
  <si>
    <t>FHD-TRANSMIT-004031</t>
  </si>
  <si>
    <t>40-000000-4800001272-FHD-ARC-CRS-000045</t>
  </si>
  <si>
    <t>40-000000-4800001272-FHD-ARC-MAT-000045</t>
  </si>
  <si>
    <t>WF-017754</t>
  </si>
  <si>
    <t>WF-017784</t>
  </si>
  <si>
    <t>FHD-TRANSMIT-004033</t>
  </si>
  <si>
    <t>WF-017785</t>
  </si>
  <si>
    <t>WF-017786</t>
  </si>
  <si>
    <t>CIV - ITP</t>
  </si>
  <si>
    <t>STR - ITP</t>
  </si>
  <si>
    <t xml:space="preserve">ARC - ITP </t>
  </si>
  <si>
    <t>SRV - ITP</t>
  </si>
  <si>
    <t>INF - ITP</t>
  </si>
  <si>
    <t>MEC - ITP</t>
  </si>
  <si>
    <t>ELE - ITP</t>
  </si>
  <si>
    <t>ELV - ITP</t>
  </si>
  <si>
    <t>FAS - ITP</t>
  </si>
  <si>
    <t>Overall - Documents</t>
  </si>
  <si>
    <t>FHD-TRANSMIT-004037</t>
  </si>
  <si>
    <t>FHD-TRANSMIT-004040</t>
  </si>
  <si>
    <t>WF-017836</t>
  </si>
  <si>
    <t>WF-017838</t>
  </si>
  <si>
    <t>4800001272-FHD-CG - Vendor Inspection and Test Plan for Shear Studd by Swenn Co. (MAANI).</t>
  </si>
  <si>
    <t>40-100008-4800001272-FHD-MEC-CRS-000038</t>
  </si>
  <si>
    <t>40-100008-4800001272-FHD-MEC-ITP-000015</t>
  </si>
  <si>
    <t>FHD-TRANSMIT-004055</t>
  </si>
  <si>
    <t>WF-017943</t>
  </si>
  <si>
    <t>FHD-TRANSMIT-004071</t>
  </si>
  <si>
    <t>4800001272-FHD-CG - Prequalification Documents for Unitech Co. for the Supply of Steel Dowel Bars by SFSP Company.</t>
  </si>
  <si>
    <t>4800001272-FHD-CG - Material Submittal for Flagpole By Al-Rafad</t>
  </si>
  <si>
    <t>40-000000-4800001272-FHD-ARC-MAT-000046</t>
  </si>
  <si>
    <t>40-000000-4800001272-FHD-ARC-CRS-000046</t>
  </si>
  <si>
    <t>FHD-TRANSMIT-004068</t>
  </si>
  <si>
    <t>40-730007-4800001272-FHD-CIV-CRS-000126</t>
  </si>
  <si>
    <t>40-730007-4800001272-FHD-CIV-PQD-000017</t>
  </si>
  <si>
    <t>FHD-TRANSMIT-004072</t>
  </si>
  <si>
    <t>WF-018000</t>
  </si>
  <si>
    <t>40-000000-4800001272-FHD-ARC-MAT-000047</t>
  </si>
  <si>
    <t>40-000000-4800001272-FHD-ARC-CRS-000047</t>
  </si>
  <si>
    <t>4800001272-FHD-CG - Material Submittal for Floor Mat By Plastic Extruders Ltd</t>
  </si>
  <si>
    <t>FHD-TRANSMIT-004073</t>
  </si>
  <si>
    <t>FHD-TRANSMIT-004076</t>
  </si>
  <si>
    <t>WF-018058</t>
  </si>
  <si>
    <t>WF-018059</t>
  </si>
  <si>
    <t>WF-018061</t>
  </si>
  <si>
    <t>FHD-TRANSMIT-004081</t>
  </si>
  <si>
    <t>FHD-TRANSMIT-004082</t>
  </si>
  <si>
    <t>40-000000-4800001272-FHD-STR-MAT-000004</t>
  </si>
  <si>
    <t>40-000000-4800001272-FHD-STR-CRS-000004</t>
  </si>
  <si>
    <t>4800001272-FHD-CG - Material Submittal for Cladding Substructure By LAVENCO</t>
  </si>
  <si>
    <t>FHD-TRANSMIT-004080</t>
  </si>
  <si>
    <t>FHD-TRANSMIT-004086</t>
  </si>
  <si>
    <t>FHD-TRANSMIT-004087</t>
  </si>
  <si>
    <t>WF-018125</t>
  </si>
  <si>
    <t>WF-018127</t>
  </si>
  <si>
    <t>WF-018130</t>
  </si>
  <si>
    <r>
      <t xml:space="preserve">Overall - Inspection and Test Plan </t>
    </r>
    <r>
      <rPr>
        <b/>
        <sz val="18"/>
        <color rgb="FFFF0000"/>
        <rFont val="Wingdings"/>
        <charset val="2"/>
      </rPr>
      <t>é</t>
    </r>
  </si>
  <si>
    <r>
      <t xml:space="preserve">Overall  - Method Statement </t>
    </r>
    <r>
      <rPr>
        <b/>
        <sz val="18"/>
        <color rgb="FFFF0000"/>
        <rFont val="Wingdings"/>
        <charset val="2"/>
      </rPr>
      <t>é</t>
    </r>
  </si>
  <si>
    <r>
      <t xml:space="preserve">Overall - Prequalification Document </t>
    </r>
    <r>
      <rPr>
        <b/>
        <sz val="18"/>
        <color rgb="FFFF0000"/>
        <rFont val="Wingdings"/>
        <charset val="2"/>
      </rPr>
      <t>é</t>
    </r>
  </si>
  <si>
    <r>
      <t xml:space="preserve">Overall - Material Submittals </t>
    </r>
    <r>
      <rPr>
        <b/>
        <sz val="18"/>
        <color rgb="FFFF0000"/>
        <rFont val="Wingdings"/>
        <charset val="2"/>
      </rPr>
      <t>é</t>
    </r>
  </si>
  <si>
    <t>4800001272-FHD-CG - Material Submittal for Primer Paint For Galvanized Decking Sheet By Maani (Hempel)</t>
  </si>
  <si>
    <t>FHD-TRANSMIT-004095</t>
  </si>
  <si>
    <t>WF-018168</t>
  </si>
  <si>
    <t>FHD-TRANSMIT-004102</t>
  </si>
  <si>
    <t>WF-018220</t>
  </si>
  <si>
    <t>WF-018221</t>
  </si>
  <si>
    <t>FHD-TRANSMIT-004113</t>
  </si>
  <si>
    <t>FHD-TRANSMIT-004114</t>
  </si>
  <si>
    <t>FHD-TRANSMIT-004116</t>
  </si>
  <si>
    <t>FHD-TRANSMIT-004123</t>
  </si>
  <si>
    <t>WF-018280</t>
  </si>
  <si>
    <t>WF-018282</t>
  </si>
  <si>
    <t>WF-018284</t>
  </si>
  <si>
    <t>FHD-TRANSMIT-004127</t>
  </si>
  <si>
    <t>4800001272-FHD-CG - Method Statement for Installation of RMU &amp; Dry Type Transformer</t>
  </si>
  <si>
    <t>FHD-TRANSMIT-004126</t>
  </si>
  <si>
    <t>FHD-TRANSMIT-004132</t>
  </si>
  <si>
    <t>40-730007-4800001272-FHD-ELE-ITP-000017</t>
  </si>
  <si>
    <t>4800001272-FHD-CG - Inspection And Test Plan For Installation of Lighting Fixtures</t>
  </si>
  <si>
    <t>40-730007-4800001272-FHD-ELE-CRS-000131</t>
  </si>
  <si>
    <t>4800001272-FHD-CG - Inspection And Test Plan For Installation of RMU &amp; Dry Type Transformer</t>
  </si>
  <si>
    <t>40-730007-4800001272-FHD-ELE-ITP-000018</t>
  </si>
  <si>
    <t>FHD-TRANSMIT-004130</t>
  </si>
  <si>
    <t>40-730007-4800001272-FHD-ELE-CRS-000132</t>
  </si>
  <si>
    <t>FHD-TRANSMIT-004129</t>
  </si>
  <si>
    <t>40-730007-4800001272-FHD-ELE-ITP-000019</t>
  </si>
  <si>
    <t>40-730007-4800001272-FHD-ELE-CRS-000133</t>
  </si>
  <si>
    <t>4800001272-FHD-CG - Inspection And Test Plan For Installation of Diesel Generator</t>
  </si>
  <si>
    <t>FHD-TRANSMIT-004131</t>
  </si>
  <si>
    <t>40-730007-4800001272-FHD-ELE-ITP-000020</t>
  </si>
  <si>
    <t>40-730007-4800001272-FHD-ELE-CRS-000134</t>
  </si>
  <si>
    <t>FHD-TRANSMIT-004134</t>
  </si>
  <si>
    <t>4800001272-FHD-CG - Inspection And Test Plan For Installation of LV Power Distribution Panel Boards (MDB,MCC, SMDB, DP, Feeder Pillar, Power Panel, Lighting Pan</t>
  </si>
  <si>
    <t>WF-018339</t>
  </si>
  <si>
    <t>WF-018340</t>
  </si>
  <si>
    <t>FHD-TRANSMIT-004136</t>
  </si>
  <si>
    <t>40-000000-4800001272-FHD-MEC-MAT-000028</t>
  </si>
  <si>
    <t>40-000000-4800001272-FHD-MEC-CRS-000028</t>
  </si>
  <si>
    <t>4800001272-FHD-CG - Material Submittal for LDPE Pipes , Fittings and Accessories by Warda Gulnar For Trading ( Alwasail co.)</t>
  </si>
  <si>
    <t>FHD-TRANSMIT-004138</t>
  </si>
  <si>
    <t>4800001272-FHD-CG - Inspection and Test Plan for CCTV System</t>
  </si>
  <si>
    <t>40-730007-4800001272-FHD-ELV-ITP-000001</t>
  </si>
  <si>
    <t>40-730007-4800001272-FHD-ELV-CRS-000013</t>
  </si>
  <si>
    <t>WF-018378</t>
  </si>
  <si>
    <t>WF-018415</t>
  </si>
  <si>
    <t>WF-018416</t>
  </si>
  <si>
    <t>WF-018419</t>
  </si>
  <si>
    <t>WF-018420</t>
  </si>
  <si>
    <t>FHD-TRANSMIT-004133</t>
  </si>
  <si>
    <t>WF-018421</t>
  </si>
  <si>
    <t>WF-018422</t>
  </si>
  <si>
    <t>WF-018423</t>
  </si>
  <si>
    <t>WF-018424</t>
  </si>
  <si>
    <t>WF-018425</t>
  </si>
  <si>
    <t>WF-018474</t>
  </si>
  <si>
    <t>40-730007-4800001272-FHD-ELV-ITP-000002</t>
  </si>
  <si>
    <t>40-730007-4800001272-FHD-ELV-CRS-000014</t>
  </si>
  <si>
    <t>4800001272-FHD-CG - Inspection and Test Plan for BMS System</t>
  </si>
  <si>
    <t>FHD-TRANSMIT-004168</t>
  </si>
  <si>
    <t>40-730007-4800001272-FHD-ELE-MST-000006</t>
  </si>
  <si>
    <t>40-730007-4800001272-FHD-ELE-CRS-000135</t>
  </si>
  <si>
    <t>4800001272-FHD-CG - Method Statement for Installation of Lighting System</t>
  </si>
  <si>
    <t>FHD-TRANSMIT-004165</t>
  </si>
  <si>
    <t>FHD-TRANSMIT-004173</t>
  </si>
  <si>
    <t>WF-018516</t>
  </si>
  <si>
    <t>WF-018517</t>
  </si>
  <si>
    <t>FHD-TRANSMIT-004177</t>
  </si>
  <si>
    <t>FHD-TRANSMIT-004176</t>
  </si>
  <si>
    <t>40-730007-4800001272-FHD-ELV-CRS-000015</t>
  </si>
  <si>
    <t>40-730007-4800001272-FHD-ELV-MST-000003</t>
  </si>
  <si>
    <t>FHD-TRANSMIT-004179</t>
  </si>
  <si>
    <t>FHD-TRANSMIT-004184</t>
  </si>
  <si>
    <t>FHD-TRANSMIT-004186</t>
  </si>
  <si>
    <t>FHD-TRANSMIT-004187</t>
  </si>
  <si>
    <t>FHD-TRANSMIT-004188</t>
  </si>
  <si>
    <t>FHD-TRANSMIT-004189</t>
  </si>
  <si>
    <t>FHD-TRANSMIT-004191</t>
  </si>
  <si>
    <t>FHD-TRANSMIT-004192</t>
  </si>
  <si>
    <t>FHD-TRANSMIT-004194</t>
  </si>
  <si>
    <t>FHD-TRANSMIT-004208</t>
  </si>
  <si>
    <t>WF-018556</t>
  </si>
  <si>
    <t>WF-018559</t>
  </si>
  <si>
    <t>WF-018566</t>
  </si>
  <si>
    <t>WF-018572</t>
  </si>
  <si>
    <t>WF-018576</t>
  </si>
  <si>
    <t>WF-018577</t>
  </si>
  <si>
    <t>WF-018609</t>
  </si>
  <si>
    <t>WF-018610</t>
  </si>
  <si>
    <t>WF-018612</t>
  </si>
  <si>
    <t>WF-018613</t>
  </si>
  <si>
    <t>FHD-TRANSMIT-004209</t>
  </si>
  <si>
    <t>40-730007-4800001272-FHD-SEC-PQD-000004</t>
  </si>
  <si>
    <t>4800001272-FHD-CG - Prequalification Document for Global Project Solutions as Security Sub-Contractor for HCIS Stage 3</t>
  </si>
  <si>
    <t>40-730007-4800001272-FHD-SEC-CRS-000013</t>
  </si>
  <si>
    <t>FHD-TRANSMIT-004224</t>
  </si>
  <si>
    <t>FHD-TRANSMIT-004220</t>
  </si>
  <si>
    <t>FHD-TRANSMIT-004221</t>
  </si>
  <si>
    <t>FHD-TRANSMIT-004222</t>
  </si>
  <si>
    <t>FHD-TRANSMIT-004223</t>
  </si>
  <si>
    <t>40-310002-4800001272-FHD-ARC-MST-000014</t>
  </si>
  <si>
    <t>40-310002-4800001272-FHD-ARC-CRS-000027</t>
  </si>
  <si>
    <t>4800001272-FHD-CG - Method Statement for Fire Rated Sealant Installation</t>
  </si>
  <si>
    <t>FHD-TRANSMIT-004225</t>
  </si>
  <si>
    <t>FHD-TRANSMIT-004235</t>
  </si>
  <si>
    <t>WF-018658</t>
  </si>
  <si>
    <t>WF-018659</t>
  </si>
  <si>
    <t>WF-018660</t>
  </si>
  <si>
    <t>WF-018664</t>
  </si>
  <si>
    <t>WF-018673</t>
  </si>
  <si>
    <t>WF-018674</t>
  </si>
  <si>
    <t>WF-018675</t>
  </si>
  <si>
    <t>FHD-TRANSMIT-004242</t>
  </si>
  <si>
    <t>FHD-TRANSMIT-004252</t>
  </si>
  <si>
    <t>WF-018708</t>
  </si>
  <si>
    <t>WF-018769</t>
  </si>
  <si>
    <t>WF-018802</t>
  </si>
  <si>
    <t>WF-018861</t>
  </si>
  <si>
    <t>FHD-TRANSMIT-004256</t>
  </si>
  <si>
    <t>FHD-TRANSMIT-004257</t>
  </si>
  <si>
    <t>FHD-TRANSMIT-004258</t>
  </si>
  <si>
    <t>FHD-TRANSMIT-004259</t>
  </si>
  <si>
    <t>FHD-TRANSMIT-004269</t>
  </si>
  <si>
    <t>FHD-TRANSMIT-004260</t>
  </si>
  <si>
    <t>FHD-TRANSMIT-004261</t>
  </si>
  <si>
    <t>FHD-TRANSMIT-004265</t>
  </si>
  <si>
    <t>FHD-TRANSMIT-004266</t>
  </si>
  <si>
    <t>FHD-TRANSMIT-004268</t>
  </si>
  <si>
    <t>Revision _ 09 - History</t>
  </si>
  <si>
    <t>WF-018874</t>
  </si>
  <si>
    <t>FHD-TRANSMIT-004271</t>
  </si>
  <si>
    <t>FHD-TRANSMIT-004272</t>
  </si>
  <si>
    <t>FHD-TRANSMIT-004273</t>
  </si>
  <si>
    <t>FHD-TRANSMIT-004274</t>
  </si>
  <si>
    <t>40-000000-4800001272-FHD-ARC-MAT-000048</t>
  </si>
  <si>
    <t>40-000000-4800001272-FHD-ARC-CRS-000048</t>
  </si>
  <si>
    <t>4800001272-FHD-CG - Material Submittal for Galvanized Lgs Walls By Maani-Unicoil</t>
  </si>
  <si>
    <t>FHD-TRANSMIT-004275</t>
  </si>
  <si>
    <t>FHD-TRANSMIT-004278</t>
  </si>
  <si>
    <t>FHD-TRANSMIT-004279</t>
  </si>
  <si>
    <t>FHD-TRANSMIT-004280</t>
  </si>
  <si>
    <t>FHD-TRANSMIT-004281</t>
  </si>
  <si>
    <t>WF-018900</t>
  </si>
  <si>
    <t>WF-018901</t>
  </si>
  <si>
    <t>WF-018903</t>
  </si>
  <si>
    <t>WF-018904</t>
  </si>
  <si>
    <t>WF-018905</t>
  </si>
  <si>
    <t>WF-018906</t>
  </si>
  <si>
    <t>WF-018908</t>
  </si>
  <si>
    <t>WF-018909</t>
  </si>
  <si>
    <t>WF-018910</t>
  </si>
  <si>
    <t>WF-018911</t>
  </si>
  <si>
    <t>FHD-TRANSMIT-004290</t>
  </si>
  <si>
    <t>FHD-TRANSMIT-004309</t>
  </si>
  <si>
    <t>WF-018968</t>
  </si>
  <si>
    <t>WF-018973</t>
  </si>
  <si>
    <t>WF-018974</t>
  </si>
  <si>
    <t>WF-018975</t>
  </si>
  <si>
    <t>WF-018976</t>
  </si>
  <si>
    <t>WF-018979</t>
  </si>
  <si>
    <t>WF-018980</t>
  </si>
  <si>
    <t>FHD-TRANSMIT-004322</t>
  </si>
  <si>
    <t>WF-019045</t>
  </si>
  <si>
    <t>WF-019050</t>
  </si>
  <si>
    <t>FHD-TRANSMIT-004336</t>
  </si>
  <si>
    <t>FHD-TRANSMIT-004329</t>
  </si>
  <si>
    <t>40-310002-4800001272-FHD-ARC-ITP-000007</t>
  </si>
  <si>
    <t>40-310002-4800001272-FHD-ARC-CRS-000028</t>
  </si>
  <si>
    <t>FHD-TRANSMIT-004331</t>
  </si>
  <si>
    <t>FHD-TRANSMIT-004345</t>
  </si>
  <si>
    <t>WF-019181</t>
  </si>
  <si>
    <t>WF-019110</t>
  </si>
  <si>
    <t>40-730007-4800001272-FHD-MEC-PQD-000092</t>
  </si>
  <si>
    <t>4800001272-FHD-CG - Pre- Qualification document for ACO Company for the Supply of Slot Drains</t>
  </si>
  <si>
    <t>40-730007-4800001272-FHD-MEC-CRS-000290</t>
  </si>
  <si>
    <t>FHD-TRANSMIT-004340</t>
  </si>
  <si>
    <t>FHD-TRANSMIT-004346</t>
  </si>
  <si>
    <t>WF-019174</t>
  </si>
  <si>
    <t>WF-019178</t>
  </si>
  <si>
    <t>WF-019180</t>
  </si>
  <si>
    <t>WF-019185</t>
  </si>
  <si>
    <t>FHD-TRANSMIT-004349</t>
  </si>
  <si>
    <t>FHD-TRANSMIT-004350</t>
  </si>
  <si>
    <t>FHD-TRANSMIT-004352</t>
  </si>
  <si>
    <t>FHD-TRANSMIT-004354</t>
  </si>
  <si>
    <t>FHD-TRANSMIT-004355</t>
  </si>
  <si>
    <t>FHD-TRANSMIT-004358</t>
  </si>
  <si>
    <t>FHD-TRANSMIT-004359</t>
  </si>
  <si>
    <t>FHD-TRANSMIT-004360</t>
  </si>
  <si>
    <t>FHD-TRANSMIT-004361</t>
  </si>
  <si>
    <t>WF-019207</t>
  </si>
  <si>
    <t>FHD-TRANSMIT-004363</t>
  </si>
  <si>
    <t>40-100008-4800001272-FHD-MEC-MST-000010</t>
  </si>
  <si>
    <t>40-100008-4800001272-FHD-MEC-CRS-000039</t>
  </si>
  <si>
    <t>4800001272-FHD-CG - Method Statement for Installation of Chilled Water Pumps System</t>
  </si>
  <si>
    <t>FHD-TRANSMIT-004362</t>
  </si>
  <si>
    <t>FHD-TRANSMIT-004364</t>
  </si>
  <si>
    <t>WF-019209</t>
  </si>
  <si>
    <t>WF-019212</t>
  </si>
  <si>
    <t>WF-019213</t>
  </si>
  <si>
    <t>WF-019214</t>
  </si>
  <si>
    <t>WF-019215</t>
  </si>
  <si>
    <t>WF-019217</t>
  </si>
  <si>
    <t>WF-019218</t>
  </si>
  <si>
    <t>WF-019233</t>
  </si>
  <si>
    <t>WF-019234</t>
  </si>
  <si>
    <t>WF-019235</t>
  </si>
  <si>
    <t>FHD-TRANSMIT-004369</t>
  </si>
  <si>
    <t>FHD-TRANSMIT-004371</t>
  </si>
  <si>
    <t>FHD-TRANSMIT-004375</t>
  </si>
  <si>
    <t>FHD-TRANSMIT-004373</t>
  </si>
  <si>
    <t>WF-019302</t>
  </si>
  <si>
    <t>WF-019306</t>
  </si>
  <si>
    <t>WF-019308</t>
  </si>
  <si>
    <t>FHD-TRANSMIT-004387</t>
  </si>
  <si>
    <t>FHD-TRANSMIT-004388</t>
  </si>
  <si>
    <t>FHD-TRANSMIT-004389</t>
  </si>
  <si>
    <t>FHD-TRANSMIT-004396</t>
  </si>
  <si>
    <t>FHD-TRANSMIT-004397</t>
  </si>
  <si>
    <t>WF-019349</t>
  </si>
  <si>
    <t>WF-019350</t>
  </si>
  <si>
    <t>FHD-TRANSMIT-004408</t>
  </si>
  <si>
    <t>FHD-TRANSMIT-004413</t>
  </si>
  <si>
    <t>40-000000-4800001272-FHD-MEC-MAT-000029</t>
  </si>
  <si>
    <t>40-000000-4800001272-FHD-MEC-CRS-000029</t>
  </si>
  <si>
    <t>4800001272-FHD-CG - Material Submittal for Slot Drain By Aco System F.Z. E</t>
  </si>
  <si>
    <t>FHD-TRANSMIT-004415</t>
  </si>
  <si>
    <t>FHD-TRANSMIT-004423</t>
  </si>
  <si>
    <t>WF-019402</t>
  </si>
  <si>
    <t>WF-019405</t>
  </si>
  <si>
    <t>WF-019407</t>
  </si>
  <si>
    <t>WF-019473</t>
  </si>
  <si>
    <t xml:space="preserve">WF-019216 </t>
  </si>
  <si>
    <t>40-100008-4800001272-FHD-MEC-MST-000011</t>
  </si>
  <si>
    <t>40-100008-4800001272-FHD-MEC-CRS-000040</t>
  </si>
  <si>
    <t>4800001272-FHD-CG - Method Statement for Installation of Water Heater</t>
  </si>
  <si>
    <t>FHD-TRANSMIT-004433</t>
  </si>
  <si>
    <t>FHD-TRANSMIT-004437</t>
  </si>
  <si>
    <t>FHD-TRANSMIT-004430</t>
  </si>
  <si>
    <t>FHD-TRANSMIT-004431</t>
  </si>
  <si>
    <t>40-000000-4800001272-FHD-ARC-MAT-000049</t>
  </si>
  <si>
    <t>40-000000-4800001272-FHD-ARC-CRS-000049</t>
  </si>
  <si>
    <t>4800001272-FHD-CG - Material Submittal for Galvanized LGS Walls By Maani-AGLS</t>
  </si>
  <si>
    <t>FHD-TRANSMIT-004432</t>
  </si>
  <si>
    <t>FHD-TRANSMIT-004434</t>
  </si>
  <si>
    <t>FHD-TRANSMIT-004435</t>
  </si>
  <si>
    <t>WF-019528</t>
  </si>
  <si>
    <t>FHD-TRANSMIT-004441</t>
  </si>
  <si>
    <t>40-730007-4800001272-FHD-MEC-PQD-000093</t>
  </si>
  <si>
    <t>40-730007-4800001272-FHD-MEC-CRS-000293</t>
  </si>
  <si>
    <t>4800001272-FHD-CG -Pre- qualification of third-party testing lab TUV SUD Co. for WPS, PQR and NDT services related to chilled water activities at site</t>
  </si>
  <si>
    <t>FHD-TRANSMIT-004442</t>
  </si>
  <si>
    <t>WF-019562</t>
  </si>
  <si>
    <t>WF-019563</t>
  </si>
  <si>
    <t>WF-019564</t>
  </si>
  <si>
    <t>WF-019565</t>
  </si>
  <si>
    <t>WF-019568</t>
  </si>
  <si>
    <t>WF-019569</t>
  </si>
  <si>
    <t>WF-019570</t>
  </si>
  <si>
    <t>WF-019571</t>
  </si>
  <si>
    <t>FHD-TRANSMIT-004447</t>
  </si>
  <si>
    <t>FHD-TRANSMIT-004451</t>
  </si>
  <si>
    <t>WF-019624</t>
  </si>
  <si>
    <t>WF-019625</t>
  </si>
  <si>
    <t>FHD-TRANSMIT-004452</t>
  </si>
  <si>
    <t>WF-019626</t>
  </si>
  <si>
    <t>FHD-TRANSMIT-004459</t>
  </si>
  <si>
    <t>40-310002-4800001272-FHD-CIV-ITP-000002</t>
  </si>
  <si>
    <t>FHD-TRANSMIT-004458</t>
  </si>
  <si>
    <t>40-310002-4800001272-FHD-CIV-CRS-000005</t>
  </si>
  <si>
    <t>4800001272-FHD-CG - Inspection and Test Plan for The Installation Of Electrical Trench Covers</t>
  </si>
  <si>
    <t>WF-019630</t>
  </si>
  <si>
    <t>WF-019644</t>
  </si>
  <si>
    <t>WF-019648</t>
  </si>
  <si>
    <t>FHD-TRANSMIT-004467</t>
  </si>
  <si>
    <t>FHD-TRANSMIT-004471</t>
  </si>
  <si>
    <t>FHD-TRANSMIT-004478</t>
  </si>
  <si>
    <t>FHD-TRANSMIT-004479</t>
  </si>
  <si>
    <t>FHD-TRANSMIT-004476</t>
  </si>
  <si>
    <t>FHD-TRANSMIT-004477</t>
  </si>
  <si>
    <t>FHD-TRANSMIT-004481</t>
  </si>
  <si>
    <t>WF-019784</t>
  </si>
  <si>
    <t>WF-019785</t>
  </si>
  <si>
    <t>40-000000-4800001272-FHD-MEC-MAT-000030</t>
  </si>
  <si>
    <t>40-000000-4800001272-FHD-MEC-CRS-000030</t>
  </si>
  <si>
    <t>FHD-TRANSMIT-004483</t>
  </si>
  <si>
    <t>4800001272-FHD-CG - Material Submittal For Napco Duct Seal 32-7&amp;Napco Lag Coat 30-6 By Alsayed Center</t>
  </si>
  <si>
    <t>40-730007-4800001272-FHD-CIV-PQD-000018</t>
  </si>
  <si>
    <t>4800001272-FHD-CG - Pre- Qualification Documents for ACTS as Third Party for Civil Testing Laboratory</t>
  </si>
  <si>
    <t>40-730007-4800001272-FHD-CIV-CRS-000127</t>
  </si>
  <si>
    <t>FHD-TRANSMIT-004484</t>
  </si>
  <si>
    <t>40-100008-4800001272-FHD-INF-MST-000003</t>
  </si>
  <si>
    <t>40-100008-4800001272-FHD-INF-CRS-000005</t>
  </si>
  <si>
    <t>4800001272-FHD-CG - Method Statement for Precasting and Installation of Manholes Chambers and Infra Structures</t>
  </si>
  <si>
    <t>WF-019884</t>
  </si>
  <si>
    <t>WF-019885</t>
  </si>
  <si>
    <t>FHD-TRANSMIT-004491</t>
  </si>
  <si>
    <t>WF-019900</t>
  </si>
  <si>
    <t>WF-019910</t>
  </si>
  <si>
    <t>40-000000-4800001272-FHD-ARC-CRS-000050</t>
  </si>
  <si>
    <t>40-000000-4800001272-FHD-ARC-MAT-000050</t>
  </si>
  <si>
    <t>WF-019968</t>
  </si>
  <si>
    <t>40-730007-4800001272-FHD-SEC-PQD-000005</t>
  </si>
  <si>
    <t>40-730007-4800001272-FHD-SEC-CRS-000014</t>
  </si>
  <si>
    <t>4800001272-FHD-CG-Pre-qualification Document For PEAKS Company As Security Sub-Contractor For HCIS stage 3</t>
  </si>
  <si>
    <t>WF-019987</t>
  </si>
  <si>
    <t>WF-020015</t>
  </si>
  <si>
    <t>FHD-TRANSMIT-004508</t>
  </si>
  <si>
    <t>FHD-TRANSMIT-004509</t>
  </si>
  <si>
    <t>WF-020022</t>
  </si>
  <si>
    <t>WF-020049</t>
  </si>
  <si>
    <t>FHD-TRANSMIT-004511</t>
  </si>
  <si>
    <t>FHD-TRANSMIT-004514</t>
  </si>
  <si>
    <t>FHD-TRANSMIT-004515</t>
  </si>
  <si>
    <t>40-730007-4800001272-FHD-ELE-PQD-000035</t>
  </si>
  <si>
    <t>40-730007-4800001272-FHD-ELE-CRS-000138</t>
  </si>
  <si>
    <t>4800001272-FHD-CG - Pre-Qualification Document for JEDDAH CABLES Company for the Supply of Cables</t>
  </si>
  <si>
    <t>FHD-TRANSMIT-004528</t>
  </si>
  <si>
    <t>FHD-TRANSMIT-004530</t>
  </si>
  <si>
    <t>FHD-TRANSMIT-004535</t>
  </si>
  <si>
    <t>FHD-TRANSMIT-004539</t>
  </si>
  <si>
    <t>WF-020108</t>
  </si>
  <si>
    <t>WF-020109</t>
  </si>
  <si>
    <t>WF-020110</t>
  </si>
  <si>
    <t>WF-020132</t>
  </si>
  <si>
    <t>WF-020133</t>
  </si>
  <si>
    <t>WF-020139</t>
  </si>
  <si>
    <t>40-730007-4800001272-FHD-ARC-CRS-000096</t>
  </si>
  <si>
    <t>40-730007-4800001272-FHD-ARC-PQD-000027</t>
  </si>
  <si>
    <t>FHD-TRANSMIT-004541</t>
  </si>
  <si>
    <t>4800001272-FHD-CG - Pre- Qualification Document For LAVENCO Company for the Supply of Cladding, Curtain wall, Aluminum Window and Louver</t>
  </si>
  <si>
    <t>WF-020169</t>
  </si>
  <si>
    <t>WF-020171</t>
  </si>
  <si>
    <t>WF-020172</t>
  </si>
  <si>
    <t>FHD-TRANSMIT-004552</t>
  </si>
  <si>
    <t>WF-020246</t>
  </si>
  <si>
    <t>FHD-TRANSMIT-004555</t>
  </si>
  <si>
    <t>FHD-TRANSMIT-004556</t>
  </si>
  <si>
    <t>FHD-TRANSMIT-004557</t>
  </si>
  <si>
    <t>FHD-TRANSMIT-004560</t>
  </si>
  <si>
    <t>FHD-TRANSMIT-004567</t>
  </si>
  <si>
    <t>FHD-TRANSMIT-004561</t>
  </si>
  <si>
    <t>40-730007-4800001272-FHD-CIV-PQD-000019</t>
  </si>
  <si>
    <t>4800001272-FHD-CG - Pre- Qualification Document for Al Imtyaz Alwatania as Asphalt Batching Plant.</t>
  </si>
  <si>
    <t>40-730007-4800001272-FHD-CIV-CRS-000128</t>
  </si>
  <si>
    <t>FHD-TRANSMIT-004562</t>
  </si>
  <si>
    <t>FHD-TRANSMIT-004563</t>
  </si>
  <si>
    <t>FHD-TRANSMIT-004569</t>
  </si>
  <si>
    <t>FHD-TRANSMIT-004570</t>
  </si>
  <si>
    <t>WF-020315</t>
  </si>
  <si>
    <t>WF-020317</t>
  </si>
  <si>
    <t>WF-020318</t>
  </si>
  <si>
    <t>WF-020319</t>
  </si>
  <si>
    <t>WF-020321</t>
  </si>
  <si>
    <t>WF-020322</t>
  </si>
  <si>
    <t>WF-020323</t>
  </si>
  <si>
    <t>WF-020324</t>
  </si>
  <si>
    <t>WF-020325</t>
  </si>
  <si>
    <t>40-730007-4800001272-FHD-ELV-MST-000004</t>
  </si>
  <si>
    <t>4800001272-FHD-CG - Method Statement for Installation of ICT System</t>
  </si>
  <si>
    <t>40-730007-4800001272-FHD-ELV-CRS-000016</t>
  </si>
  <si>
    <t>40-730007-4800001272-FHD-ELV-CRS-000017</t>
  </si>
  <si>
    <t>FHD-TRANSMIT-004576</t>
  </si>
  <si>
    <t>40-730007-4800001272-FHD-ELV-ITP-000003</t>
  </si>
  <si>
    <t>FHD-TRANSMIT-004574</t>
  </si>
  <si>
    <t>4800001272-FHD-CG - Inspection and Test Plan for ICT System</t>
  </si>
  <si>
    <t>WF-020336</t>
  </si>
  <si>
    <t>FHD-TRANSMIT-004578</t>
  </si>
  <si>
    <t>WF-020394</t>
  </si>
  <si>
    <t>WF-020397</t>
  </si>
  <si>
    <t>WF-020398</t>
  </si>
  <si>
    <t>FHD-TRANSMIT-004586</t>
  </si>
  <si>
    <t>FHD-TRANSMIT-004587</t>
  </si>
  <si>
    <t>FHD-TRANSMIT-004588</t>
  </si>
  <si>
    <t>FHD-TRANSMIT-004589</t>
  </si>
  <si>
    <t>FHD-TRANSMIT-004590</t>
  </si>
  <si>
    <t>FHD-TRANSMIT-004593</t>
  </si>
  <si>
    <t>4800001272-FHD-CG - Inspection and Test Plan for Fire Rated Sealant Installation (Joint Fire Stopping)</t>
  </si>
  <si>
    <t>FHD-TRANSMIT-004605</t>
  </si>
  <si>
    <t>FHD-TRANSMIT-004607</t>
  </si>
  <si>
    <t>WF-020465</t>
  </si>
  <si>
    <t>WF-020466</t>
  </si>
  <si>
    <t>WF-020469</t>
  </si>
  <si>
    <t>WF-020471</t>
  </si>
  <si>
    <t>WF-020472</t>
  </si>
  <si>
    <t>WF-020474</t>
  </si>
  <si>
    <t>WF-020475</t>
  </si>
  <si>
    <t>40-730007-4800001272-FHD-CIV-PQD-000020</t>
  </si>
  <si>
    <t>40-730007-4800001272-FHD-CIV-CRS-000129</t>
  </si>
  <si>
    <t>FHD-TRANSMIT-004616</t>
  </si>
  <si>
    <t>4800001272-FHD-CG - Pre- Qualification document for MADAR hardware Co. for the Supply of Steel Bars by Viraj Profile Company</t>
  </si>
  <si>
    <t>4800001272-FHD-CG - Material Submittal For Wall &amp; Ceiling Accessories By Unitech</t>
  </si>
  <si>
    <t>FHD-TRANSMIT-004621</t>
  </si>
  <si>
    <t>FHD-TRANSMIT-004623</t>
  </si>
  <si>
    <t>40-730007-4800001272-FHD-ARC-PQD-000028</t>
  </si>
  <si>
    <t>4800001272-FHD-CG - Pre- Qualification Document for Imar Al Jazirah Co. for the Supply of Metal Skirting</t>
  </si>
  <si>
    <t>40-730007-4800001272-FHD-ARC-CRS-000097</t>
  </si>
  <si>
    <t>FHD-TRANSMIT-004624</t>
  </si>
  <si>
    <t>FHD-TRANSMIT-004625</t>
  </si>
  <si>
    <t>FHD-TRANSMIT-004628</t>
  </si>
  <si>
    <t>WF-020526</t>
  </si>
  <si>
    <t>WF-020532</t>
  </si>
  <si>
    <t>WF-020533</t>
  </si>
  <si>
    <t>FHD-TRANSMIT-004635</t>
  </si>
  <si>
    <t>40-730007-4800001272-FHD-MEC-PQD-000094</t>
  </si>
  <si>
    <t>4800001272-FHD-CG -Pre-Qualification Document for Al-Najof Co. for the Supply of Steel Access Hatch Cover</t>
  </si>
  <si>
    <t>40-730007-4800001272-FHD-MEC-CRS-000296</t>
  </si>
  <si>
    <t>FHD-TRANSMIT-004633</t>
  </si>
  <si>
    <t>FHD-TRANSMIT-004639</t>
  </si>
  <si>
    <t>FHD-TRANSMIT-004640</t>
  </si>
  <si>
    <t>WF-020586</t>
  </si>
  <si>
    <t>WF-020587</t>
  </si>
  <si>
    <t>WF-020589</t>
  </si>
  <si>
    <t>WF-020590</t>
  </si>
  <si>
    <t>FHD-TRANSMIT-004643</t>
  </si>
  <si>
    <t>WF-020645</t>
  </si>
  <si>
    <t>WF-020647</t>
  </si>
  <si>
    <t>WF-020649</t>
  </si>
  <si>
    <t>WF-020650</t>
  </si>
  <si>
    <t>WF-020651</t>
  </si>
  <si>
    <t>FHD-TRANSMIT-004646</t>
  </si>
  <si>
    <t>40-000000-4800001272-FHD-ELE-MAT-000009</t>
  </si>
  <si>
    <t>40-000000-4800001272-FHD-ELE-CRS-000009</t>
  </si>
  <si>
    <t>4800001272-FHD-CG - Material Submittal for Cathodic Protection Cable by Jeddah Cables Company</t>
  </si>
  <si>
    <t>FHD-TRANSMIT-004647</t>
  </si>
  <si>
    <t>WF-020684</t>
  </si>
  <si>
    <t>FHD-TRANSMIT-004656</t>
  </si>
  <si>
    <t>FHD-TRANSMIT-004650</t>
  </si>
  <si>
    <t>FHD-TRANSMIT-004651</t>
  </si>
  <si>
    <t>40-730007-4800001272-FHD-ELV-CRS-000018</t>
  </si>
  <si>
    <t>40-730007-4800001272-FHD-ELV-MST-000005</t>
  </si>
  <si>
    <t>FHD-TRANSMIT-004658</t>
  </si>
  <si>
    <t>FHD-TRANSMIT-004664</t>
  </si>
  <si>
    <t>WF-020712</t>
  </si>
  <si>
    <t>WF-020713</t>
  </si>
  <si>
    <t>WF-020715</t>
  </si>
  <si>
    <t>FHD-TRANSMIT-004670</t>
  </si>
  <si>
    <t>FHD-TRANSMIT-004677</t>
  </si>
  <si>
    <t>40-000000-4800001272-FHD-MEC-MAT-000031</t>
  </si>
  <si>
    <t>40-000000-4800001272-FHD-MEC-CRS-000031</t>
  </si>
  <si>
    <t>4800001272-FHD-CG - Material Submittal For Manhole Cover By SIF</t>
  </si>
  <si>
    <t>FHD-TRANSMIT-004678</t>
  </si>
  <si>
    <t>FHD-TRANSMIT-004680</t>
  </si>
  <si>
    <t>10</t>
  </si>
  <si>
    <t>Revision _ 10 - History</t>
  </si>
  <si>
    <t>FHD-TRANSMIT-004681</t>
  </si>
  <si>
    <t>WF-020774</t>
  </si>
  <si>
    <t>WF-020777</t>
  </si>
  <si>
    <t>WF-020789</t>
  </si>
  <si>
    <t>WF-020790</t>
  </si>
  <si>
    <t>WF-020791</t>
  </si>
  <si>
    <t>WF-020792</t>
  </si>
  <si>
    <t>WF-020793</t>
  </si>
  <si>
    <t>40-730007-4800001272-FHD-MEC-PQD-000095</t>
  </si>
  <si>
    <t>40-730007-4800001272-FHD-MEC-CRS-000297</t>
  </si>
  <si>
    <t>4800001272-FHD-CG -Pre-Qualification document for Gulf Star Co. for the Supply of Flange Fitting by Metalfar Co</t>
  </si>
  <si>
    <t>FHD-TRANSMIT-004682</t>
  </si>
  <si>
    <t>4800001272-FHD-CG - Material Submittal For Shear Stud By Asia Bolts Industries Co / Maani.</t>
  </si>
  <si>
    <t>40-000000-4800001272-FHD-STR-CRS-000005</t>
  </si>
  <si>
    <t>40-000000-4800001272-FHD-STR-MAT-000005</t>
  </si>
  <si>
    <t>FHD-TRANSMIT-004689</t>
  </si>
  <si>
    <t>FHD-TRANSMIT-004692</t>
  </si>
  <si>
    <t>FHD-TRANSMIT-004143</t>
  </si>
  <si>
    <t>40-730007-4800001272-FHD-ELE-PQD-000036</t>
  </si>
  <si>
    <t>40-730007-4800001272-FHD-ELE-CRS-000139</t>
  </si>
  <si>
    <t>4800001272-FHD-CG -Pre-Qualification Document for for Technology Era Co. for the Supply of Racks and Cabinet</t>
  </si>
  <si>
    <t>FHD-TRANSMIT-004696</t>
  </si>
  <si>
    <t>40-730007-4800001272-FHD-ELE-PQD-000037</t>
  </si>
  <si>
    <t>40-730007-4800001272-FHD-ELE-CRS-000140</t>
  </si>
  <si>
    <t>FHD-TRANSMIT-004701</t>
  </si>
  <si>
    <t>4800001272-FHD-CG -Pre-Qualification Document for Technology Era Co. for the Supply of ICT Material</t>
  </si>
  <si>
    <t>40-000000-4800001272-FHD-MEC-MAT-000032</t>
  </si>
  <si>
    <t>40-000000-4800001272-FHD-MEC-CRS-000032</t>
  </si>
  <si>
    <t>FHD-TRANSMIT-004702</t>
  </si>
  <si>
    <t>WF-020852</t>
  </si>
  <si>
    <t>WF-020853</t>
  </si>
  <si>
    <t>WF-020860</t>
  </si>
  <si>
    <t>WF-020861</t>
  </si>
  <si>
    <t>WF-020863</t>
  </si>
  <si>
    <t>WF-020864</t>
  </si>
  <si>
    <t>FHD-TRANSMIT-004709</t>
  </si>
  <si>
    <t>FHD-TRANSMIT-004710</t>
  </si>
  <si>
    <t>FHD-TRANSMIT-004712</t>
  </si>
  <si>
    <t>4800001272-FHD-CG - Method Statement for Installation of Plumbing Fixtures</t>
  </si>
  <si>
    <t>FHD-TRANSMIT-004713</t>
  </si>
  <si>
    <t>FHD-TRANSMIT-004714</t>
  </si>
  <si>
    <t>NEOM-TRANSMIT-000926</t>
  </si>
  <si>
    <t>WF-020925</t>
  </si>
  <si>
    <t>WF-020927</t>
  </si>
  <si>
    <t>WF-020928</t>
  </si>
  <si>
    <t>FHD-TRANSMIT-004717</t>
  </si>
  <si>
    <t>FHD-TRANSMIT-004719</t>
  </si>
  <si>
    <t>4800001272-FHD-CG - Material Submittal For Sika Crete114 SA for Concrete Repair Works</t>
  </si>
  <si>
    <t>40-000000-4800001272-FHD-CIV-MAT-000020</t>
  </si>
  <si>
    <t>40-000000-4800001272-FHD-CIV-CRS-000020</t>
  </si>
  <si>
    <t>FHD-TRANSMIT-004722</t>
  </si>
  <si>
    <t>FHD-TRANSMIT-004723</t>
  </si>
  <si>
    <t>FHD-TRANSMIT-004724</t>
  </si>
  <si>
    <t>FHD-TRANSMIT-004726</t>
  </si>
  <si>
    <t>40-310002-4800001272-FHD-ARC-ITP-000008</t>
  </si>
  <si>
    <t>4800001272-FHD-CG - Inspection and Test Plan for Tile Carpeting</t>
  </si>
  <si>
    <t>40-310002-4800001272-FHD-ARC-CRS-000031</t>
  </si>
  <si>
    <t>FHD-TRANSMIT-004728</t>
  </si>
  <si>
    <t>WF-021001</t>
  </si>
  <si>
    <t>WF-021003</t>
  </si>
  <si>
    <t>WF-021004</t>
  </si>
  <si>
    <t>WF-021005</t>
  </si>
  <si>
    <t>WF-021006</t>
  </si>
  <si>
    <t>FHD-TRANSMIT-004731</t>
  </si>
  <si>
    <t>FHD-TRANSMIT-004732</t>
  </si>
  <si>
    <t>40-000000-4800001272-FHD-CIV-MAT-000021</t>
  </si>
  <si>
    <t>40-000000-4800001272-FHD-CIV-CRS-000021</t>
  </si>
  <si>
    <t>FHD-TRANSMIT-004734</t>
  </si>
  <si>
    <t>4800001272-FHD-CG - Material Submittal For Dowel Bars By Madar Co.</t>
  </si>
  <si>
    <t>WF-021035</t>
  </si>
  <si>
    <t>WF-021036</t>
  </si>
  <si>
    <t>WF-021037</t>
  </si>
  <si>
    <t>WF-021040</t>
  </si>
  <si>
    <t>WF-021079</t>
  </si>
  <si>
    <t>40-730007-4800001272-FHD-CIV-MST-000033</t>
  </si>
  <si>
    <t>40-730007-4800001272-FHD-CIV-CRS-000130</t>
  </si>
  <si>
    <t>FHD-TRANSMIT-004738</t>
  </si>
  <si>
    <t>FHD-TRANSMIT-004740</t>
  </si>
  <si>
    <t>FHD-TRANSMIT-004741</t>
  </si>
  <si>
    <t>4800001272-FHD-CG - Method Statement for Obtaining and Testing Drilled Cores and Sawed Beams of Concrete</t>
  </si>
  <si>
    <t>FHD-TRANSMIT-004751</t>
  </si>
  <si>
    <t>FHD-TRANSMIT-004752</t>
  </si>
  <si>
    <t>FHD-TRANSMIT-003015</t>
  </si>
  <si>
    <t>FHD-TRANSMIT-004750</t>
  </si>
  <si>
    <t>WF-021149</t>
  </si>
  <si>
    <t>WF-021152</t>
  </si>
  <si>
    <t>FHD-TRANSMIT-004742</t>
  </si>
  <si>
    <t>WF-021150</t>
  </si>
  <si>
    <t>WF-021151</t>
  </si>
  <si>
    <t>WF-021156</t>
  </si>
  <si>
    <t>WF-021157</t>
  </si>
  <si>
    <t>WF-021158</t>
  </si>
  <si>
    <t>FHD-TRANSMIT-004753</t>
  </si>
  <si>
    <t>FHD-TRANSMIT-004754</t>
  </si>
  <si>
    <t>FHD-TRANSMIT-004755</t>
  </si>
  <si>
    <t>FHD-TRANSMIT-004756</t>
  </si>
  <si>
    <t>FHD-TRANSMIT-004757</t>
  </si>
  <si>
    <t>FHD-TRANSMIT-004759</t>
  </si>
  <si>
    <t>FHD-TRANSMIT-004762</t>
  </si>
  <si>
    <t>FHD-TRANSMIT-004763</t>
  </si>
  <si>
    <r>
      <rPr>
        <b/>
        <sz val="12"/>
        <rFont val="Verdana"/>
        <family val="2"/>
      </rPr>
      <t>Type of Doc:</t>
    </r>
    <r>
      <rPr>
        <sz val="12"/>
        <rFont val="Verdana"/>
        <family val="2"/>
      </rPr>
      <t xml:space="preserve"> </t>
    </r>
  </si>
  <si>
    <r>
      <rPr>
        <b/>
        <sz val="12"/>
        <rFont val="Verdana"/>
        <family val="2"/>
      </rPr>
      <t>Discipline:</t>
    </r>
    <r>
      <rPr>
        <sz val="12"/>
        <rFont val="Verdana"/>
        <family val="2"/>
      </rPr>
      <t xml:space="preserve"> </t>
    </r>
  </si>
  <si>
    <t>FHD-TRANSMIT-004772</t>
  </si>
  <si>
    <t>40-730007-4800001272-FHD-ELE-PQD-000038</t>
  </si>
  <si>
    <t>FHD-TRANSMIT-004764</t>
  </si>
  <si>
    <t>40-730007-4800001272-FHD-ELE-CRS-000141</t>
  </si>
  <si>
    <t>4800001272-FHD-CG -Pre-Qualification document for BAHRA-TBS Co. for the Supply of LV BUSWAY</t>
  </si>
  <si>
    <t>FHD-TRANSMIT-004765</t>
  </si>
  <si>
    <t>WF-021181</t>
  </si>
  <si>
    <t>WF-021182</t>
  </si>
  <si>
    <t>WF-021184</t>
  </si>
  <si>
    <t>WF-021189</t>
  </si>
  <si>
    <t>WF-021190</t>
  </si>
  <si>
    <t>FHD-TRANSMIT-004778</t>
  </si>
  <si>
    <t>FHD-TRANSMIT-004780</t>
  </si>
  <si>
    <t>FHD-TRANSMIT-004781</t>
  </si>
  <si>
    <t>WF-021226</t>
  </si>
  <si>
    <t>WF-021227</t>
  </si>
  <si>
    <t>WF-021229</t>
  </si>
  <si>
    <t>40-730007-4800001272-FHD-ELE-MST-000007</t>
  </si>
  <si>
    <t>40-730007-4800001272-FHD-ELE-CRS-000142</t>
  </si>
  <si>
    <t>40-730007-4800001272-FHD-ELE-CRS-000143</t>
  </si>
  <si>
    <t>40-730007-4800001272-FHD-ELE-MST-000008</t>
  </si>
  <si>
    <t>4800001272-FHD-CG - Method Statement for Installation of Access Control System</t>
  </si>
  <si>
    <t>FHD-TRANSMIT-004786</t>
  </si>
  <si>
    <t>FHD-TRANSMIT-004787</t>
  </si>
  <si>
    <t>FHD-TRANSMIT-004792</t>
  </si>
  <si>
    <t>FHD-TRANSMIT-004793</t>
  </si>
  <si>
    <t>09</t>
  </si>
  <si>
    <t>FHD-TRANSMIT-004794</t>
  </si>
  <si>
    <t>WF-021262</t>
  </si>
  <si>
    <t>WF-021263</t>
  </si>
  <si>
    <t>WF-021267</t>
  </si>
  <si>
    <t>WF-021268</t>
  </si>
  <si>
    <t>WF-021269</t>
  </si>
  <si>
    <t>4800001272-FHD-CG - Inspection and Test Plan for Access Control System</t>
  </si>
  <si>
    <t>40-730007-4800001272-FHD-ELV-CRS-000019</t>
  </si>
  <si>
    <t>40-730007-4800001272-FHD-ELV-ITP-000004</t>
  </si>
  <si>
    <t>FHD-TRANSMIT-004814</t>
  </si>
  <si>
    <t>FHD-TRANSMIT-004819</t>
  </si>
  <si>
    <t>40-000000-4800001272-FHD-ARC-MAT-000051</t>
  </si>
  <si>
    <t>40-000000-4800001272-FHD-ARC-CRS-000051</t>
  </si>
  <si>
    <t>4800001272-FHD-CG - Material Submittal For HDF-SPC Flooring By Deco Corner (Gerflor)</t>
  </si>
  <si>
    <t>FHD-TRANSMIT-004820</t>
  </si>
  <si>
    <t>40-310002-4800001272-FHD-MEC-MST-000002</t>
  </si>
  <si>
    <t>40-310002-4800001272-FHD-MEC-CRS-000009</t>
  </si>
  <si>
    <t>40-000000-4800001272-FHD-CIV-MAT-000022</t>
  </si>
  <si>
    <t>40-000000-4800001272-FHD-CIV-CRS-000022</t>
  </si>
  <si>
    <t>4800001272-FHD-CG - Material Submittal For Sika Injection101 RC/Sika Injection 201 CE By Sika</t>
  </si>
  <si>
    <t>4800001272-FHD-CG - Method Statement for Installation of Split AC Unit, Fans, VAV-CAV, Air Inlet &amp; Outlet</t>
  </si>
  <si>
    <t>FHD-TRANSMIT-004843</t>
  </si>
  <si>
    <t>40-000000-4800001272-FHD-STR-MAT-000006</t>
  </si>
  <si>
    <t>40-000000-4800001272-FHD-STR-CRS-000006</t>
  </si>
  <si>
    <t>4800001272-FHD-CG - Material Submittal For Expansion Bolts By Maani (Hilti)</t>
  </si>
  <si>
    <t>FHD-TRANSMIT-004841</t>
  </si>
  <si>
    <t>FHD-TRANSMIT-004842</t>
  </si>
  <si>
    <t>WF-021308</t>
  </si>
  <si>
    <t>FHD-TRANSMIT-004501</t>
  </si>
  <si>
    <t>FHD-TRANSMIT-004821</t>
  </si>
  <si>
    <t>WF-021356</t>
  </si>
  <si>
    <t>WF-021357</t>
  </si>
  <si>
    <t>WF-021362</t>
  </si>
  <si>
    <t>WF-021380</t>
  </si>
  <si>
    <t>FHD-TRANSMIT-004849</t>
  </si>
  <si>
    <t>FHD-TRANSMIT-004852</t>
  </si>
  <si>
    <t>40-000000-4800001272-FHD-MEC-MAT-000033</t>
  </si>
  <si>
    <t>40-000000-4800001272-FHD-MEC-CRS-000033</t>
  </si>
  <si>
    <t>FHD-TRANSMIT-004853</t>
  </si>
  <si>
    <t>4800001272-FHD-CG - Material Submittal For Weld Neck Flanges for Chilled Water System By Gulf Star Co (Metalfar)</t>
  </si>
  <si>
    <t>FHD-TRANSMIT-004855</t>
  </si>
  <si>
    <t>FHD-TRANSMIT-004856</t>
  </si>
  <si>
    <t>4800001272-FHD-CG - Material Submittal for CPVC Cement Solvent &amp; Cleaner By APLACO</t>
  </si>
  <si>
    <t>FHD-TRANSMIT-004868</t>
  </si>
  <si>
    <t>FHD-TRANSMIT-004865</t>
  </si>
  <si>
    <t>WF-021464</t>
  </si>
  <si>
    <t>WF-021465</t>
  </si>
  <si>
    <t>WF-021468</t>
  </si>
  <si>
    <t>WF-021469</t>
  </si>
  <si>
    <t>WF-021470</t>
  </si>
  <si>
    <t>WF-021471</t>
  </si>
  <si>
    <t>WF-021485</t>
  </si>
  <si>
    <t>FHD-TRANSMIT-004872</t>
  </si>
  <si>
    <t>FHD-TRANSMIT-004873</t>
  </si>
  <si>
    <t>FHD-TRANSMIT-004874</t>
  </si>
  <si>
    <t>FHD-TRANSMIT-004877</t>
  </si>
  <si>
    <t>FHD-TRANSMIT-004878</t>
  </si>
  <si>
    <t>WF-021530</t>
  </si>
  <si>
    <t>WF-021531</t>
  </si>
  <si>
    <t>WF-021532</t>
  </si>
  <si>
    <t>WF-021533</t>
  </si>
  <si>
    <t>WF-021534</t>
  </si>
  <si>
    <t>WF-021537</t>
  </si>
  <si>
    <t>FHD-TRANSMIT-004888</t>
  </si>
  <si>
    <t>FHD-TRANSMIT-004889</t>
  </si>
  <si>
    <t>40-000000-4800001272-FHD-MEC-MAT-000034</t>
  </si>
  <si>
    <t>40-000000-4800001272-FHD-MEC-CRS-000034</t>
  </si>
  <si>
    <t>4800001272-FHD-CG - Material Submittal for Welding Electrodes for Chilled Water System</t>
  </si>
  <si>
    <t>WF-021603</t>
  </si>
  <si>
    <t>FHD-TRANSMIT-004893</t>
  </si>
  <si>
    <t>WF-021604</t>
  </si>
  <si>
    <t>WF-021605</t>
  </si>
  <si>
    <t>40-730007-4800001272-FHD-MEC-MAT-000084</t>
  </si>
  <si>
    <t>FHD-TRANSMIT-004897</t>
  </si>
  <si>
    <t>FHD-TRANSMIT-004899</t>
  </si>
  <si>
    <t>WF-021630</t>
  </si>
  <si>
    <t>4800001272-FHD-CG - Method Statement for Installation of CCTV System</t>
  </si>
  <si>
    <t>FHD-TRANSMIT-004905</t>
  </si>
  <si>
    <t>40-000000-4800001272-FHD-ELE-MAT-000010</t>
  </si>
  <si>
    <t>40-000000-4800001272-FHD-ELE-CRS-000010</t>
  </si>
  <si>
    <t>4800001272-FHD-CG - Material Submittal for Busway By Bahra (TBS)</t>
  </si>
  <si>
    <t>FHD-TRANSMIT-004902</t>
  </si>
  <si>
    <t>40-000000-4800001272-FHD-MEC-MAT-000035</t>
  </si>
  <si>
    <t>40-000000-4800001272-FHD-MEC-CRS-000035</t>
  </si>
  <si>
    <t>4800001272-FHD-CG - Material Submittal For Fuel System,Welding Materials&amp;Flange Gaskets By Integrated Engineering Contracting Co.</t>
  </si>
  <si>
    <t>FHD-TRANSMIT-004903</t>
  </si>
  <si>
    <t>WF-021635</t>
  </si>
  <si>
    <t>FHD-TRANSMIT-004911</t>
  </si>
  <si>
    <t>FHD-TRANSMIT-004918</t>
  </si>
  <si>
    <t>4800001272-FHD-CG - Method Statement for Installation of UPS System</t>
  </si>
  <si>
    <t>FHD-TRANSMIT-004920</t>
  </si>
  <si>
    <t>40-730007-4800001272-FHD-MEC-CRS-000300</t>
  </si>
  <si>
    <t>40-730007-4800001272-FHD-MEC-PQD-000096</t>
  </si>
  <si>
    <t>FHD-TRANSMIT-004919</t>
  </si>
  <si>
    <t>4800001272-FHD-CG -Pre- Qualification Document for U-Tab Co. as Sub-contractor For Testing and Commissioning</t>
  </si>
  <si>
    <t>WF-021660</t>
  </si>
  <si>
    <t>WF-021661</t>
  </si>
  <si>
    <t>WF-021662</t>
  </si>
  <si>
    <t>FHD-TRANSMIT-004925</t>
  </si>
  <si>
    <t>FHD-TRANSMIT-004927</t>
  </si>
  <si>
    <t>FHD-TRANSMIT-004929</t>
  </si>
  <si>
    <t>40-000000-4800001272-FHD-CIV-MAT-000023</t>
  </si>
  <si>
    <t>40-000000-4800001272-FHD-CIV-CRS-000023</t>
  </si>
  <si>
    <t>4800001272-FHD-CG - Material Submittal For Nitomortar TC2000 (Epoxy Resin Based Sealing and Anchoring Compound)</t>
  </si>
  <si>
    <t>WF-021735</t>
  </si>
  <si>
    <t>WF-021736</t>
  </si>
  <si>
    <t>WF-021737</t>
  </si>
  <si>
    <t>WF-021738</t>
  </si>
  <si>
    <t>FHD-TRANSMIT-004934</t>
  </si>
  <si>
    <t>FHD-TRANSMIT-004937</t>
  </si>
  <si>
    <t>FHD-TRANSMIT-004938</t>
  </si>
  <si>
    <t>FHD-TRANSMIT-004939</t>
  </si>
  <si>
    <t>FHD-TRANSMIT-004942</t>
  </si>
  <si>
    <t>FHD-TRANSMIT-004941</t>
  </si>
  <si>
    <t>40-000000-4800001272-FHD-MEC-MAT-000036</t>
  </si>
  <si>
    <t>40-000000-4800001272-FHD-MEC-CRS-000036</t>
  </si>
  <si>
    <t>4800001272-FHD-CG - Material Submittal For Drain Pan For Water Heater By AWQAL Company.</t>
  </si>
  <si>
    <t>FHD-TRANSMIT-004943</t>
  </si>
  <si>
    <t>WF-021784</t>
  </si>
  <si>
    <t>WF-021785</t>
  </si>
  <si>
    <t>WF-021789</t>
  </si>
  <si>
    <t>WF-021792</t>
  </si>
  <si>
    <t>WF-021793</t>
  </si>
  <si>
    <t>FHD-TRANSMIT-004947</t>
  </si>
  <si>
    <t>40-730007-4800001272-FHD-MEC-CRS-000302</t>
  </si>
  <si>
    <t>4800001272-FHD-CG -Vendor inspection and Test Plan For CRAC Unit at Manufacturer Facility Johnson Control Company</t>
  </si>
  <si>
    <t>FHD-TRANSMIT-004948</t>
  </si>
  <si>
    <t>WF-021804</t>
  </si>
  <si>
    <t>WF-021805</t>
  </si>
  <si>
    <t>WF-021806</t>
  </si>
  <si>
    <t>WF-021807</t>
  </si>
  <si>
    <t>WF-021808</t>
  </si>
  <si>
    <t>WF-021809</t>
  </si>
  <si>
    <t>FHD-TRANSMIT-004949</t>
  </si>
  <si>
    <t>40-000000-4800001272-FHD-STR-MAT-000007</t>
  </si>
  <si>
    <t>40-000000-4800001272-FHD-STR-CRS-000007</t>
  </si>
  <si>
    <t>4800001272-FHD-CG - Material Submittal For Chemical Anchors By Hilti</t>
  </si>
  <si>
    <t>FHD-TRANSMIT-004952</t>
  </si>
  <si>
    <t>FHD-TRANSMIT-004955</t>
  </si>
  <si>
    <t>FHD-TRANSMIT-004956</t>
  </si>
  <si>
    <t>WF-021860</t>
  </si>
  <si>
    <t>WF-021861</t>
  </si>
  <si>
    <t>WF-021862</t>
  </si>
  <si>
    <t>WF-021865</t>
  </si>
  <si>
    <t>WF-021866</t>
  </si>
  <si>
    <t>FHD-TRANSMIT-004960</t>
  </si>
  <si>
    <t>FHD-TRANSMIT-004961</t>
  </si>
  <si>
    <t>FHD-TRANSMIT-004962</t>
  </si>
  <si>
    <t>FHD-TRANSMIT-004963</t>
  </si>
  <si>
    <t>FHD-TRANSMIT-004964</t>
  </si>
  <si>
    <t>WF-021924</t>
  </si>
  <si>
    <t>WF-021925</t>
  </si>
  <si>
    <t>WF-021926</t>
  </si>
  <si>
    <t>WF-021927</t>
  </si>
  <si>
    <t>WF-021933</t>
  </si>
  <si>
    <t>FHD-TRANSMIT-004973</t>
  </si>
  <si>
    <t>FHD-TRANSMIT-004974</t>
  </si>
  <si>
    <t>FHD-TRANSMIT-004976</t>
  </si>
  <si>
    <t>FHD-TRANSMIT-004977</t>
  </si>
  <si>
    <t>40-310002-4800001272-FHD-ARC-MST-000015</t>
  </si>
  <si>
    <t>40-310002-4800001272-FHD-ARC-ITP-000009</t>
  </si>
  <si>
    <t>FHD-TRANSMIT-004982</t>
  </si>
  <si>
    <t>40-310002-4800001272-FHD-ARC-CRS-000033</t>
  </si>
  <si>
    <t>4800001272-FHD-CG - Inspection and Test Plan for Installation of Doors And Frames With Accessories</t>
  </si>
  <si>
    <t>WF-021997</t>
  </si>
  <si>
    <t>WF-021998</t>
  </si>
  <si>
    <t>WF-022002</t>
  </si>
  <si>
    <t>WF-022001</t>
  </si>
  <si>
    <t>WF-022003</t>
  </si>
  <si>
    <t>4800001272-FHD-CG - Method Statement for Installation and Testing of Chilled Water Piping (Pre-Insulated)</t>
  </si>
  <si>
    <t>FHD-TRANSMIT-004986</t>
  </si>
  <si>
    <t>40-310002-4800001272-FHD-MEC-MST-000003</t>
  </si>
  <si>
    <t>4800001272-FHD-CG - Method Statement for Installation of CRAC Unit</t>
  </si>
  <si>
    <t>FHD-TRANSMIT-004990</t>
  </si>
  <si>
    <t>FHD-TRANSMIT-004994</t>
  </si>
  <si>
    <t>WF-022055</t>
  </si>
  <si>
    <t>WF-022056</t>
  </si>
  <si>
    <t>WF-022058</t>
  </si>
  <si>
    <t>FHD-TRANSMIT-005001</t>
  </si>
  <si>
    <t>40-000000-4800001272-FHD-CIV-MAT-000024</t>
  </si>
  <si>
    <t>40-000000-4800001272-FHD-CIV-CRS-000024</t>
  </si>
  <si>
    <t>40-730007-4800001272-FHD-ELV-MST-000006</t>
  </si>
  <si>
    <t>4800001272-FHD-CG - Method Statement for Installation of SCADA System</t>
  </si>
  <si>
    <t>40-730007-4800001272-FHD-ELV-CRS-000020</t>
  </si>
  <si>
    <t>FHD-TRANSMIT-005009</t>
  </si>
  <si>
    <t>FHD-TRANSMIT-005005</t>
  </si>
  <si>
    <t>WF-022118</t>
  </si>
  <si>
    <t>WF-022108</t>
  </si>
  <si>
    <t>WF-022109</t>
  </si>
  <si>
    <t>WF-022114</t>
  </si>
  <si>
    <t>4800001272-FHD-CG - Method Statement for Installation of Physical Security System</t>
  </si>
  <si>
    <t>40-730007-4800001272-FHD-ELE-CRS-000144</t>
  </si>
  <si>
    <t>40-730007-4800001272-FHD-ELE-MST-000009</t>
  </si>
  <si>
    <t>FHD-TRANSMIT-005013</t>
  </si>
  <si>
    <t>FHD-TRANSMIT-005014</t>
  </si>
  <si>
    <t>40-730007-4800001272-FHD-HSE-MST-000006</t>
  </si>
  <si>
    <t>40-730007-4800001272-FHD-HSE-CRS-000035</t>
  </si>
  <si>
    <t>4800001272-FHD-CG - Construction Activity Safety Analysis (CASA) for MEP Installation in Confined Space Roof</t>
  </si>
  <si>
    <t>FHD-TRANSMIT-005016</t>
  </si>
  <si>
    <t>40-730007-4800001272-FHD-ELE-ITP-000021</t>
  </si>
  <si>
    <t>4800001272-FHD-CG - Inspection And Test Plan For Installation of UPS System</t>
  </si>
  <si>
    <t>40-730007-4800001272-FHD-ELE-CRS-000145</t>
  </si>
  <si>
    <t>FHD-TRANSMIT-005015</t>
  </si>
  <si>
    <t>WF-022127</t>
  </si>
  <si>
    <t>40-000000-4800001272-FHD-STR-MAT-000008</t>
  </si>
  <si>
    <t>40-000000-4800001272-FHD-STR-CRS-000008</t>
  </si>
  <si>
    <t>4800001272-FHD-CG - Material Submittal For Anchor Bolts For Fire Pump By Masdar</t>
  </si>
  <si>
    <t>FHD-TRANSMIT-005019</t>
  </si>
  <si>
    <t>FHD-TRANSMIT-005020</t>
  </si>
  <si>
    <t>FHD-TRANSMIT-005021</t>
  </si>
  <si>
    <t>40-730007-4800001272-FHD-STR-MST-000003</t>
  </si>
  <si>
    <t>40-730007-4800001272-FHD-STR-CRS-000031</t>
  </si>
  <si>
    <t>40-000000-4800001272-FHD-MEC-MAT-000037</t>
  </si>
  <si>
    <t>40-000000-4800001272-FHD-MEC-CRS-000037</t>
  </si>
  <si>
    <t>4800001272-FHD-CG - Material Submittal For Grooved Fitting &amp; Flexible Connection By Elite Company</t>
  </si>
  <si>
    <t>FHD-TRANSMIT-005026</t>
  </si>
  <si>
    <t>4800001272-FHD-CG - Material Submittal For Asphalt Bituminous Base Course Class A- 25 mm By Al Imtyaz</t>
  </si>
  <si>
    <t>FHD-TRANSMIT-005027</t>
  </si>
  <si>
    <t>WF-022183</t>
  </si>
  <si>
    <t>WF-022184</t>
  </si>
  <si>
    <t>WF-022185</t>
  </si>
  <si>
    <t>WF-022186</t>
  </si>
  <si>
    <t>WF-022187</t>
  </si>
  <si>
    <t>WF-022188</t>
  </si>
  <si>
    <t>WF-022189</t>
  </si>
  <si>
    <t>WF-022191</t>
  </si>
  <si>
    <t>WF-022192</t>
  </si>
  <si>
    <t>Radiographic</t>
  </si>
  <si>
    <t>4800001272-FHD-CG - Method Statement for Metal Deck Sheet Installation on Steel Structure Using Scaffolding, MEWP (Man Lift) and Crane Lifting</t>
  </si>
  <si>
    <t>FHD-TRANSMIT-005030</t>
  </si>
  <si>
    <t>FHD-TRANSMIT-005031</t>
  </si>
  <si>
    <t>FHD-TRANSMIT-005033</t>
  </si>
  <si>
    <t>FHD-TRANSMIT-005035</t>
  </si>
  <si>
    <t>FHD-TRANSMIT-005037</t>
  </si>
  <si>
    <t>WF-022256</t>
  </si>
  <si>
    <t>WF-022257</t>
  </si>
  <si>
    <t>WF-022258</t>
  </si>
  <si>
    <t>FHD-TRANSMIT-005041</t>
  </si>
  <si>
    <t>40-100008-4800001272-FHD-CIV-MST-000008</t>
  </si>
  <si>
    <t>40-100008-4800001272-FHD-CIV-CRS-000020</t>
  </si>
  <si>
    <t>4800001272-FHD-CG - Method Statement for Asphalt Works</t>
  </si>
  <si>
    <t>FHD-TRANSMIT-005042</t>
  </si>
  <si>
    <t>FHD-TRANSMIT-005046</t>
  </si>
  <si>
    <t>40-000000-4800001272-FHD-CIV-MAT-000025</t>
  </si>
  <si>
    <t>40-000000-4800001272-FHD-CIV-CRS-000025</t>
  </si>
  <si>
    <t>4800001272-FHD-CG - Material Submittal For Asphalt Bituminous Wearing Class12.5mm By Al Imtyaz</t>
  </si>
  <si>
    <t>FHD-TRANSMIT-005055</t>
  </si>
  <si>
    <t>FHD-TRANSMIT-005056</t>
  </si>
  <si>
    <t>40-000000-4800001272-FHD-MEC-CRS-000038</t>
  </si>
  <si>
    <t>40-000000-4800001272-FHD-MEC-MAT-000038</t>
  </si>
  <si>
    <t>4800001272-FHD-CG - Material Submittal For Expansion Joint For Pump Room Building By Elite (ARMFLEX)</t>
  </si>
  <si>
    <t>4800001272-FHD-CG - Material Submittal For Metal Base By Imar Al Jazirah (SENMRY)</t>
  </si>
  <si>
    <t>40-000000-4800001272-FHD-ARC-MAT-000052</t>
  </si>
  <si>
    <t>40-000000-4800001272-FHD-ARC-CRS-000052</t>
  </si>
  <si>
    <t>FHD-TRANSMIT-005060</t>
  </si>
  <si>
    <t>4800001272-FHD-CG - Method Statement for Installation of Doors, Frames &amp; Hardwares</t>
  </si>
  <si>
    <t>40-310002-4800001272-FHD-ARC-CRS-000034</t>
  </si>
  <si>
    <t>FHD-TRANSMIT-005064</t>
  </si>
  <si>
    <t>FHD-TRANSMIT-005066</t>
  </si>
  <si>
    <t>40-000000-4800001272-FHD-MEC-MAT-000039</t>
  </si>
  <si>
    <t>40-000000-4800001272-FHD-MEC-CRS-000039</t>
  </si>
  <si>
    <t>4800001272-FHD-CG - Material Submittal For Flange Insulation Kits For Fire Water Line By Gulf Star Co.</t>
  </si>
  <si>
    <t>FHD-TRANSMIT-005062</t>
  </si>
  <si>
    <t>40-730007-4800001272-FHD-ELE-ITP-000022</t>
  </si>
  <si>
    <t>40-730007-4800001272-FHD-ELE-CRS-000146</t>
  </si>
  <si>
    <t>FHD-TRANSMIT-005063</t>
  </si>
  <si>
    <t>40-730007-4800001272-FHD-ELV-ITP-000005</t>
  </si>
  <si>
    <t>40-730007-4800001272-FHD-ELV-CRS-000021</t>
  </si>
  <si>
    <t>FHD-TRANSMIT-005067</t>
  </si>
  <si>
    <t>4800001272-FHD-CG - Inspection and Test Plan For Installation Of Scada System</t>
  </si>
  <si>
    <t>WF-022309</t>
  </si>
  <si>
    <t>WF-022310</t>
  </si>
  <si>
    <t>WF-022312</t>
  </si>
  <si>
    <t>WF-022314</t>
  </si>
  <si>
    <t>WF-022315</t>
  </si>
  <si>
    <t>WF-022334</t>
  </si>
  <si>
    <t>WF-022385</t>
  </si>
  <si>
    <t>WF-022386</t>
  </si>
  <si>
    <t>WF-022387</t>
  </si>
  <si>
    <t>WF-022388</t>
  </si>
  <si>
    <t>WF-022389</t>
  </si>
  <si>
    <t>WF-022442</t>
  </si>
  <si>
    <t>WF-022445</t>
  </si>
  <si>
    <t>WF-022449</t>
  </si>
  <si>
    <t>4800001272-FHD-CG - Method Statement for Installation of Wooden Cladding on Walls &amp; Ceiling</t>
  </si>
  <si>
    <t>FHD-TRANSMIT-005077</t>
  </si>
  <si>
    <t>FHD-TRANSMIT-005078</t>
  </si>
  <si>
    <t>40-310002-4800001272-FHD-ARC-ITP-000010</t>
  </si>
  <si>
    <t>40-310002-4800001272-FHD-ARC-CRS-000035</t>
  </si>
  <si>
    <t>4800001272-FHD-CG - Inspection and Test Plan for Installation of Resilient Sheet Flooring (Vinyl / Rubber)</t>
  </si>
  <si>
    <t>FHD-TRANSMIT-005079</t>
  </si>
  <si>
    <t>FHD-TRANSMIT-005081</t>
  </si>
  <si>
    <t>FHD-TRANSMIT-005084</t>
  </si>
  <si>
    <t>FHD-TRANSMIT-005083</t>
  </si>
  <si>
    <t>40-730007-4800001272-FHD-MEC-PQD-000097</t>
  </si>
  <si>
    <t>FHD-TRANSMIT-005085</t>
  </si>
  <si>
    <t>4800001272-FHD-CG -Pre-Qualification Document for Al- Kuhaimi Co. for the Supply of Blast-Proof Doors and Windows</t>
  </si>
  <si>
    <t>40-730007-4800001272-FHD-MEC-CRS-000305</t>
  </si>
  <si>
    <t>WF-022488</t>
  </si>
  <si>
    <t>WF-022492</t>
  </si>
  <si>
    <t>WF-022493</t>
  </si>
  <si>
    <t>WF-022494</t>
  </si>
  <si>
    <t>WF-022496</t>
  </si>
  <si>
    <t>WF-022499</t>
  </si>
  <si>
    <t>WF-022500</t>
  </si>
  <si>
    <t>40-730007-4800001272-FHD-ELV-MST-000007</t>
  </si>
  <si>
    <t>40-730007-4800001272-FHD-ELV-CRS-000022</t>
  </si>
  <si>
    <t>4800001272-FHD-CG - Method Statement for Installation of Public Address System</t>
  </si>
  <si>
    <t>FHD-TRANSMIT-005101</t>
  </si>
  <si>
    <t>FHD-TRANSMIT-005103</t>
  </si>
  <si>
    <t>FHD-TRANSMIT-005105</t>
  </si>
  <si>
    <t>FHD-TRANSMIT-005104</t>
  </si>
  <si>
    <t>WF-022557</t>
  </si>
  <si>
    <t>WF-022559</t>
  </si>
  <si>
    <t>WF-022560</t>
  </si>
  <si>
    <t>WF-022561</t>
  </si>
  <si>
    <t>FHD-TRANSMIT-005107</t>
  </si>
  <si>
    <t>40-730007-4800001272-FHD-MEC-CRS-000308</t>
  </si>
  <si>
    <t>40-730007-4800001272-FHD-MEC-MST-000006</t>
  </si>
  <si>
    <t>4800001272-FHD-CG - Method Statement for Installation &amp; Testing of Compressed Air System</t>
  </si>
  <si>
    <t>FHD-TRANSMIT-005109</t>
  </si>
  <si>
    <t>FHD-TRANSMIT-005112</t>
  </si>
  <si>
    <t>FHD-TRANSMIT-005113</t>
  </si>
  <si>
    <t>FHD-TRANSMIT-005114</t>
  </si>
  <si>
    <t>FHD-TRANSMIT-005115</t>
  </si>
  <si>
    <t>FHD-TRANSMIT-005116</t>
  </si>
  <si>
    <t>FHD-TRANSMIT-005120</t>
  </si>
  <si>
    <t>FHD-TRANSMIT-005121</t>
  </si>
  <si>
    <t>FHD-TRANSMIT-005122</t>
  </si>
  <si>
    <t>FHD-TRANSMIT-005123</t>
  </si>
  <si>
    <t>40-310002-4800001272-FHD-STR-MST-000005</t>
  </si>
  <si>
    <t>40-310002-4800001272-FHD-STR-CRS-000034</t>
  </si>
  <si>
    <t>4800001272-FHD-CG - Method Statement for Concrete Strengthening Works (First Floor Slab &amp; RC Drop)</t>
  </si>
  <si>
    <t>FHD-TRANSMIT-005108</t>
  </si>
  <si>
    <t xml:space="preserve">WF-022614 </t>
  </si>
  <si>
    <t>WF-022602</t>
  </si>
  <si>
    <t>WF-022603</t>
  </si>
  <si>
    <t>WF-022604</t>
  </si>
  <si>
    <t>WF-022607</t>
  </si>
  <si>
    <t>WF-022608</t>
  </si>
  <si>
    <t>WF-022610</t>
  </si>
  <si>
    <t>WF-022611</t>
  </si>
  <si>
    <t>WF-022613</t>
  </si>
  <si>
    <t>WF-022618</t>
  </si>
  <si>
    <t>WF-022652</t>
  </si>
  <si>
    <t>WF-022661</t>
  </si>
  <si>
    <t>FHD-TRANSMIT-005142</t>
  </si>
  <si>
    <t>FHD-TRANSMIT-005143</t>
  </si>
  <si>
    <t>FHD-TRANSMIT-005144</t>
  </si>
  <si>
    <t>FHD-TRANSMIT-005138</t>
  </si>
  <si>
    <t>FHD-TRANSMIT-005139</t>
  </si>
  <si>
    <t>FHD-TRANSMIT-005141</t>
  </si>
  <si>
    <t>FHD-TRANSMIT-005151</t>
  </si>
  <si>
    <t>40-730007-4800001272-FHD-ELE-MST-000010</t>
  </si>
  <si>
    <t>FHD-TRANSMIT-005150</t>
  </si>
  <si>
    <t>4800001272-FHD-CG - Method Statement for Installation of Solar System</t>
  </si>
  <si>
    <t>40-730007-4800001272-FHD-ELE-CRS-000147</t>
  </si>
  <si>
    <t>FHD-TRANSMIT-005156</t>
  </si>
  <si>
    <t>40-730007-4800001272-FHD-MEC-ITP-000020</t>
  </si>
  <si>
    <t>4800001272-FHD-CG - Inspection Test Plan for Installation &amp; Testing of Compressed Air System</t>
  </si>
  <si>
    <t>40-730007-4800001272-FHD-MEC-CRS-000310</t>
  </si>
  <si>
    <t>FHD-TRANSMIT-005157</t>
  </si>
  <si>
    <t>WF-022749</t>
  </si>
  <si>
    <t>WF-022750</t>
  </si>
  <si>
    <t>WF-022751</t>
  </si>
  <si>
    <t>WF-022752</t>
  </si>
  <si>
    <t>WF-022753</t>
  </si>
  <si>
    <t>WF-022754</t>
  </si>
  <si>
    <t>WF-022755</t>
  </si>
  <si>
    <t>WF-022756</t>
  </si>
  <si>
    <t>WF-022757</t>
  </si>
  <si>
    <t>WF-022758</t>
  </si>
  <si>
    <t>40-730007-4800001272-FHD-CIV-PQD-000021</t>
  </si>
  <si>
    <t>4800001272-FHD-CG - Pre- Qualification Document for Expert Future For Ashphalt Co. as Asphalt Batching Plant</t>
  </si>
  <si>
    <t>40-730007-4800001272-FHD-CIV-CRS-000134</t>
  </si>
  <si>
    <t>FHD-TRANSMIT-005161</t>
  </si>
  <si>
    <t>FHD-TRANSMIT-005162</t>
  </si>
  <si>
    <t>4800001272-FHD-CG - Method Statement for Demolishing and Repair Activity for Staircase - 03.</t>
  </si>
  <si>
    <t>FHD-TRANSMIT-005169</t>
  </si>
  <si>
    <t>FHD-TRANSMIT-005170</t>
  </si>
  <si>
    <t>FHD-TRANSMIT-005171</t>
  </si>
  <si>
    <t>WF-022794</t>
  </si>
  <si>
    <t>WF-022795</t>
  </si>
  <si>
    <t>WF-022796</t>
  </si>
  <si>
    <t>WF-022797</t>
  </si>
  <si>
    <t>WF-022818</t>
  </si>
  <si>
    <t>FHD-TRANSMIT-005196</t>
  </si>
  <si>
    <t>40-730007-4800001272-FHD-ELE-ITP-000023</t>
  </si>
  <si>
    <t>40-730007-4800001272-FHD-ELE-CRS-000148</t>
  </si>
  <si>
    <t>4800001272-FHD-CG - Inspection And Test Plan For Installation &amp; Testing of Solar Photovoltaic System</t>
  </si>
  <si>
    <t>FHD-TRANSMIT-005198</t>
  </si>
  <si>
    <t>FHD-TRANSMIT-005208</t>
  </si>
  <si>
    <t>FHD-TRANSMIT-005199</t>
  </si>
  <si>
    <t>FHD-TRANSMIT-005201</t>
  </si>
  <si>
    <t>FHD-TRANSMIT-005202</t>
  </si>
  <si>
    <t>FHD-TRANSMIT-005203</t>
  </si>
  <si>
    <t>WF-022930</t>
  </si>
  <si>
    <t>FHD-TRANSMIT-005220</t>
  </si>
  <si>
    <t>WF-022953</t>
  </si>
  <si>
    <t>WF-022932</t>
  </si>
  <si>
    <t>WF-022933</t>
  </si>
  <si>
    <t>WF-022935</t>
  </si>
  <si>
    <t>WF-022938</t>
  </si>
  <si>
    <t>WF-022940</t>
  </si>
  <si>
    <t>WF-022943</t>
  </si>
  <si>
    <t>FHD-TRANSMIT-005230</t>
  </si>
  <si>
    <t>FHD-TRANSMIT-005223</t>
  </si>
  <si>
    <t>FHD-TRANSMIT-005224</t>
  </si>
  <si>
    <t>FHD-TRANSMIT-005225</t>
  </si>
  <si>
    <t>FHD-TRANSMIT-005226</t>
  </si>
  <si>
    <t>FHD-TRANSMIT-005227</t>
  </si>
  <si>
    <t>40-000000-4800001272-FHD-ARC-MAT-000053</t>
  </si>
  <si>
    <t>40-000000-4800001272-FHD-ARC-CRS-000053</t>
  </si>
  <si>
    <t>FHD-TRANSMIT-005228</t>
  </si>
  <si>
    <t>4800001272-FHD-CG - Material Submittal For Raised Floor By Avayo</t>
  </si>
  <si>
    <t>40-730007-4800001272-FHD-ELV-ITP-000006</t>
  </si>
  <si>
    <t>40-730007-4800001272-FHD-ELV-CRS-000023</t>
  </si>
  <si>
    <t>4800001272-FHD-CG - Inspection and Test Plan For Installation &amp; Testing of Public Address System</t>
  </si>
  <si>
    <t>FHD-TRANSMIT-005238</t>
  </si>
  <si>
    <t>40-730007-4800001272-FHD-ELE-MST-000011</t>
  </si>
  <si>
    <t>40-730007-4800001272-FHD-ELE-CRS-000149</t>
  </si>
  <si>
    <t>4800001272-FHD-CG - Method Statement for Installation of Capacitor Bank</t>
  </si>
  <si>
    <t>FHD-TRANSMIT-005239</t>
  </si>
  <si>
    <t>WF-022991</t>
  </si>
  <si>
    <t>WF-022992</t>
  </si>
  <si>
    <t>WF-022993</t>
  </si>
  <si>
    <t>WF-022994</t>
  </si>
  <si>
    <t>WF-022995</t>
  </si>
  <si>
    <t>WF-022997</t>
  </si>
  <si>
    <t>WF-023002</t>
  </si>
  <si>
    <t>FHD-TRANSMIT-005240</t>
  </si>
  <si>
    <t>40-310002-4800001272-FHD-STR-CRS-000036</t>
  </si>
  <si>
    <t>40-310002-4800001272-FHD-STR-ITP-000001</t>
  </si>
  <si>
    <t>4800001272-FHD-CG - Inspection and Test Plan for Elevator Supporting Structure Installation</t>
  </si>
  <si>
    <t>FHD-TRANSMIT-005241</t>
  </si>
  <si>
    <t>40-310002-4800001272-FHD-MEC-CRS-000010</t>
  </si>
  <si>
    <t>FHD-TRANSMIT-005243</t>
  </si>
  <si>
    <t>FHD-TRANSMIT-005244</t>
  </si>
  <si>
    <t>FHD-TRANSMIT-005247</t>
  </si>
  <si>
    <t>40-730007-4800001272-FHD-MEC-ITP-000021</t>
  </si>
  <si>
    <t>40-730007-4800001272-FHD-MEC-CRS-000312</t>
  </si>
  <si>
    <t>4800001272-FHD-CG -Inspection and Test Plan for Installation &amp; Testing of Elevators</t>
  </si>
  <si>
    <t>FHD-TRANSMIT-005250</t>
  </si>
  <si>
    <t>WF-023064</t>
  </si>
  <si>
    <t>40-100008-4800001272-FHD-CIV-ITP-000003</t>
  </si>
  <si>
    <t>40-100008-4800001272-FHD-CIV-CRS-000021</t>
  </si>
  <si>
    <t>FHD-TRANSMIT-005253</t>
  </si>
  <si>
    <t>4800001272-FHD-CG - Inspection and Test Plan For Asphalt Works</t>
  </si>
  <si>
    <t>FHD-TRANSMIT-005263</t>
  </si>
  <si>
    <t>FHD-TRANSMIT-005265</t>
  </si>
  <si>
    <t>FHD-TRANSMIT-005268</t>
  </si>
  <si>
    <t>WF-023134</t>
  </si>
  <si>
    <t>WF-023135</t>
  </si>
  <si>
    <t>WF-023136</t>
  </si>
  <si>
    <t>WF-023138</t>
  </si>
  <si>
    <t>WF-023139</t>
  </si>
  <si>
    <t>WF-023140</t>
  </si>
  <si>
    <t>WF-023142</t>
  </si>
  <si>
    <t>WF-023144</t>
  </si>
  <si>
    <t>WF-023145</t>
  </si>
  <si>
    <t>WF-023146</t>
  </si>
  <si>
    <t>FHD-TRANSMIT-005270</t>
  </si>
  <si>
    <t>FHD-TRANSMIT-005271</t>
  </si>
  <si>
    <t>40-310002-4800001272-FHD-ARC-ITP-000011</t>
  </si>
  <si>
    <t>40-310002-4800001272-FHD-ARC-CRS-000038</t>
  </si>
  <si>
    <t>4800001272-FHD-CG - Inspection and Test Plan for Wooden Cladding,Acoustic Wood, Veneer Wooden,Laminate Wooden</t>
  </si>
  <si>
    <t>FHD-TRANSMIT-005272</t>
  </si>
  <si>
    <t>WF-023196</t>
  </si>
  <si>
    <t>WF-023197</t>
  </si>
  <si>
    <t>WF-023200</t>
  </si>
  <si>
    <t>FHD-TRANSMIT-005278</t>
  </si>
  <si>
    <t>FHD-TRANSMIT-005279</t>
  </si>
  <si>
    <t>FHD-TRANSMIT-005285</t>
  </si>
  <si>
    <t>FHD-TRANSMIT-005286</t>
  </si>
  <si>
    <t>FHD-TRANSMIT-005281</t>
  </si>
  <si>
    <t>FHD-TRANSMIT-005282</t>
  </si>
  <si>
    <t>40-000000-4800001272-FHD-ARC-MAT-000054</t>
  </si>
  <si>
    <t>40-000000-4800001272-FHD-ARC-CRS-000054</t>
  </si>
  <si>
    <t>FHD-TRANSMIT-005284</t>
  </si>
  <si>
    <t>40-310002-4800001272-FHD-STR-ITP-000002</t>
  </si>
  <si>
    <t>40-310002-4800001272-FHD-STR-CRS-000037</t>
  </si>
  <si>
    <t>FHD-TRANSMIT-005287</t>
  </si>
  <si>
    <t>4800001272-FHD-CG - Inspection and Test Plan For Concrete Strengthening Works for First Floor Slab</t>
  </si>
  <si>
    <t>WF-023237</t>
  </si>
  <si>
    <t>WF-023239</t>
  </si>
  <si>
    <t>WF-023241</t>
  </si>
  <si>
    <t>WF-023242</t>
  </si>
  <si>
    <t>WF-023243</t>
  </si>
  <si>
    <t>WF-023244</t>
  </si>
  <si>
    <t>WF-023245</t>
  </si>
  <si>
    <t>WF-023246</t>
  </si>
  <si>
    <t>Contractor will withdraw this document. As per they are not going to erect the tower crane on the project.</t>
  </si>
  <si>
    <t>FHD-TRANSMIT-005302</t>
  </si>
  <si>
    <t>FHD-TRANSMIT-005303</t>
  </si>
  <si>
    <t>FHD-TRANSMIT-005310</t>
  </si>
  <si>
    <t>FHD-TRANSMIT-005311</t>
  </si>
  <si>
    <t>FHD-TRANSMIT-005315</t>
  </si>
  <si>
    <t>WF-023316</t>
  </si>
  <si>
    <t>WF-023317</t>
  </si>
  <si>
    <t>FHD-TRANSMIT-005305</t>
  </si>
  <si>
    <t>WF-023318</t>
  </si>
  <si>
    <t>WF-023324</t>
  </si>
  <si>
    <t>WF-023327</t>
  </si>
  <si>
    <t>WF-023328</t>
  </si>
  <si>
    <t>FHD-TRANSMIT-005320</t>
  </si>
  <si>
    <t>FHD-TRANSMIT-005321</t>
  </si>
  <si>
    <t>FHD-TRANSMIT-005322</t>
  </si>
  <si>
    <t>40-000000-4800001272-FHD-ARC-MAT-000055</t>
  </si>
  <si>
    <t>40-000000-4800001272-FHD-ARC-CRS-000055</t>
  </si>
  <si>
    <t>4800001272-FHD-CG - Material Submittal For Steel Shading Canopy By Lavenco</t>
  </si>
  <si>
    <t>FHD-TRANSMIT-005323</t>
  </si>
  <si>
    <t>40-000000-4800001272-FHD-CIV-CRS-000002</t>
  </si>
  <si>
    <t>40-000000-4800001272-FHD-CIV-MAT-000002</t>
  </si>
  <si>
    <t>4800001272-FHD-CG - Material Submittal for Expansion Joints By Ankara Teknik Co</t>
  </si>
  <si>
    <t>FHD-TRANSMIT-002361</t>
  </si>
  <si>
    <t>FHD-TRANSMIT-002044</t>
  </si>
  <si>
    <t>WF-007088</t>
  </si>
  <si>
    <t>WF-009735</t>
  </si>
  <si>
    <t>WF-023360</t>
  </si>
  <si>
    <t>WF-023361</t>
  </si>
  <si>
    <t>FHD-TRANSMIT-005328</t>
  </si>
  <si>
    <t>WF-023366</t>
  </si>
  <si>
    <t>WF-023367</t>
  </si>
  <si>
    <t>WF-023369</t>
  </si>
  <si>
    <t>FHD-TRANSMIT-005331</t>
  </si>
  <si>
    <t>FHD-TRANSMIT-005330</t>
  </si>
  <si>
    <t>40-000000-4800001272-FHD-ARC-MAT-000056</t>
  </si>
  <si>
    <t>40-000000-4800001272-FHD-ARC-CRS-000056</t>
  </si>
  <si>
    <t>4800001272-FHD-CG - Material Submittal For Sikalastic WP 668 -Aterproof,Flexible Protective Coating By Sika</t>
  </si>
  <si>
    <t>40-730007-4800001272-FHD-HSE-MST-000007</t>
  </si>
  <si>
    <t>4800001272-FHD-CG - Construction Activity Safety Analysis (CASA) for Welding at Metal Deck</t>
  </si>
  <si>
    <t>FHD-TRANSMIT-005334</t>
  </si>
  <si>
    <t>WF-023402</t>
  </si>
  <si>
    <t>FHD-TRANSMIT-005342</t>
  </si>
  <si>
    <t>WF-023430</t>
  </si>
  <si>
    <t>WF-023433</t>
  </si>
  <si>
    <t>40-730007-4800001272-FHD-HSE-CRS-000037</t>
  </si>
  <si>
    <t>WF-023435</t>
  </si>
  <si>
    <t>WF-023438</t>
  </si>
  <si>
    <t>40-000000-4800001272-FHD-CIV-MAT-000026</t>
  </si>
  <si>
    <t>40-000000-4800001272-FHD-CIV-CRS-000026</t>
  </si>
  <si>
    <t>4800001272-FHD-CG - Material Submittal For BBC&amp;BWC Asphalt By Expert Future</t>
  </si>
  <si>
    <t>FHD-TRANSMIT-005347</t>
  </si>
  <si>
    <t>WF-023431</t>
  </si>
  <si>
    <t>WF-023476</t>
  </si>
  <si>
    <t>FHD-TRANSMIT-005362</t>
  </si>
  <si>
    <t>FHD-TRANSMIT-005376</t>
  </si>
  <si>
    <t>FHD-TRANSMIT-005377</t>
  </si>
  <si>
    <t>FHD-TRANSMIT-005378</t>
  </si>
  <si>
    <t>40-310002-4800001272-FHD-ARC-ITP-000012</t>
  </si>
  <si>
    <t>40-310002-4800001272-FHD-ARC-CRS-000039</t>
  </si>
  <si>
    <t>4800001272-FHD-CG - Inspection and Test Plan for Wet Area Water Proofing</t>
  </si>
  <si>
    <t>40-310002-4800001272-FHD-ARC-MST-000016</t>
  </si>
  <si>
    <t>40-310002-4800001272-FHD-ARC-CRS-000040</t>
  </si>
  <si>
    <t>4800001272-FHD-CG - Method Statement for Wet Area Waterproofing</t>
  </si>
  <si>
    <t>FHD-TRANSMIT-005380</t>
  </si>
  <si>
    <t>FHD-TRANSMIT-005381</t>
  </si>
  <si>
    <t>WF-023497</t>
  </si>
  <si>
    <t>WF-023498</t>
  </si>
  <si>
    <t>WF-023499</t>
  </si>
  <si>
    <t>WF-023505</t>
  </si>
  <si>
    <t>FHD-TRANSMIT-005384</t>
  </si>
  <si>
    <t>FHD-TRANSMIT-005391</t>
  </si>
  <si>
    <t>FHD-TRANSMIT-005388</t>
  </si>
  <si>
    <t>40-730007-4800001272-FHD-ELE-ITP-000024</t>
  </si>
  <si>
    <t>40-730007-4800001272-FHD-ELE-CRS-000150</t>
  </si>
  <si>
    <t>4800001272-FHD-CG - Inspection And Test Plan For Installation of Capacitor Bank</t>
  </si>
  <si>
    <t>FHD-TRANSMIT-005389</t>
  </si>
  <si>
    <t>FHD-TRANSMIT-005390</t>
  </si>
  <si>
    <t>4800001272-FHD-CG - Material Submittal for Filler for Epoxy Flooring By Sigma</t>
  </si>
  <si>
    <t>FHD-TRANSMIT-005392</t>
  </si>
  <si>
    <t>FHD-TRANSMIT-005397</t>
  </si>
  <si>
    <t>WF-023557</t>
  </si>
  <si>
    <t>WF-023559</t>
  </si>
  <si>
    <t>WF-023560</t>
  </si>
  <si>
    <t>WF-023561</t>
  </si>
  <si>
    <t>WF-023562</t>
  </si>
  <si>
    <t>WF-023563</t>
  </si>
  <si>
    <t>WF-023564</t>
  </si>
  <si>
    <t>40-000000-4800001272-FHD-ARC-MAT-000057</t>
  </si>
  <si>
    <t>40-000000-4800001272-FHD-ARC-CRS-000057</t>
  </si>
  <si>
    <t>4800001272-FHD-CG - Material Submittal For Bullet and Blast Proof Doors By Al-lKuhaimi</t>
  </si>
  <si>
    <t>FHD-TRANSMIT-005402</t>
  </si>
  <si>
    <t>FHD-TRANSMIT-005407</t>
  </si>
  <si>
    <t>FHD-TRANSMIT-005408</t>
  </si>
  <si>
    <t>WF-023644</t>
  </si>
  <si>
    <t>WF-023632</t>
  </si>
  <si>
    <t>4800001272/000 - Material submittal for Curing Compound by Sika Saudi Arabia</t>
  </si>
  <si>
    <t>40-730007-4800001272-FHD-CIV-CRS-000001</t>
  </si>
  <si>
    <t>40-730007-4800001272-FHD-CIV-MAT-000001</t>
  </si>
  <si>
    <t>FHD-TRANSMIT-000002</t>
  </si>
  <si>
    <t>40-310002-4800001272-FHD-MEC-MST-000004</t>
  </si>
  <si>
    <t>40-310002-4800001272-FHD-MEC-CRS-000011</t>
  </si>
  <si>
    <t>4800001272-FHD-CG - Method Statement for Installation &amp; Testing of Elevators</t>
  </si>
  <si>
    <t>FHD-TRANSMIT-005416</t>
  </si>
  <si>
    <t>4800001272-FHD-CG - Material Submittal For Acoustic Plaster By Saveto</t>
  </si>
  <si>
    <t>FHD-TRANSMIT-005409</t>
  </si>
  <si>
    <t>FHD-TRANSMIT-005410</t>
  </si>
  <si>
    <t>FHD-TRANSMIT-005412</t>
  </si>
  <si>
    <t>FHD-TRANSMIT-005421</t>
  </si>
  <si>
    <t>FHD-TRANSMIT-005422</t>
  </si>
  <si>
    <t>FHD-TRANSMIT-005423</t>
  </si>
  <si>
    <t>FHD-TRANSMIT-005424</t>
  </si>
  <si>
    <t>FHD-TRANSMIT-005425</t>
  </si>
  <si>
    <t>FHD-TRANSMIT-005426</t>
  </si>
  <si>
    <t>FHD-TRANSMIT-005427</t>
  </si>
  <si>
    <t>FHD-TRANSMIT-005428</t>
  </si>
  <si>
    <t>FHD-TRANSMIT-005430</t>
  </si>
  <si>
    <t>FHD-TRANSMIT-005431</t>
  </si>
  <si>
    <t>WF-023714</t>
  </si>
  <si>
    <t>FHD-TRANSMIT-005434</t>
  </si>
  <si>
    <t>FHD-TRANSMIT-005436</t>
  </si>
  <si>
    <t>40-100008-4800001272-FHD-CIV-MST-000009</t>
  </si>
  <si>
    <t xml:space="preserve">
40-100008-4800001272-FHD-CIV-CRS-000022</t>
  </si>
  <si>
    <t>4800001272-FHD-CG - Method Statement for Installation of Security Fence and Gates</t>
  </si>
  <si>
    <t>FHD-TRANSMIT-005438</t>
  </si>
  <si>
    <t>WF-023715</t>
  </si>
  <si>
    <t>WF-023716</t>
  </si>
  <si>
    <t>WF-023717</t>
  </si>
  <si>
    <t>WF-023718</t>
  </si>
  <si>
    <t>WF-023719</t>
  </si>
  <si>
    <t>WF-023721</t>
  </si>
  <si>
    <t>WF-023724</t>
  </si>
  <si>
    <t>WF-023725</t>
  </si>
  <si>
    <t>WF-023726</t>
  </si>
  <si>
    <t>WF-023727</t>
  </si>
  <si>
    <t>WF-023728</t>
  </si>
  <si>
    <t>WF-023729</t>
  </si>
  <si>
    <t>WF-023730</t>
  </si>
  <si>
    <t>WF-023731</t>
  </si>
  <si>
    <t>FHD-TRANSMIT-005445</t>
  </si>
  <si>
    <t>WF-023773</t>
  </si>
  <si>
    <t>WF-023775</t>
  </si>
  <si>
    <t>FHD-TRANSMIT-005450</t>
  </si>
  <si>
    <t>FHD-TRANSMIT-005451</t>
  </si>
  <si>
    <t>FHD-TRANSMIT-005452</t>
  </si>
  <si>
    <t>FHD-TRANSMIT-005453</t>
  </si>
  <si>
    <t>FHD-TRANSMIT-005454</t>
  </si>
  <si>
    <t>FHD-TRANSMIT-005456</t>
  </si>
  <si>
    <t>FHD-TRANSMIT-005457</t>
  </si>
  <si>
    <t>FHD-TRANSMIT-005458</t>
  </si>
  <si>
    <t>FHD-TRANSMIT-005459</t>
  </si>
  <si>
    <t>FHD-TRANSMIT-005460</t>
  </si>
  <si>
    <t>WF-023837</t>
  </si>
  <si>
    <t>WF-023838</t>
  </si>
  <si>
    <t>FHD-TRANSMIT-005464</t>
  </si>
  <si>
    <t>40-000000-4800001272-FHD-ARC-MAT-000058</t>
  </si>
  <si>
    <t>40-000000-4800001272-FHD-ARC-CRS-000058</t>
  </si>
  <si>
    <t>FHD-TRANSMIT-005465</t>
  </si>
  <si>
    <t>4800001272-FHD-CG - Material Submittal For Ceiling By USG ME</t>
  </si>
  <si>
    <t>FHD-TRANSMIT-005466</t>
  </si>
  <si>
    <t>40-000000-4800001272-FHD-MEC-MAT-000040</t>
  </si>
  <si>
    <t>40-000000-4800001272-FHD-MEC-CRS-000040</t>
  </si>
  <si>
    <t>4800001272-FHD-CG - For Material Submittal For Hydrant Cabinet&amp;FDC Cabinet Box Proposal By Elite Fire Co.(SFFECO)</t>
  </si>
  <si>
    <t>FHD-TRANSMIT-005468</t>
  </si>
  <si>
    <t>4800001272-FHD-CG - Material Submittal For Level Transmitter&amp;Flow Meter By Elite Company</t>
  </si>
  <si>
    <t>40-000000-4800001272-FHD-MEC-CRS-000041</t>
  </si>
  <si>
    <t>40-000000-4800001272-FHD-MEC-MAT-000041</t>
  </si>
  <si>
    <t>FHD-TRANSMIT-005469</t>
  </si>
  <si>
    <t>WF-023839</t>
  </si>
  <si>
    <t>WF-023840</t>
  </si>
  <si>
    <t>WF-023841</t>
  </si>
  <si>
    <t>WF-023842</t>
  </si>
  <si>
    <t>WF-023845</t>
  </si>
  <si>
    <t>WF-023846</t>
  </si>
  <si>
    <t>WF-023848</t>
  </si>
  <si>
    <t>WF-023851</t>
  </si>
  <si>
    <t>WF-023852</t>
  </si>
  <si>
    <t>WF-023854</t>
  </si>
  <si>
    <t>WF-023855</t>
  </si>
  <si>
    <t>WF-023856</t>
  </si>
  <si>
    <t>WF-023857</t>
  </si>
  <si>
    <t>WF-023881</t>
  </si>
  <si>
    <t>WF-023883</t>
  </si>
  <si>
    <t>FHD-TRANSMIT-005474</t>
  </si>
  <si>
    <t>40-310002-4800001272-FHD-MEC-MST-000005</t>
  </si>
  <si>
    <t>40-310002-4800001272-FHD-MEC-CRS-000012</t>
  </si>
  <si>
    <t>40-000000-4800001272-FHD-CIV-MAT-000027</t>
  </si>
  <si>
    <t>40-000000-4800001272-FHD-CIV-CRS-000027</t>
  </si>
  <si>
    <t>FHD-TRANSMIT-005479</t>
  </si>
  <si>
    <t>FHD-TRANSMIT-005482</t>
  </si>
  <si>
    <t>FHD-TRANSMIT-005483</t>
  </si>
  <si>
    <t>FHD-TRANSMIT-005486</t>
  </si>
  <si>
    <t>FHD-TRANSMIT-005487</t>
  </si>
  <si>
    <t>40-730007-4800001272-FHD-MEC-PQD-000098</t>
  </si>
  <si>
    <t>4800001272-FHD-CG -Pre-Qualification Document for FSIME Construction Co. as Subcontractor for Fire-Sealant Application Works</t>
  </si>
  <si>
    <t>40-730007-4800001272-FHD-MEC-CRS-000316</t>
  </si>
  <si>
    <t>FHD-TRANSMIT-005489</t>
  </si>
  <si>
    <t>FHD-TRANSMIT-005490</t>
  </si>
  <si>
    <t>WF-023944</t>
  </si>
  <si>
    <t>WF-023945</t>
  </si>
  <si>
    <t>WF-023946</t>
  </si>
  <si>
    <t>WF-023947</t>
  </si>
  <si>
    <t>WF-023948</t>
  </si>
  <si>
    <t>WF-023955</t>
  </si>
  <si>
    <t>WF-023957</t>
  </si>
  <si>
    <t>FHD-TRANSMIT-005491</t>
  </si>
  <si>
    <t>FHD-TRANSMIT-005492</t>
  </si>
  <si>
    <t>FHD-TRANSMIT-005493</t>
  </si>
  <si>
    <t>FHD-TRANSMIT-005494</t>
  </si>
  <si>
    <t>40-000000-4800001272-FHD-CIV-MAT-000028</t>
  </si>
  <si>
    <t>40-000000-4800001272-FHD-CIV-CRS-000028</t>
  </si>
  <si>
    <t>4800001272-FHD-CG - Material Submittal For Hempel Paints For Sanitary Sewer Network Manhole By Color Diversity Decoration Co.</t>
  </si>
  <si>
    <t>4800001272-FHD-CG - Material Submittal For Geotextile T2000 By Unitech (TERRAM)</t>
  </si>
  <si>
    <t>FHD-TRANSMIT-005497</t>
  </si>
  <si>
    <t>FHD-TRANSMIT-005498</t>
  </si>
  <si>
    <t>FHD-TRANSMIT-005502</t>
  </si>
  <si>
    <t>WF-024008</t>
  </si>
  <si>
    <t>WF-024009</t>
  </si>
  <si>
    <t>WF-024010</t>
  </si>
  <si>
    <t>WF-024011</t>
  </si>
  <si>
    <t>WF-024014</t>
  </si>
  <si>
    <t>WF-024016</t>
  </si>
  <si>
    <t>WF-024017</t>
  </si>
  <si>
    <t>WF-024020</t>
  </si>
  <si>
    <t>FHD-TRANSMIT-005515</t>
  </si>
  <si>
    <t>4800001272-FHD-CG - Material Submittal For Steel Plates For 1st Floor Slab_Concrete Strengthening Works By Maani</t>
  </si>
  <si>
    <t>40-000000-4800001272-FHD-STR-MAT-000009</t>
  </si>
  <si>
    <t>40-000000-4800001272-FHD-STR-CRS-000009</t>
  </si>
  <si>
    <t>FHD-TRANSMIT-005516</t>
  </si>
  <si>
    <t>FHD-TRANSMIT-005521</t>
  </si>
  <si>
    <t>FHD-TRANSMIT-005522</t>
  </si>
  <si>
    <t>FHD-TRANSMIT-005523</t>
  </si>
  <si>
    <t>FHD-TRANSMIT-005533</t>
  </si>
  <si>
    <t>FHD-TRANSMIT-005528</t>
  </si>
  <si>
    <t>FHD-TRANSMIT-005529</t>
  </si>
  <si>
    <t>40-000000-4800001272-FHD-CIV-MAT-000029</t>
  </si>
  <si>
    <t>40-000000-4800001272-FHD-CIV-CRS-000029</t>
  </si>
  <si>
    <t>FHD-TRANSMIT-005530</t>
  </si>
  <si>
    <t>4800001272-FHD-CG - Material Submittal For MC-70 &amp; RC – 250 For Asphalt By Expert Future For Asphalt Co.</t>
  </si>
  <si>
    <t>WF-024153</t>
  </si>
  <si>
    <t>WF-024154</t>
  </si>
  <si>
    <t>WF-024161</t>
  </si>
  <si>
    <t>WF-024163</t>
  </si>
  <si>
    <t>WF-024162</t>
  </si>
  <si>
    <t>4800001272-FHD-CG - Method Statement for Assembly, Installation &amp; Testing of Overhead EOT Cranes.</t>
  </si>
  <si>
    <t>FHD-TRANSMIT-005541</t>
  </si>
  <si>
    <t>WF-024203</t>
  </si>
  <si>
    <t>WF-024208</t>
  </si>
  <si>
    <t>WF-024210</t>
  </si>
  <si>
    <t>WF-024212</t>
  </si>
  <si>
    <t>WF-024224</t>
  </si>
  <si>
    <t>FHD-TRANSMIT-005548</t>
  </si>
  <si>
    <t>FHD-TRANSMIT-005549</t>
  </si>
  <si>
    <t>FHD-TRANSMIT-005552</t>
  </si>
  <si>
    <t>FHD-TRANSMIT-005553</t>
  </si>
  <si>
    <t>Teminated</t>
  </si>
  <si>
    <t>FHD-TRANSMIT-005557</t>
  </si>
  <si>
    <t>FHD-TRANSMIT-005563</t>
  </si>
  <si>
    <t>FHD-TRANSMIT-005564</t>
  </si>
  <si>
    <t>FHD-TRANSMIT-005566</t>
  </si>
  <si>
    <t>FHD-TRANSMIT-005565</t>
  </si>
  <si>
    <t>WF-024265</t>
  </si>
  <si>
    <t>WF-024266</t>
  </si>
  <si>
    <t>WF-024267</t>
  </si>
  <si>
    <t>WF-024268</t>
  </si>
  <si>
    <t>WF-024269</t>
  </si>
  <si>
    <t>WF-024271</t>
  </si>
  <si>
    <t>WF-024272</t>
  </si>
  <si>
    <t>WF-024273</t>
  </si>
  <si>
    <t>FHD-TRANSMIT-005569</t>
  </si>
  <si>
    <t>WF-024305</t>
  </si>
  <si>
    <t>40-000000-4800001272-FHD-STR-MAT-000010</t>
  </si>
  <si>
    <t>40-000000-4800001272-FHD-STR-CRS-000010</t>
  </si>
  <si>
    <t>FHD-TRANSMIT-005580</t>
  </si>
  <si>
    <t>4800001272-FHD-CG-Material Submittal For Expansion Bolts for1 ST Floor Slab Strengthening Works By Maani (Hilti).</t>
  </si>
  <si>
    <t>FHD-TRANSMIT-005582</t>
  </si>
  <si>
    <t>WF-024322</t>
  </si>
  <si>
    <t>WF-024330</t>
  </si>
  <si>
    <t>WF-024387</t>
  </si>
  <si>
    <t>40-730007-4800001272-FHD-MEC-CRS-000317</t>
  </si>
  <si>
    <t>40-730007-4800001272-FHD-MEC-ITP-000022</t>
  </si>
  <si>
    <t>4800001272-FHD-CG - Vendor Inspection and Test Plan for Stainless Steel Seamless of Manufacturer FROSCH Co. by Tyseer Trading Co.</t>
  </si>
  <si>
    <t>FHD-TRANSMIT-005595</t>
  </si>
  <si>
    <t>40-730007-4800001272-FHD-ELE-ITP-000025</t>
  </si>
  <si>
    <t>40-730007-4800001272-FHD-ELE-CRS-000152</t>
  </si>
  <si>
    <t>4800001272-FHD-CG -Vendor Inspection and test plan for UPS System by Manufacturer WTHD Co. (Vendor)</t>
  </si>
  <si>
    <t>FHD-TRANSMIT-005601</t>
  </si>
  <si>
    <t>FHD-TRANSMIT-005608</t>
  </si>
  <si>
    <t>FHD-TRANSMIT-005610</t>
  </si>
  <si>
    <t>FHD-TRANSMIT-005613</t>
  </si>
  <si>
    <t>WF-024470</t>
  </si>
  <si>
    <t>WF-024472</t>
  </si>
  <si>
    <t>WF-024475</t>
  </si>
  <si>
    <t>FHD-TRANSMIT-005625</t>
  </si>
  <si>
    <t>FHD-TRANSMIT-005630</t>
  </si>
  <si>
    <t>WF-024513</t>
  </si>
  <si>
    <t>WF-024514</t>
  </si>
  <si>
    <t>40-000000-4800001272-FHD-MEC-MAT-000042</t>
  </si>
  <si>
    <t>40-000000-4800001272-FHD-MEC-CRS-000042</t>
  </si>
  <si>
    <t>4800001272-FHD-CG - Material Submittal For Chilled Water Pipes By Tysseer Services Trading</t>
  </si>
  <si>
    <t>FHD-TRANSMIT-005643</t>
  </si>
  <si>
    <t>40-000000-4800001272-FHD-ARC-MAT-000059</t>
  </si>
  <si>
    <t>40-000000-4800001272-FHD-ARC-CRS-000059</t>
  </si>
  <si>
    <t>4800001272-FHD-CG - Material Submittal For Fence By 9 degree Co</t>
  </si>
  <si>
    <t>FHD-TRANSMIT-005645</t>
  </si>
  <si>
    <t>WF-024597</t>
  </si>
  <si>
    <t>WF-024598</t>
  </si>
  <si>
    <t>FHD-TRANSMIT-005647</t>
  </si>
  <si>
    <t>WF-024637</t>
  </si>
  <si>
    <t>FHD-TRANSMIT-005652</t>
  </si>
  <si>
    <t>FHD-TRANSMIT-005653</t>
  </si>
  <si>
    <t>FHD-TRANSMIT-005654</t>
  </si>
  <si>
    <t>FHD-TRANSMIT-005655</t>
  </si>
  <si>
    <t>40-000000-4800001272-FHD-CIV-MAT-000030</t>
  </si>
  <si>
    <t>40-000000-4800001272-FHD-CIV-CRS-000030</t>
  </si>
  <si>
    <t>4800001272-FHD-CG-Material Submittal For Stainless Steel Bars By MADAR Co.</t>
  </si>
  <si>
    <t>FHD-TRANSMIT-005660</t>
  </si>
  <si>
    <t>FHD-TRANSMIT-005661</t>
  </si>
  <si>
    <t>4800001272-FHD-CG-Material Submittal For Bench Mark By Master Services</t>
  </si>
  <si>
    <t>40-000000-4800001272-FHD-LAN-CRS-000001</t>
  </si>
  <si>
    <t>40-000000-4800001272-FHD-LAN-MAT-000001</t>
  </si>
  <si>
    <t>40-000000-4800001272-FHD-MEC-MAT-000043</t>
  </si>
  <si>
    <t>40-000000-4800001272-FHD-MEC-CRS-000043</t>
  </si>
  <si>
    <t>FHD-TRANSMIT-005662</t>
  </si>
  <si>
    <t>FHD-TRANSMIT-005663</t>
  </si>
  <si>
    <t>FHD-TRANSMIT-005664</t>
  </si>
  <si>
    <t>WF-024694</t>
  </si>
  <si>
    <t>WF-024696</t>
  </si>
  <si>
    <t>WF-024700</t>
  </si>
  <si>
    <t>WF-024701</t>
  </si>
  <si>
    <t>40-310002-4800001272-FHD-MEC-ITP-000003</t>
  </si>
  <si>
    <t>40-310002-4800001272-FHD-MEC-CRS-000013</t>
  </si>
  <si>
    <t>4800001272-FHD-CG - Inspection and Test Plan For Installation of EOT (Overhead) Crane</t>
  </si>
  <si>
    <t>FHD-TRANSMIT-005667</t>
  </si>
  <si>
    <t>WF-024702</t>
  </si>
  <si>
    <t>WF-024473</t>
  </si>
  <si>
    <t>WF-024727</t>
  </si>
  <si>
    <t>FHD-TRANSMIT-005669</t>
  </si>
  <si>
    <t>WF-024760</t>
  </si>
  <si>
    <t>WF-024762</t>
  </si>
  <si>
    <t>WF-024763</t>
  </si>
  <si>
    <t>WF-024766</t>
  </si>
  <si>
    <t>WF-024767</t>
  </si>
  <si>
    <t>WF-024768</t>
  </si>
  <si>
    <t>FHD-TRANSMIT-005689</t>
  </si>
  <si>
    <t>FHD-TRANSMIT-005691</t>
  </si>
  <si>
    <t>FHD-TRANSMIT-005690</t>
  </si>
  <si>
    <t>WF-024857</t>
  </si>
  <si>
    <t>WF-024860</t>
  </si>
  <si>
    <t>WF-024862</t>
  </si>
  <si>
    <t>FHD-TRANSMIT-005700</t>
  </si>
  <si>
    <t>FHD-TRANSMIT-005701</t>
  </si>
  <si>
    <t>FHD-TRANSMIT-005702</t>
  </si>
  <si>
    <t>FHD-TRANSMIT-005703</t>
  </si>
  <si>
    <t>FHD-TRANSMIT-005705</t>
  </si>
  <si>
    <t>FHD-TRANSMIT-005706</t>
  </si>
  <si>
    <t>FHD-TRANSMIT-005707</t>
  </si>
  <si>
    <t>FHD-TRANSMIT-005710</t>
  </si>
  <si>
    <t>FHD-TRANSMIT-005711</t>
  </si>
  <si>
    <t>NEOM-TRANSMIT-001063</t>
  </si>
  <si>
    <t>WF-024968</t>
  </si>
  <si>
    <t>WF-024969</t>
  </si>
  <si>
    <t>WF-024971</t>
  </si>
  <si>
    <t>WF-024972</t>
  </si>
  <si>
    <t>WF-024973</t>
  </si>
  <si>
    <t>40-310002-4800001272-FHD-ARC-CRS-000042</t>
  </si>
  <si>
    <t>40-310002-4800001272-FHD-ARC-ITP-000013</t>
  </si>
  <si>
    <t>FHD-TRANSMIT-005716</t>
  </si>
  <si>
    <t>40-730007-4800001272-FHD-MEC-PQD-000099</t>
  </si>
  <si>
    <t>40-730007-4800001272-FHD-MEC-CRS-000318</t>
  </si>
  <si>
    <t>4800001272-FHD-CG -Pre-Qualification Document for Universal Inspection Co. for NDT services (Liquid Penetrant testing) of Overhead Crane at project site</t>
  </si>
  <si>
    <t>FHD-TRANSMIT-005717</t>
  </si>
  <si>
    <t>WF-025026</t>
  </si>
  <si>
    <t>WF-025029</t>
  </si>
  <si>
    <t>WF-025030</t>
  </si>
  <si>
    <t>WF-025031</t>
  </si>
  <si>
    <t>FHD-TRANSMIT-005720</t>
  </si>
  <si>
    <t>FHD-TRANSMIT-005721</t>
  </si>
  <si>
    <t>40-000000-4800001272-FHD-MEC-MAT-000044</t>
  </si>
  <si>
    <t>40-000000-4800001272-FHD-MEC-CRS-000044</t>
  </si>
  <si>
    <t>FHD-TRANSMIT-005722</t>
  </si>
  <si>
    <t>WF-025068</t>
  </si>
  <si>
    <t>WF-025069</t>
  </si>
  <si>
    <t>FHD-TRANSMIT-005729</t>
  </si>
  <si>
    <t>WF-025071</t>
  </si>
  <si>
    <t>WF-025072</t>
  </si>
  <si>
    <t>FHD-TRANSMIT-005734</t>
  </si>
  <si>
    <t>FHD-TRANSMIT-005735</t>
  </si>
  <si>
    <t>FHD-TRANSMIT-005736</t>
  </si>
  <si>
    <t>WF-025120</t>
  </si>
  <si>
    <t>WF-025121</t>
  </si>
  <si>
    <t>WF-025122</t>
  </si>
  <si>
    <t>FHD-TRANSMIT-005733</t>
  </si>
  <si>
    <t>WF-025124</t>
  </si>
  <si>
    <t>WF-025125</t>
  </si>
  <si>
    <t>FHD-TRANSMIT-005751</t>
  </si>
  <si>
    <t>FHD-TRANSMIT-005749</t>
  </si>
  <si>
    <t>FHD-TRANSMIT-005753</t>
  </si>
  <si>
    <t>4800001272-FHD-CG-Material Submittal For Fixed Bollard By Stebilex Systems Trading CO</t>
  </si>
  <si>
    <t>40-000000-4800001272-FHD-ELE-CRS-000011</t>
  </si>
  <si>
    <t>40-000000-4800001272-FHD-ELE-MAT-000011</t>
  </si>
  <si>
    <t>FHD-TRANSMIT-005754</t>
  </si>
  <si>
    <t>FHD-TRANSMIT-005755</t>
  </si>
  <si>
    <t>FHD-TRANSMIT-005756</t>
  </si>
  <si>
    <t>FHD-TRANSMIT-005757</t>
  </si>
  <si>
    <t>FHD-TRANSMIT-005758</t>
  </si>
  <si>
    <t>FHD-TRANSMIT-005761</t>
  </si>
  <si>
    <t>WF-000231</t>
  </si>
  <si>
    <t>FHD-TRANSMIT-005762</t>
  </si>
  <si>
    <t>WF-025216</t>
  </si>
  <si>
    <t>WF-025217</t>
  </si>
  <si>
    <t>WF-025222</t>
  </si>
  <si>
    <t>WF-025223</t>
  </si>
  <si>
    <t>WF-025224</t>
  </si>
  <si>
    <t>WF-025225</t>
  </si>
  <si>
    <t>WF-025226</t>
  </si>
  <si>
    <t>FHD-TRANSMIT-005766</t>
  </si>
  <si>
    <t>FHD-TRANSMIT-005767</t>
  </si>
  <si>
    <t>FHD-TRANSMIT-005768</t>
  </si>
  <si>
    <t>FHD-TRANSMIT-005769</t>
  </si>
  <si>
    <t>FHD-TRANSMIT-005770</t>
  </si>
  <si>
    <t>FHD-TRANSMIT-005775</t>
  </si>
  <si>
    <t>FHD-TRANSMIT-005776</t>
  </si>
  <si>
    <t>FHD-TRANSMIT-005777</t>
  </si>
  <si>
    <t>FHD-TRANSMIT-005778</t>
  </si>
  <si>
    <t>4800001272-FHD-CG - Inspection and Test Plan For Installation of Non Fire-Rated Sealant &amp; Backing Rod</t>
  </si>
  <si>
    <t>WF-025276</t>
  </si>
  <si>
    <t>WF-025277</t>
  </si>
  <si>
    <t>WF-025281</t>
  </si>
  <si>
    <t>WF-025282</t>
  </si>
  <si>
    <t>WF-025283</t>
  </si>
  <si>
    <t>40-730007-4800001272-FHD-CIV-PQD-000022</t>
  </si>
  <si>
    <t>4800001272-FHD-CG - Pre-Qualification Documents for Ayeid Eid Al Osaimi (NEOM-LABLB03-OEO-007) as Third Party Testing Lab for Civil Testing</t>
  </si>
  <si>
    <t>40-730007-4800001272-FHD-CIV-CRS-000138</t>
  </si>
  <si>
    <t>FHD-TRANSMIT-005780</t>
  </si>
  <si>
    <t>FHD-TRANSMIT-005783</t>
  </si>
  <si>
    <t>FHD-TRANSMIT-005784</t>
  </si>
  <si>
    <t>FHD-TRANSMIT-005785</t>
  </si>
  <si>
    <t>FHD-TRANSMIT-005787</t>
  </si>
  <si>
    <t>FHD-TRANSMIT-005789</t>
  </si>
  <si>
    <t>WF-025301</t>
  </si>
  <si>
    <t>WF-025354</t>
  </si>
  <si>
    <t>WF-025355</t>
  </si>
  <si>
    <t>WF-025356</t>
  </si>
  <si>
    <t>WF-025359</t>
  </si>
  <si>
    <t>WF-025360</t>
  </si>
  <si>
    <t>WF-025374</t>
  </si>
  <si>
    <t>FHD-TRANSMIT-005800</t>
  </si>
  <si>
    <t>WF-025415</t>
  </si>
  <si>
    <t>WF-025423</t>
  </si>
  <si>
    <t>FHD-TRANSMIT-005813</t>
  </si>
  <si>
    <t>40-000000-4800001272-FHD-ELE-MAT-000012</t>
  </si>
  <si>
    <t>40-000000-4800001272-FHD-ELE-CRS-000012</t>
  </si>
  <si>
    <t>FHD-TRANSMIT-005818</t>
  </si>
  <si>
    <t>WF-025440</t>
  </si>
  <si>
    <t>WF-025441</t>
  </si>
  <si>
    <t>FHD-TRANSMIT-005821</t>
  </si>
  <si>
    <t>FHD-TRANSMIT-005826</t>
  </si>
  <si>
    <t>FHD-TRANSMIT-005828</t>
  </si>
  <si>
    <t>FHD-TRANSMIT-005824</t>
  </si>
  <si>
    <t>40-000000-4800001272-FHD-ARC-MAT-000060</t>
  </si>
  <si>
    <t>40-000000-4800001272-FHD-ARC-CRS-000060</t>
  </si>
  <si>
    <t>4800001272-FHD-CG - Material Submittal For Skirting (Melamine MDF) By Deco Corner</t>
  </si>
  <si>
    <t>FHD-TRANSMIT-005827</t>
  </si>
  <si>
    <t>FHD-TRANSMIT-005831</t>
  </si>
  <si>
    <t>FHD-TRANSMIT-005837</t>
  </si>
  <si>
    <t>FHD-TRANSMIT-005838</t>
  </si>
  <si>
    <t>FHD-TRANSMIT-005832</t>
  </si>
  <si>
    <t>WF-025495</t>
  </si>
  <si>
    <t>WF-025496</t>
  </si>
  <si>
    <t>WF-025497</t>
  </si>
  <si>
    <t>FHD-TRANSMIT-005825</t>
  </si>
  <si>
    <t>WF-025498</t>
  </si>
  <si>
    <t>WF-025500</t>
  </si>
  <si>
    <t>WF-025499</t>
  </si>
  <si>
    <t>WF-025501</t>
  </si>
  <si>
    <t>WF-025502</t>
  </si>
  <si>
    <t>FHD-TRANSMIT-005839</t>
  </si>
  <si>
    <t>FHD-TRANSMIT-005840</t>
  </si>
  <si>
    <t>FHD-TRANSMIT-005841</t>
  </si>
  <si>
    <t>FHD-TRANSMIT-005842</t>
  </si>
  <si>
    <t>FHD-TRANSMIT-005848</t>
  </si>
  <si>
    <t>FHD-TRANSMIT-005849</t>
  </si>
  <si>
    <t>WF-025538</t>
  </si>
  <si>
    <t>WF-025539</t>
  </si>
  <si>
    <t>WF-025540</t>
  </si>
  <si>
    <t>WF-025541</t>
  </si>
  <si>
    <t>WF-025543</t>
  </si>
  <si>
    <t>WF-025544</t>
  </si>
  <si>
    <t>WF-025546</t>
  </si>
  <si>
    <t>WF-025547</t>
  </si>
  <si>
    <t>FHD-TRANSMIT-005854</t>
  </si>
  <si>
    <t>FHD-TRANSMIT-005857</t>
  </si>
  <si>
    <t>FHD-TRANSMIT-005858</t>
  </si>
  <si>
    <t>FHD-TRANSMIT-005859</t>
  </si>
  <si>
    <t>FHD-TRANSMIT-005860</t>
  </si>
  <si>
    <t>FHD-TRANSMIT-005861</t>
  </si>
  <si>
    <t>FHD-TRANSMIT-005862</t>
  </si>
  <si>
    <t>FHD-TRANSMIT-005863</t>
  </si>
  <si>
    <t>4800001272-FHD-CG - Material Submittal for Sealer, Finishing Mortar SikaRep® Fine SA</t>
  </si>
  <si>
    <t>FHD-TRANSMIT-005867</t>
  </si>
  <si>
    <t>4800001272-FHD-CG - Material Submittal for Road Marking By BEID Trading Company</t>
  </si>
  <si>
    <t>FHD-TRANSMIT-005868</t>
  </si>
  <si>
    <t>FHD-TRANSMIT-005871</t>
  </si>
  <si>
    <t>FHD-TRANSMIT-005872</t>
  </si>
  <si>
    <t>WF-025643</t>
  </si>
  <si>
    <t>WF-025646</t>
  </si>
  <si>
    <t>WF-025647</t>
  </si>
  <si>
    <t>WF-025648</t>
  </si>
  <si>
    <t>WF-025649</t>
  </si>
  <si>
    <t>WF-025651</t>
  </si>
  <si>
    <t>WF-025652</t>
  </si>
  <si>
    <t>FHD-TRANSMIT-005876</t>
  </si>
  <si>
    <t>WF-025653</t>
  </si>
  <si>
    <t>WF-025656</t>
  </si>
  <si>
    <t>WF-025657</t>
  </si>
  <si>
    <t>WF-025659</t>
  </si>
  <si>
    <t>FHD-TRANSMIT-005880</t>
  </si>
  <si>
    <t>FHD-TRANSMIT-005883</t>
  </si>
  <si>
    <t>4800001272-FHD-CG - Material Submittal for Cover Spacers Support by Isam Kabbani and Partners for Building and Construction Material</t>
  </si>
  <si>
    <t>FHD-TRANSMIT-005884</t>
  </si>
  <si>
    <t>FHD-TRANSMIT-005885</t>
  </si>
  <si>
    <t>FHD-TRANSMIT-005886</t>
  </si>
  <si>
    <t>WF-025725</t>
  </si>
  <si>
    <t>WF-025727</t>
  </si>
  <si>
    <t>FHD-TRANSMIT-005890</t>
  </si>
  <si>
    <t>FHD-TRANSMIT-005892</t>
  </si>
  <si>
    <t>FHD-TRANSMIT-005893</t>
  </si>
  <si>
    <t>FHD-TRANSMIT-005894</t>
  </si>
  <si>
    <t>08</t>
  </si>
  <si>
    <t>FHD-TRANSMIT-005895</t>
  </si>
  <si>
    <t>FHD-TRANSMIT-005896</t>
  </si>
  <si>
    <t>4800001272-FHD-CG - Material Submittal for Dowel Bars by Unitech (SFSP)</t>
  </si>
  <si>
    <t>FHD-TRANSMIT-005899</t>
  </si>
  <si>
    <t>FHD-TRANSMIT-005904</t>
  </si>
  <si>
    <t>FHD-TRANSMIT-005905</t>
  </si>
  <si>
    <t>FHD-TRANSMIT-005906</t>
  </si>
  <si>
    <t>WF-025837</t>
  </si>
  <si>
    <t>WF-025838</t>
  </si>
  <si>
    <t>WF-025839</t>
  </si>
  <si>
    <t>WF-025840</t>
  </si>
  <si>
    <t>WF-025841</t>
  </si>
  <si>
    <t>WF-025842</t>
  </si>
  <si>
    <t>WF-025845</t>
  </si>
  <si>
    <t>WF-025846</t>
  </si>
  <si>
    <t>WF-025847</t>
  </si>
  <si>
    <t>WF-025849</t>
  </si>
  <si>
    <t>WF-025850</t>
  </si>
  <si>
    <t>WF-025851</t>
  </si>
  <si>
    <t>WF-025852</t>
  </si>
  <si>
    <t>WF-025854</t>
  </si>
  <si>
    <t>FHD-TRANSMIT-005914</t>
  </si>
  <si>
    <t>40-000000-4800001272-FHD-ELE-MAT-000013</t>
  </si>
  <si>
    <t>40-000000-4800001272-FHD-ELE-CRS-000013</t>
  </si>
  <si>
    <t>4800001272-FHD-CG - Material Submittal For Alu-Zinc Spray by Soudal Saudi Arabia</t>
  </si>
  <si>
    <t>FHD-TRANSMIT-005917</t>
  </si>
  <si>
    <t>WF-025893</t>
  </si>
  <si>
    <t>WF-025892</t>
  </si>
  <si>
    <t>FHD-TRANSMIT-005924</t>
  </si>
  <si>
    <t>FHD-TRANSMIT-005926</t>
  </si>
  <si>
    <t>FHD-TRANSMIT-005927</t>
  </si>
  <si>
    <t>FHD-TRANSMIT-005928</t>
  </si>
  <si>
    <t>40-000000-4800001272-FHD-LAN-MAT-000002</t>
  </si>
  <si>
    <t>40-000000-4800001272-FHD-LAN-CRS-000002</t>
  </si>
  <si>
    <t>FHD-TRANSMIT-005930</t>
  </si>
  <si>
    <t>4800001272-FHD-CG-Material Submittal For Geotextile &amp; Root Barrier For Plantation Pits By Wardeh Gelnar</t>
  </si>
  <si>
    <t>4800001272-FHD-CG - Material Submittal for Blinding Concrete Mix Design C16/20 MPA SRC By Al Imtyaz Alwatania</t>
  </si>
  <si>
    <t>FHD-TRANSMIT-005938</t>
  </si>
  <si>
    <t>FHD-TRANSMIT-005939</t>
  </si>
  <si>
    <t>WF-025959</t>
  </si>
  <si>
    <t>WF-025960</t>
  </si>
  <si>
    <t>WF-025962</t>
  </si>
  <si>
    <t>FHD-TRANSMIT-005943</t>
  </si>
  <si>
    <t>WF-026006</t>
  </si>
  <si>
    <t>FHD-TRANSMIT-005952</t>
  </si>
  <si>
    <t>WF-026064</t>
  </si>
  <si>
    <t>FHD-TRANSMIT-005947</t>
  </si>
  <si>
    <t>FHD-TRANSMIT-005948</t>
  </si>
  <si>
    <t>FHD-TRANSMIT-005949</t>
  </si>
  <si>
    <t>WF-026065</t>
  </si>
  <si>
    <t>WF-026066</t>
  </si>
  <si>
    <t>WF-026069</t>
  </si>
  <si>
    <t>WF-026070</t>
  </si>
  <si>
    <t>WF-026072</t>
  </si>
  <si>
    <t>FHD-TRANSMIT-005953</t>
  </si>
  <si>
    <t>FHD-TRANSMIT-005954</t>
  </si>
  <si>
    <t>FHD-TRANSMIT-005955</t>
  </si>
  <si>
    <t>FHD-TRANSMIT-005956</t>
  </si>
  <si>
    <t>WF-026091</t>
  </si>
  <si>
    <t>FHD-TRANSMIT-005959</t>
  </si>
  <si>
    <t>WF-026149</t>
  </si>
  <si>
    <t>WF-026135</t>
  </si>
  <si>
    <t>WF-026137</t>
  </si>
  <si>
    <t>WF-026138</t>
  </si>
  <si>
    <t>WF-026139</t>
  </si>
  <si>
    <t>WF-026140</t>
  </si>
  <si>
    <t>WF-026141</t>
  </si>
  <si>
    <t>FHD-TRANSMIT-005963</t>
  </si>
  <si>
    <t>FHD-TRANSMIT-005964</t>
  </si>
  <si>
    <t>WF-026156</t>
  </si>
  <si>
    <t>FHD-TRANSMIT-005968</t>
  </si>
  <si>
    <t>40-310002-4800001272-FHD-ARC-ITP-000014</t>
  </si>
  <si>
    <t>FHD-TRANSMIT-005969</t>
  </si>
  <si>
    <t>40-310002-4800001272-FHD-ARC-CRS-000045</t>
  </si>
  <si>
    <t>4800001272-FHD-CG - Inspection and Test Plan for Stone Tiles &amp; Thresholds</t>
  </si>
  <si>
    <t>WF-026198</t>
  </si>
  <si>
    <t>WF-026199</t>
  </si>
  <si>
    <t>WF-026200</t>
  </si>
  <si>
    <t>WF-026203</t>
  </si>
  <si>
    <t>FHD-TRANSMIT-005978</t>
  </si>
  <si>
    <t>40-000000-4800001272-FHD-ELV-MAT-000003</t>
  </si>
  <si>
    <t>40-000000-4800001272-FHD-ELV-CRS-000003</t>
  </si>
  <si>
    <t>4800001272-FHD-CG - Material Submittal for High Sensitivity Smoke Detectors (HSSD) By Elite (Velocity)</t>
  </si>
  <si>
    <t>WF-026261</t>
  </si>
  <si>
    <t>FHD-TRANSMIT-005992</t>
  </si>
  <si>
    <t>WF-026274</t>
  </si>
  <si>
    <t>FHD-TRANSMIT-006003</t>
  </si>
  <si>
    <t>FHD-TRANSMIT-006005</t>
  </si>
  <si>
    <t>WF-026299</t>
  </si>
  <si>
    <t>FHD-TRANSMIT-006007</t>
  </si>
  <si>
    <t>4800001272-FHD-CG- Material Submittal for Sag Rod for Steel Structure By Maani - Masdar</t>
  </si>
  <si>
    <t>FHD-TRANSMIT-006011</t>
  </si>
  <si>
    <t>FHD-TRANSMIT-006017</t>
  </si>
  <si>
    <t>WF-026366</t>
  </si>
  <si>
    <t>WF-026372</t>
  </si>
  <si>
    <t>FHD-TRANSMIT-006020</t>
  </si>
  <si>
    <t>40-000000-4800001272-FHD-CIV-MAT-000031</t>
  </si>
  <si>
    <t>40-000000-4800001272-FHD-CIV-CRS-000031</t>
  </si>
  <si>
    <t>4800001272-FHD-CG-Material Submittal for MIXO® Foam (High Performance Foaming Agent) By Construction Chemical (CIC)</t>
  </si>
  <si>
    <t>FHD-TRANSMIT-006018</t>
  </si>
  <si>
    <t>FHD-TRANSMIT-006022</t>
  </si>
  <si>
    <t>FHD-TRANSMIT-006033</t>
  </si>
  <si>
    <t>WF-026435</t>
  </si>
  <si>
    <t>WF-026436</t>
  </si>
  <si>
    <t>WF-026443</t>
  </si>
  <si>
    <t>WF-026444</t>
  </si>
  <si>
    <t>FHD-TRANSMIT-006037</t>
  </si>
  <si>
    <t>FHD-TRANSMIT-006038</t>
  </si>
  <si>
    <t>FHD-TRANSMIT-006035</t>
  </si>
  <si>
    <t>40-000000-4800001272-FHD-ARC-MAT-000061</t>
  </si>
  <si>
    <t>40-000000-4800001272-FHD-ARC-CRS-000061</t>
  </si>
  <si>
    <t>4800001272-FHD-CG - Material Submittal for Flag Pole By RLCO Co.</t>
  </si>
  <si>
    <t>FHD-TRANSMIT-006040</t>
  </si>
  <si>
    <t>WF-026518</t>
  </si>
  <si>
    <t>WF-026520</t>
  </si>
  <si>
    <t>WF-026522</t>
  </si>
  <si>
    <t>WF-026523</t>
  </si>
  <si>
    <t>FHD-TRANSMIT-006042</t>
  </si>
  <si>
    <t>WF-026524</t>
  </si>
  <si>
    <t>WF-026527</t>
  </si>
  <si>
    <t>WF-026608</t>
  </si>
  <si>
    <t>FHD-TRANSMIT-006054</t>
  </si>
  <si>
    <t>FHD-TRANSMIT-006056</t>
  </si>
  <si>
    <t>40-000000-4800001272-FHD-ARC-MAT-000062</t>
  </si>
  <si>
    <t>40-000000-4800001272-FHD-ARC-CRS-000062</t>
  </si>
  <si>
    <t>4800001272-FHD-CG - Material Submittal for Rubber Floor Tile For GYM By Akasim</t>
  </si>
  <si>
    <t>FHD-TRANSMIT-006055</t>
  </si>
  <si>
    <t>FHD-TRANSMIT-006058</t>
  </si>
  <si>
    <t>40-000000-4800001272-FHD-ARC-MAT-000063</t>
  </si>
  <si>
    <t>40-000000-4800001272-FHD-ARC-CRS-000063</t>
  </si>
  <si>
    <t>4800001272-FHD-CG - Material Submittal For Blast &amp; Bullet Resistant Doors By Rollc</t>
  </si>
  <si>
    <t>FHD-TRANSMIT-006059</t>
  </si>
  <si>
    <t>FHD-TRANSMIT-006061</t>
  </si>
  <si>
    <t>40-000000-4800001272-FHD-CIV-MAT-000032</t>
  </si>
  <si>
    <t>40-000000-4800001272-FHD-CIV-CRS-000032</t>
  </si>
  <si>
    <t>4800001272-FHD-CG - Material Submittal forVetoproof EC722 Epoxy Polysulphide Elastomeric Coating System for Manholes By SAVETO</t>
  </si>
  <si>
    <t>FHD-TRANSMIT-006063</t>
  </si>
  <si>
    <t>WF-026682</t>
  </si>
  <si>
    <t>WF-026683</t>
  </si>
  <si>
    <t>WF-026684</t>
  </si>
  <si>
    <t>WF-026685</t>
  </si>
  <si>
    <t>WF-026687</t>
  </si>
  <si>
    <t>WF-026689</t>
  </si>
  <si>
    <t>FHD-TRANSMIT-006076</t>
  </si>
  <si>
    <t>WF-026805</t>
  </si>
  <si>
    <t>FHD-TRANSMIT-006084</t>
  </si>
  <si>
    <t>WF-026935</t>
  </si>
  <si>
    <t>FHD-TRANSMIT-006095</t>
  </si>
  <si>
    <t>WF-027011</t>
  </si>
  <si>
    <t>WF-027056</t>
  </si>
  <si>
    <t>WF-027107</t>
  </si>
  <si>
    <t>FHD-TRANSMIT-006115</t>
  </si>
  <si>
    <t>FHD-TRANSMIT-006118</t>
  </si>
  <si>
    <t>FHD-TRANSMIT-006117</t>
  </si>
  <si>
    <t>FHD-TRANSMIT-006121</t>
  </si>
  <si>
    <t>WF-027172</t>
  </si>
  <si>
    <t>WF-027178</t>
  </si>
  <si>
    <t>WF-027180</t>
  </si>
  <si>
    <t>FHD-TRANSMIT-006128</t>
  </si>
  <si>
    <t>FHD-TRANSMIT-006129</t>
  </si>
  <si>
    <t>FHD-TRANSMIT-006133</t>
  </si>
  <si>
    <t>40-000000-4800001272-FHD-ARC-MAT-000064</t>
  </si>
  <si>
    <t>40-000000-4800001272-FHD-ARC-CRS-000064</t>
  </si>
  <si>
    <t>4800001272-FHD-CG - Material Submittal For Fire Protective Construction Board By Atlantis</t>
  </si>
  <si>
    <t>FHD-TRANSMIT-006137</t>
  </si>
  <si>
    <t>WF-027236</t>
  </si>
  <si>
    <t>WF-027237</t>
  </si>
  <si>
    <t>WF-027238</t>
  </si>
  <si>
    <t>WF-027241</t>
  </si>
  <si>
    <t>40-000000-4800001272-FHD-MEC-MAT-000045</t>
  </si>
  <si>
    <t>40-000000-4800001272-FHD-MEC-CRS-000045</t>
  </si>
  <si>
    <t>FHD-TRANSMIT-006138</t>
  </si>
  <si>
    <t>FHD-TRANSMIT-006139</t>
  </si>
  <si>
    <t>FHD-TRANSMIT-006140</t>
  </si>
  <si>
    <t>40-000000-4800001272-FHD-CIV-MAT-000033</t>
  </si>
  <si>
    <t>40-000000-4800001272-FHD-CIV-CRS-000033</t>
  </si>
  <si>
    <t>FHD-TRANSMIT-006141</t>
  </si>
  <si>
    <t>FHD-TRANSMIT-006142</t>
  </si>
  <si>
    <t>FHD-TRANSMIT-006143</t>
  </si>
  <si>
    <t>WF-027313</t>
  </si>
  <si>
    <t>WF-027314</t>
  </si>
  <si>
    <t>WF-027315</t>
  </si>
  <si>
    <t>WF-027316</t>
  </si>
  <si>
    <t>WF-027317</t>
  </si>
  <si>
    <t>WF-027318</t>
  </si>
  <si>
    <t>40-730007-4800001272-FHD-CIV-PQD-000023</t>
  </si>
  <si>
    <t>40-730007-4800001272-FHD-CIV-CRS-000139</t>
  </si>
  <si>
    <t>4800001272-FHD-CG - Pre-Qualification document for ECS Subcon/Services provider (ELITE Contracting Solutions company)</t>
  </si>
  <si>
    <t>FHD-TRANSMIT-006146</t>
  </si>
  <si>
    <t>FHD-TRANSMIT-006150</t>
  </si>
  <si>
    <t>WF-027357</t>
  </si>
  <si>
    <t>FHD-TRANSMIT-006158</t>
  </si>
  <si>
    <t>40-000000-4800001272-FHD-FPR-MAT-000002</t>
  </si>
  <si>
    <t>40-000000-4800001272-FHD-FPR-CRS-000002</t>
  </si>
  <si>
    <t>4800001272-FHD-CG - Material Submittal for UL/FM Approved Grooved Fittings for Fire Pump Room By Elite Company (National)</t>
  </si>
  <si>
    <t>FHD-TRANSMIT-006159</t>
  </si>
  <si>
    <t>40-000000-4800001272-FHD-MEC-MAT-000046</t>
  </si>
  <si>
    <t>40-000000-4800001272-FHD-MEC-CRS-000046</t>
  </si>
  <si>
    <t>FHD-TRANSMIT-006163</t>
  </si>
  <si>
    <t>FHD-TRANSMIT-006165</t>
  </si>
  <si>
    <t>WF-027407</t>
  </si>
  <si>
    <t>WF-027408</t>
  </si>
  <si>
    <t>WF-027409</t>
  </si>
  <si>
    <t>WF-027415</t>
  </si>
  <si>
    <t>WF-027417</t>
  </si>
  <si>
    <t>WF-027177</t>
  </si>
  <si>
    <t>FHD-TRANSMIT-006176</t>
  </si>
  <si>
    <t>FHD-TRANSMIT-006177</t>
  </si>
  <si>
    <t>40-000000-4800001272-FHD-LAN-MAT-000003</t>
  </si>
  <si>
    <t>40-000000-4800001272-FHD-LAN-CRS-000003</t>
  </si>
  <si>
    <t>4800001272-FHD-CG - Material Submittal For Gravel drainage for Plantation Pits by Wardeh Gelnar</t>
  </si>
  <si>
    <t>FHD-TRANSMIT-006178</t>
  </si>
  <si>
    <t>FHD-TRANSMIT-006157</t>
  </si>
  <si>
    <t>40-100008-4800001272-FHD-INF-MAT-000001</t>
  </si>
  <si>
    <t>40-100008-4800001272-FHD-INF-CRS-000006</t>
  </si>
  <si>
    <t>4800001272-FHD-CG - Material Submittal for D50 150mm ROCK (RIPRAP)</t>
  </si>
  <si>
    <t>FHD-TRANSMIT-006180</t>
  </si>
  <si>
    <t>s</t>
  </si>
  <si>
    <t>WF-027493</t>
  </si>
  <si>
    <t>WF-027494</t>
  </si>
  <si>
    <t>WF-027500</t>
  </si>
  <si>
    <t>WF-027502</t>
  </si>
  <si>
    <t>FHD-TRANSMIT-006184</t>
  </si>
  <si>
    <t>FHD-TRANSMIT-006185</t>
  </si>
  <si>
    <t>40-000000-4800001272-FHD-MEC-MAT-000047</t>
  </si>
  <si>
    <t>40-000000-4800001272-FHD-MEC-CRS-000047</t>
  </si>
  <si>
    <t>FHD-TRANSMIT-006186</t>
  </si>
  <si>
    <t>40-000000-4800001272-FHD-MEC-MAT-000048</t>
  </si>
  <si>
    <t>40-000000-4800001272-FHD-MEC-CRS-000048</t>
  </si>
  <si>
    <t>FHD-TRANSMIT-006188</t>
  </si>
  <si>
    <t>WF-027550</t>
  </si>
  <si>
    <t>WF-027551</t>
  </si>
  <si>
    <t>WF-027552</t>
  </si>
  <si>
    <t>WF-027553</t>
  </si>
  <si>
    <t>4800001272-FHD-CG - Material Submittal for Vetorep ER351, Vetotop EC498 and Vetoprime EP691 By SAVETO Co</t>
  </si>
  <si>
    <t>FHD-TRANSMIT-006193</t>
  </si>
  <si>
    <t>40-730007-4800001272-FHD-ARC-PQD-000029</t>
  </si>
  <si>
    <t>40-730007-4800001272-FHD-ARC-CRS-000100</t>
  </si>
  <si>
    <t>4800001272-FHD-CG - Pre-Qualification of of Thomas Bell-Wright Saudi Arabia Ltd. for Pre Construction Testing of Facade/Cladding works (Architectural Works)</t>
  </si>
  <si>
    <t>FHD-TRANSMIT-006194</t>
  </si>
  <si>
    <t>FHD-TRANSMIT-006195</t>
  </si>
  <si>
    <t>FHD-TRANSMIT-006198</t>
  </si>
  <si>
    <t>WF-027609</t>
  </si>
  <si>
    <t>WF-027611</t>
  </si>
  <si>
    <t>WF-027612</t>
  </si>
  <si>
    <t>WF-027615</t>
  </si>
  <si>
    <t>40-000000-4800001272-FHD-MEC-MAT-000049</t>
  </si>
  <si>
    <t>40-000000-4800001272-FHD-MEC-CRS-000049</t>
  </si>
  <si>
    <t>FHD-TRANSMIT-006205</t>
  </si>
  <si>
    <t>40-100008-4800001272-FHD-INF-MST-000004</t>
  </si>
  <si>
    <t>40-100008-4800001272-FHD-INF-CRS-000007</t>
  </si>
  <si>
    <t>FHD-TRANSMIT-006206</t>
  </si>
  <si>
    <t>40-000000-4800001272-FHD-ARC-MAT-000065</t>
  </si>
  <si>
    <t>40-000000-4800001272-FHD-ARC-CRS-000065</t>
  </si>
  <si>
    <t>4800001272-FHD-CG - Material Submittal For Bullet Resistant Doors by Rollc</t>
  </si>
  <si>
    <t>FHD-TRANSMIT-006207</t>
  </si>
  <si>
    <t>WF-027735</t>
  </si>
  <si>
    <t>WF-027734</t>
  </si>
  <si>
    <t>WF-027737</t>
  </si>
  <si>
    <t>FHD-TRANSMIT-006210</t>
  </si>
  <si>
    <t>FHD-TRANSMIT-006211</t>
  </si>
  <si>
    <t>40-310002-4800001272-FHD-CIV-ITP-000003</t>
  </si>
  <si>
    <t>40-310002-4800001272-FHD-CIV-CRS-000006</t>
  </si>
  <si>
    <t>4800001272-FHD-CG - Inspection and Test Plan for Roof Proofing System</t>
  </si>
  <si>
    <t>FHD-TRANSMIT-006212</t>
  </si>
  <si>
    <t>WF-027782</t>
  </si>
  <si>
    <t>WF-027787</t>
  </si>
  <si>
    <t>WF-027788</t>
  </si>
  <si>
    <t>FHD-TRANSMIT-006226</t>
  </si>
  <si>
    <t>WF-027870</t>
  </si>
  <si>
    <t>WF-027871</t>
  </si>
  <si>
    <t>FHD-TRANSMIT-006227</t>
  </si>
  <si>
    <t>4800001272-FHD-CG - Material Submittal For Thermal Rubber Insulation Tysseer Services Trading</t>
  </si>
  <si>
    <t>4800001272-FHD-CG - Material Submittal For Flexible Connector for Chilled Water by Maplef Trading company KSA</t>
  </si>
  <si>
    <t>4800001272-FHD-CG - Material Submittal For Post Base By Unitech</t>
  </si>
  <si>
    <t>4800001272-FHD-CG - Material Submittal For Aluminum Cladding by Tysseer Services Trading</t>
  </si>
  <si>
    <t>4800001272-FHD-CG - Material Submittal For Refrigerant Copper Tubes By JBG</t>
  </si>
  <si>
    <t>4800001272-FHD-CG - Material Submittal For Anti Vertex Plate By tysseery Trading Company</t>
  </si>
  <si>
    <t>4800001272-FHD-CG - Material Submittal For Orifice Plate By Tysseer Services Trading.</t>
  </si>
  <si>
    <t>40-000000-4800001272-FHD-ARC-MAT-000066</t>
  </si>
  <si>
    <t>40-000000-4800001272-FHD-ARC-CRS-000066</t>
  </si>
  <si>
    <t>4800001272-FHD-CG - Material Submittal for Alu-Zinc Spray by Soudal, Saudi Arabia for Coating of Cut Edges of Curtain Wall Frame</t>
  </si>
  <si>
    <t>FHD-TRANSMIT-006248</t>
  </si>
  <si>
    <t>WF-028076</t>
  </si>
  <si>
    <t>FA</t>
  </si>
  <si>
    <t>40-000000-4800001272-FHD-MEC-MAT-000050</t>
  </si>
  <si>
    <t>40-000000-4800001272-FHD-MEC-CRS-000050</t>
  </si>
  <si>
    <t>4800001272-FHD-CG - Material Submittal for Painting Materials for Fuel System Piping By IEC Co.</t>
  </si>
  <si>
    <t>FHD-TRANSMIT-006261</t>
  </si>
  <si>
    <t>4800001272-FHD-CG - Material Submittal for ETS PLC Control System – Honeywell Control Edge 900 PLC by GulfNet Solutions Limited</t>
  </si>
  <si>
    <t>40-000000-4800001272-FHD-ICT-CRS-000001</t>
  </si>
  <si>
    <t>40-000000-4800001272-FHD-ICT-MAT-000001</t>
  </si>
  <si>
    <t>FHD-TRANSMIT-006264</t>
  </si>
  <si>
    <t>FHD-TRANSMIT-006265</t>
  </si>
  <si>
    <t>WF-028187</t>
  </si>
  <si>
    <t>FHD-TRANSMIT-006267</t>
  </si>
  <si>
    <t>4800001272-FHD-CG - Method Statement for Internal Epoxy Coating of Manholes and Chambers</t>
  </si>
  <si>
    <t>FHD-TRANSMIT-006268</t>
  </si>
  <si>
    <t>FHD-TRANSMIT-006269</t>
  </si>
  <si>
    <t>FHD-TRANSMIT-006272</t>
  </si>
  <si>
    <t>4800001272-FHD-CG - Material Submittal for Metal Mesh Panels Tiles for By Altamaiz</t>
  </si>
  <si>
    <t>WF-028259</t>
  </si>
  <si>
    <t>WF-028260</t>
  </si>
  <si>
    <t>WF-028261</t>
  </si>
  <si>
    <t>WF-028262</t>
  </si>
  <si>
    <t>FHD-TRANSMIT-006276</t>
  </si>
  <si>
    <t>4800001272-FHD-CG - Method Statement for Steel Structure Installation and Erection</t>
  </si>
  <si>
    <t>WF-028328</t>
  </si>
  <si>
    <t>40-730007-4800001272-FHD-ELE-PQD-000039</t>
  </si>
  <si>
    <t>40-730007-4800001272-FHD-ELE-CRS-000157</t>
  </si>
  <si>
    <t>4800001272-FHD-CG - Prequalification Documents for CGN Begood Technology Co. Ltd. for the Supply of Scanner Gate</t>
  </si>
  <si>
    <t>FHD-TRANSMIT-006284</t>
  </si>
  <si>
    <t>WF-028387</t>
  </si>
  <si>
    <t>4800001272-FHD-CG - Material Submittal For Chilled Water Valves By Ali Manea Alyami Trading Co.</t>
  </si>
  <si>
    <t>FHD-TRANSMIT-006295</t>
  </si>
  <si>
    <t>FHD-TRANSMIT-006296</t>
  </si>
  <si>
    <t>FHD-TRANSMIT-006305</t>
  </si>
  <si>
    <t>FHD-TRANSMIT-006309</t>
  </si>
  <si>
    <t>WF-028479</t>
  </si>
  <si>
    <t>WF-028486</t>
  </si>
  <si>
    <t>FHD-TRANSMIT-006315</t>
  </si>
  <si>
    <t>WF-028559</t>
  </si>
  <si>
    <t>FHD-TRANSMIT-006317</t>
  </si>
  <si>
    <t>FHD-TRANSMIT-006320</t>
  </si>
  <si>
    <t>FHD-TRANSMIT-006321</t>
  </si>
  <si>
    <t>FHD-TRANSMIT-006319</t>
  </si>
  <si>
    <t>WF-028581</t>
  </si>
  <si>
    <t>WF-028582</t>
  </si>
  <si>
    <t>WF-028583</t>
  </si>
  <si>
    <t>WF-028586</t>
  </si>
  <si>
    <t>FHD-TRANSMIT-006324</t>
  </si>
  <si>
    <t>FHD-TRANSMIT-006325</t>
  </si>
  <si>
    <t>FHD-TRANSMIT-006326</t>
  </si>
  <si>
    <t>FHD-TRANSMIT-006328</t>
  </si>
  <si>
    <t>FHD-TRANSMIT-006329</t>
  </si>
  <si>
    <t>FHD-TRANSMIT-006331</t>
  </si>
  <si>
    <t>All comments are closed in Rev.02, however, the CRS has not been replaced with Code A.</t>
  </si>
  <si>
    <t>WF-028679</t>
  </si>
  <si>
    <t>WF-028681</t>
  </si>
  <si>
    <t>WF-028683</t>
  </si>
  <si>
    <t>WF-028685</t>
  </si>
  <si>
    <t>WF-028686</t>
  </si>
  <si>
    <t>WF-028737</t>
  </si>
  <si>
    <t>WF-028800</t>
  </si>
  <si>
    <t>4800001272-FHD-CG - Material Submittal for Vetoprime EP691Epoxy Based Primer, Solvent free Vetoproof EC722 and Vetorep ER351 Epoxy Putty as a Polysulphide Elastomeric Coating System for Sewer Manholes By SAVETO</t>
  </si>
  <si>
    <t>FHD-TRANSMIT-006356</t>
  </si>
  <si>
    <t>40-000000-4800001272-FHD-CIV-MAT-000034</t>
  </si>
  <si>
    <t>40-000000-4800001272-FHD-CIV-CRS-000034</t>
  </si>
  <si>
    <t>FHD-TRANSMIT-006360</t>
  </si>
  <si>
    <t>WF-028856</t>
  </si>
  <si>
    <t>WF-028857</t>
  </si>
  <si>
    <t>fa</t>
  </si>
  <si>
    <t>40-000000-4800001272-FHD-ELE-MAT-000014</t>
  </si>
  <si>
    <t>40-000000-4800001272-FHD-ELE-CRS-000014</t>
  </si>
  <si>
    <t>4800001272-FHD-CG - Material Submittal for UPS Panels &amp; Electric Vehicle Charging Distribution Board) by ERCON</t>
  </si>
  <si>
    <t>FHD-TRANSMIT-006371</t>
  </si>
  <si>
    <t>FHD-TRANSMIT-006370</t>
  </si>
  <si>
    <t>40-730007-4800001272-FHD-MEC-PQD-000100</t>
  </si>
  <si>
    <t>4800001272-FHD-CG -Pre-Qualification document for Tysseer Services Trading Co. for the Supply of Galvanized Carbon Steel Pipes by Manufacturer Al-Jazeera Steel Co</t>
  </si>
  <si>
    <t>40-730007-4800001272-FHD-MEC-CRS-000324</t>
  </si>
  <si>
    <t>FHD-TRANSMIT-006373</t>
  </si>
  <si>
    <t>FHD-TRANSMIT-006374</t>
  </si>
  <si>
    <t>40-000000-4800001272-FHD-ARC-MAT-000067</t>
  </si>
  <si>
    <t>40-000000-4800001272-FHD-ARC-CRS-000067</t>
  </si>
  <si>
    <t>4800001272-FHD-CG-Material Submittal For Bullet Proof Windows by Lavenco</t>
  </si>
  <si>
    <t>FHD-TRANSMIT-006378</t>
  </si>
  <si>
    <t>ur</t>
  </si>
  <si>
    <t>WF-028909</t>
  </si>
  <si>
    <t>FHD-TRANSMIT-006387</t>
  </si>
  <si>
    <t>40-000000-4800001272-FHD-MEC-MAT-000051</t>
  </si>
  <si>
    <t>40-000000-4800001272-FHD-MEC-CRS-000051</t>
  </si>
  <si>
    <t>4800001272-FHD-CG - Material Submittal for Galvanised steel Pipes for Air Compressor, Supplied by Tysseer Service Trading Co.</t>
  </si>
  <si>
    <t>FHD-TRANSMIT-006391</t>
  </si>
  <si>
    <t>FHD-TRANSMIT-006392</t>
  </si>
  <si>
    <t>4800001272-FHD-CG - Material Submittal for Smart Metering Ring Main Unit By Al Fanar Co.</t>
  </si>
  <si>
    <t>FHD-TRANSMIT-006396</t>
  </si>
  <si>
    <t>40-100008-4800001272-FHD-INF-MST-000005</t>
  </si>
  <si>
    <t>4800001272-FHD-CG - Method Statement for Internal Finishing and Leak Testing of Sewerage Manholes</t>
  </si>
  <si>
    <t>40-100008-4800001272-FHD-INF-CRS-000008</t>
  </si>
  <si>
    <t>FHD-TRANSMIT-006399</t>
  </si>
  <si>
    <t>40-000000-4800001272-FHD-ARC-MAT-000068</t>
  </si>
  <si>
    <t>40-000000-4800001272-FHD-ARC-CRS-000068</t>
  </si>
  <si>
    <t>4800001272-FHD-CG - Material Submittal for Loose Furniture Package. 91 Items, 896 Pcs. PI tly2026081902</t>
  </si>
  <si>
    <t>FHD-TRANSMIT-006400</t>
  </si>
  <si>
    <t>40-000000-4800001272-FHD-MEC-MAT-000052</t>
  </si>
  <si>
    <t>40-000000-4800001272-FHD-MEC-CRS-000052</t>
  </si>
  <si>
    <t>4800001272-FHD-CG - Material Submittal for Butterfly Valve for HVAC Piping – Saudi Pipe System by MGCC</t>
  </si>
  <si>
    <t>FHD-TRANSMIT-006402</t>
  </si>
  <si>
    <t>FHD-TRANSMIT-006408</t>
  </si>
  <si>
    <t>FHD-TRANSMIT-006409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</si>
</sst>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]d\ mmm\ yyyy;@"/>
    <numFmt numFmtId="165" formatCode="[$-409]d/mmm/yy;@"/>
    <numFmt numFmtId="166" formatCode="[$-409]d\-mmm\-yy;@"/>
    <numFmt numFmtId="167" formatCode="[$-409]dd\-mmm\-yy;@"/>
    <numFmt numFmtId="168" formatCode="[$-14C09]d\ mmm\ yyyy;@"/>
  </numFmts>
  <fonts count="5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sz val="10"/>
      <name val="Arial"/>
      <family val="2"/>
    </font>
    <font>
      <sz val="11"/>
      <name val="Verdana"/>
      <family val="2"/>
    </font>
    <font>
      <sz val="12"/>
      <name val="Verdana"/>
      <family val="2"/>
    </font>
    <font>
      <b/>
      <sz val="11"/>
      <color rgb="FFFF0000"/>
      <name val="Verdana"/>
      <family val="2"/>
    </font>
    <font>
      <sz val="11"/>
      <color theme="1"/>
      <name val="Verdana"/>
      <family val="2"/>
    </font>
    <font>
      <b/>
      <sz val="12"/>
      <color theme="0"/>
      <name val="Verdana"/>
      <family val="2"/>
    </font>
    <font>
      <sz val="16"/>
      <name val="Verdana"/>
      <family val="2"/>
    </font>
    <font>
      <b/>
      <sz val="16"/>
      <name val="Verdana"/>
      <family val="2"/>
    </font>
    <font>
      <sz val="16"/>
      <color theme="1"/>
      <name val="Calibri"/>
      <family val="2"/>
      <scheme val="minor"/>
    </font>
    <font>
      <sz val="11"/>
      <color rgb="FFFF0000"/>
      <name val="Verdana"/>
      <family val="2"/>
    </font>
    <font>
      <b/>
      <sz val="18"/>
      <color theme="1"/>
      <name val="Verdana"/>
      <family val="2"/>
    </font>
    <font>
      <b/>
      <sz val="12"/>
      <name val="Verdana"/>
      <family val="2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name val="Verdana"/>
      <family val="2"/>
    </font>
    <font>
      <b/>
      <sz val="16"/>
      <color theme="0"/>
      <name val="Verdana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Verdana"/>
      <family val="2"/>
    </font>
    <font>
      <sz val="12"/>
      <color rgb="FFFF0000"/>
      <name val="Verdana"/>
      <family val="2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Verdana"/>
      <family val="2"/>
    </font>
    <font>
      <sz val="1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333333"/>
      <name val="Arial"/>
      <family val="2"/>
    </font>
    <font>
      <b/>
      <sz val="11"/>
      <color theme="1"/>
      <name val="Verdana"/>
      <family val="2"/>
    </font>
    <font>
      <sz val="11"/>
      <color theme="1" tint="4.9989318521683403E-2"/>
      <name val="Verdana"/>
      <family val="2"/>
    </font>
    <font>
      <sz val="14"/>
      <color rgb="FF73746F"/>
      <name val="Arial"/>
      <family val="2"/>
    </font>
    <font>
      <sz val="11"/>
      <color rgb="FF73746F"/>
      <name val="Arial"/>
      <family val="2"/>
    </font>
    <font>
      <b/>
      <sz val="16"/>
      <color theme="1"/>
      <name val="Verdana"/>
      <family val="2"/>
    </font>
    <font>
      <sz val="16"/>
      <color theme="1"/>
      <name val="Verdan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1"/>
      <name val="Arial"/>
      <family val="2"/>
    </font>
    <font>
      <b/>
      <sz val="12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Verdana"/>
      <family val="2"/>
    </font>
    <font>
      <sz val="16"/>
      <color theme="0"/>
      <name val="Verdana"/>
      <family val="2"/>
    </font>
    <font>
      <b/>
      <sz val="16"/>
      <color rgb="FFFFFF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name val="Verdana"/>
      <family val="2"/>
    </font>
    <font>
      <b/>
      <sz val="18"/>
      <color rgb="FFFF0000"/>
      <name val="Wingdings"/>
      <charset val="2"/>
    </font>
    <font>
      <sz val="11"/>
      <color rgb="FF333333"/>
      <name val="Verdana"/>
      <family val="2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gradientFill degree="90">
        <stop position="0">
          <color theme="4" tint="-0.49803155613879818"/>
        </stop>
        <stop position="1">
          <color rgb="FF002060"/>
        </stop>
      </gradientFill>
    </fill>
    <fill>
      <patternFill patternType="solid">
        <fgColor theme="4" tint="0.59999389629810485"/>
        <bgColor indexed="64"/>
      </patternFill>
    </fill>
    <fill>
      <gradientFill degree="90">
        <stop position="0">
          <color theme="8"/>
        </stop>
        <stop position="1">
          <color theme="8" tint="-0.25098422193060094"/>
        </stop>
      </gradient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auto="1"/>
      </patternFill>
    </fill>
    <fill>
      <patternFill patternType="solid">
        <fgColor rgb="FF92D050"/>
        <bgColor auto="1"/>
      </patternFill>
    </fill>
    <fill>
      <patternFill patternType="solid">
        <fgColor rgb="FFFFC000"/>
        <bgColor auto="1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0FF71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7" fillId="0" borderId="0"/>
    <xf numFmtId="165" fontId="2" fillId="0" borderId="0"/>
    <xf numFmtId="165" fontId="6" fillId="0" borderId="0" applyNumberForma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0" fontId="1" fillId="0" borderId="0"/>
  </cellStyleXfs>
  <cellXfs count="564">
    <xf numFmtId="0" fontId="0" fillId="0" borderId="0" xfId="0"/>
    <xf numFmtId="0" fontId="8" fillId="0" borderId="0" xfId="5" applyFont="1" applyAlignment="1">
      <alignment horizontal="left" vertical="top"/>
    </xf>
    <xf numFmtId="0" fontId="8" fillId="0" borderId="0" xfId="5" applyFont="1" applyAlignment="1">
      <alignment horizontal="left" vertical="top" wrapText="1"/>
    </xf>
    <xf numFmtId="164" fontId="8" fillId="0" borderId="0" xfId="5" applyNumberFormat="1" applyFont="1" applyAlignment="1">
      <alignment horizontal="left" vertical="top"/>
    </xf>
    <xf numFmtId="166" fontId="8" fillId="0" borderId="0" xfId="5" applyNumberFormat="1" applyFont="1" applyAlignment="1">
      <alignment horizontal="left" vertical="top"/>
    </xf>
    <xf numFmtId="0" fontId="9" fillId="0" borderId="0" xfId="5" applyFont="1"/>
    <xf numFmtId="0" fontId="9" fillId="0" borderId="0" xfId="5" applyFont="1" applyAlignment="1">
      <alignment horizontal="left" vertical="top" wrapText="1"/>
    </xf>
    <xf numFmtId="0" fontId="15" fillId="0" borderId="0" xfId="0" applyFont="1"/>
    <xf numFmtId="0" fontId="13" fillId="0" borderId="0" xfId="5" applyFont="1"/>
    <xf numFmtId="0" fontId="1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quotePrefix="1" applyFont="1" applyBorder="1" applyAlignment="1">
      <alignment horizontal="left" vertical="center"/>
    </xf>
    <xf numFmtId="166" fontId="8" fillId="0" borderId="1" xfId="0" quotePrefix="1" applyNumberFormat="1" applyFont="1" applyBorder="1" applyAlignment="1">
      <alignment horizontal="left" vertical="center"/>
    </xf>
    <xf numFmtId="0" fontId="8" fillId="0" borderId="0" xfId="5" applyFont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66" fontId="11" fillId="0" borderId="1" xfId="0" applyNumberFormat="1" applyFont="1" applyBorder="1" applyAlignment="1">
      <alignment horizontal="left" vertical="center"/>
    </xf>
    <xf numFmtId="166" fontId="15" fillId="0" borderId="0" xfId="0" applyNumberFormat="1" applyFont="1"/>
    <xf numFmtId="166" fontId="8" fillId="0" borderId="0" xfId="5" applyNumberFormat="1" applyFont="1" applyAlignment="1">
      <alignment horizontal="left" vertical="top" wrapText="1"/>
    </xf>
    <xf numFmtId="166" fontId="8" fillId="0" borderId="1" xfId="0" applyNumberFormat="1" applyFont="1" applyBorder="1" applyAlignment="1">
      <alignment horizontal="left" vertical="center"/>
    </xf>
    <xf numFmtId="166" fontId="8" fillId="0" borderId="1" xfId="0" applyNumberFormat="1" applyFont="1" applyBorder="1" applyAlignment="1">
      <alignment horizontal="left" vertical="center" wrapText="1"/>
    </xf>
    <xf numFmtId="49" fontId="4" fillId="0" borderId="1" xfId="0" quotePrefix="1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0" fontId="4" fillId="0" borderId="1" xfId="0" quotePrefix="1" applyFont="1" applyBorder="1" applyAlignment="1">
      <alignment vertical="top" wrapText="1"/>
    </xf>
    <xf numFmtId="0" fontId="13" fillId="0" borderId="3" xfId="5" applyFont="1" applyBorder="1" applyAlignment="1">
      <alignment vertical="top"/>
    </xf>
    <xf numFmtId="0" fontId="13" fillId="0" borderId="4" xfId="5" applyFont="1" applyBorder="1" applyAlignment="1">
      <alignment vertical="top"/>
    </xf>
    <xf numFmtId="0" fontId="13" fillId="0" borderId="2" xfId="5" applyFont="1" applyBorder="1" applyAlignment="1">
      <alignment vertical="top"/>
    </xf>
    <xf numFmtId="0" fontId="18" fillId="7" borderId="1" xfId="5" applyFont="1" applyFill="1" applyBorder="1" applyAlignment="1">
      <alignment horizontal="left" vertical="top" wrapText="1"/>
    </xf>
    <xf numFmtId="166" fontId="18" fillId="10" borderId="1" xfId="5" applyNumberFormat="1" applyFont="1" applyFill="1" applyBorder="1" applyAlignment="1">
      <alignment horizontal="left" vertical="top" wrapText="1"/>
    </xf>
    <xf numFmtId="0" fontId="18" fillId="10" borderId="1" xfId="5" applyFont="1" applyFill="1" applyBorder="1" applyAlignment="1">
      <alignment horizontal="left" vertical="top" wrapText="1"/>
    </xf>
    <xf numFmtId="0" fontId="18" fillId="3" borderId="1" xfId="5" applyFont="1" applyFill="1" applyBorder="1" applyAlignment="1">
      <alignment horizontal="left" vertical="top" wrapText="1"/>
    </xf>
    <xf numFmtId="166" fontId="18" fillId="11" borderId="1" xfId="5" applyNumberFormat="1" applyFont="1" applyFill="1" applyBorder="1" applyAlignment="1">
      <alignment horizontal="left" vertical="top" wrapText="1"/>
    </xf>
    <xf numFmtId="0" fontId="18" fillId="11" borderId="1" xfId="5" applyFont="1" applyFill="1" applyBorder="1" applyAlignment="1">
      <alignment horizontal="left" vertical="top" wrapText="1"/>
    </xf>
    <xf numFmtId="0" fontId="18" fillId="4" borderId="1" xfId="5" applyFont="1" applyFill="1" applyBorder="1" applyAlignment="1">
      <alignment horizontal="left" vertical="top" wrapText="1"/>
    </xf>
    <xf numFmtId="166" fontId="18" fillId="12" borderId="1" xfId="5" applyNumberFormat="1" applyFont="1" applyFill="1" applyBorder="1" applyAlignment="1">
      <alignment horizontal="left" vertical="top" wrapText="1"/>
    </xf>
    <xf numFmtId="0" fontId="18" fillId="12" borderId="1" xfId="5" applyFont="1" applyFill="1" applyBorder="1" applyAlignment="1">
      <alignment horizontal="left" vertical="top" wrapText="1"/>
    </xf>
    <xf numFmtId="0" fontId="18" fillId="13" borderId="1" xfId="5" applyFont="1" applyFill="1" applyBorder="1" applyAlignment="1">
      <alignment horizontal="left" vertical="top" wrapText="1"/>
    </xf>
    <xf numFmtId="166" fontId="18" fillId="14" borderId="1" xfId="5" applyNumberFormat="1" applyFont="1" applyFill="1" applyBorder="1" applyAlignment="1">
      <alignment horizontal="left" vertical="top" wrapText="1"/>
    </xf>
    <xf numFmtId="0" fontId="18" fillId="14" borderId="1" xfId="5" applyFont="1" applyFill="1" applyBorder="1" applyAlignment="1">
      <alignment horizontal="left" vertical="top" wrapText="1"/>
    </xf>
    <xf numFmtId="0" fontId="18" fillId="9" borderId="1" xfId="5" applyFont="1" applyFill="1" applyBorder="1" applyAlignment="1">
      <alignment horizontal="left" vertical="top" wrapText="1"/>
    </xf>
    <xf numFmtId="166" fontId="18" fillId="15" borderId="1" xfId="5" applyNumberFormat="1" applyFont="1" applyFill="1" applyBorder="1" applyAlignment="1">
      <alignment horizontal="left" vertical="top" wrapText="1"/>
    </xf>
    <xf numFmtId="0" fontId="18" fillId="15" borderId="1" xfId="5" applyFont="1" applyFill="1" applyBorder="1" applyAlignment="1">
      <alignment horizontal="left" vertical="top" wrapText="1"/>
    </xf>
    <xf numFmtId="0" fontId="18" fillId="2" borderId="1" xfId="5" applyFont="1" applyFill="1" applyBorder="1" applyAlignment="1">
      <alignment horizontal="left" vertical="top" wrapText="1"/>
    </xf>
    <xf numFmtId="166" fontId="18" fillId="16" borderId="1" xfId="5" applyNumberFormat="1" applyFont="1" applyFill="1" applyBorder="1" applyAlignment="1">
      <alignment horizontal="left" vertical="top" wrapText="1"/>
    </xf>
    <xf numFmtId="0" fontId="18" fillId="16" borderId="1" xfId="5" applyFont="1" applyFill="1" applyBorder="1" applyAlignment="1">
      <alignment horizontal="left" vertical="top" wrapText="1"/>
    </xf>
    <xf numFmtId="0" fontId="18" fillId="5" borderId="1" xfId="5" applyFont="1" applyFill="1" applyBorder="1" applyAlignment="1">
      <alignment horizontal="left" vertical="top" wrapText="1"/>
    </xf>
    <xf numFmtId="166" fontId="18" fillId="5" borderId="1" xfId="5" applyNumberFormat="1" applyFont="1" applyFill="1" applyBorder="1" applyAlignment="1">
      <alignment horizontal="left" vertical="top" wrapText="1"/>
    </xf>
    <xf numFmtId="0" fontId="14" fillId="0" borderId="3" xfId="5" applyFont="1" applyBorder="1" applyAlignment="1">
      <alignment vertical="top"/>
    </xf>
    <xf numFmtId="0" fontId="13" fillId="0" borderId="7" xfId="5" applyFont="1" applyBorder="1" applyAlignment="1">
      <alignment vertical="top"/>
    </xf>
    <xf numFmtId="0" fontId="13" fillId="0" borderId="8" xfId="5" applyFont="1" applyBorder="1" applyAlignment="1">
      <alignment vertical="top"/>
    </xf>
    <xf numFmtId="0" fontId="13" fillId="0" borderId="9" xfId="5" applyFont="1" applyBorder="1" applyAlignment="1">
      <alignment vertical="top"/>
    </xf>
    <xf numFmtId="167" fontId="18" fillId="5" borderId="1" xfId="5" applyNumberFormat="1" applyFont="1" applyFill="1" applyBorder="1" applyAlignment="1">
      <alignment horizontal="left" vertical="top" wrapText="1"/>
    </xf>
    <xf numFmtId="167" fontId="8" fillId="0" borderId="1" xfId="0" quotePrefix="1" applyNumberFormat="1" applyFont="1" applyBorder="1" applyAlignment="1">
      <alignment horizontal="left" vertical="center"/>
    </xf>
    <xf numFmtId="167" fontId="8" fillId="0" borderId="0" xfId="5" applyNumberFormat="1" applyFont="1" applyAlignment="1">
      <alignment horizontal="left" vertical="top" wrapText="1"/>
    </xf>
    <xf numFmtId="14" fontId="11" fillId="0" borderId="1" xfId="0" applyNumberFormat="1" applyFont="1" applyBorder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8" fillId="0" borderId="1" xfId="0" quotePrefix="1" applyFont="1" applyBorder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center" wrapText="1"/>
    </xf>
    <xf numFmtId="0" fontId="0" fillId="0" borderId="1" xfId="0" applyBorder="1"/>
    <xf numFmtId="0" fontId="4" fillId="2" borderId="1" xfId="0" quotePrefix="1" applyFont="1" applyFill="1" applyBorder="1" applyAlignment="1">
      <alignment vertical="top" wrapText="1"/>
    </xf>
    <xf numFmtId="0" fontId="20" fillId="2" borderId="1" xfId="0" quotePrefix="1" applyFont="1" applyFill="1" applyBorder="1" applyAlignment="1">
      <alignment vertical="top" wrapText="1"/>
    </xf>
    <xf numFmtId="1" fontId="19" fillId="0" borderId="1" xfId="0" applyNumberFormat="1" applyFont="1" applyBorder="1" applyAlignment="1">
      <alignment horizontal="center" wrapText="1"/>
    </xf>
    <xf numFmtId="1" fontId="19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49" fontId="21" fillId="0" borderId="5" xfId="0" applyNumberFormat="1" applyFont="1" applyBorder="1" applyAlignment="1">
      <alignment horizontal="left" vertical="top"/>
    </xf>
    <xf numFmtId="166" fontId="21" fillId="0" borderId="5" xfId="0" applyNumberFormat="1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6" fontId="21" fillId="0" borderId="0" xfId="0" applyNumberFormat="1" applyFont="1" applyAlignment="1">
      <alignment horizontal="left" vertical="top"/>
    </xf>
    <xf numFmtId="49" fontId="21" fillId="0" borderId="0" xfId="0" applyNumberFormat="1" applyFont="1" applyAlignment="1">
      <alignment horizontal="left" vertical="top"/>
    </xf>
    <xf numFmtId="49" fontId="19" fillId="26" borderId="1" xfId="0" applyNumberFormat="1" applyFont="1" applyFill="1" applyBorder="1" applyAlignment="1">
      <alignment horizontal="center" vertical="center"/>
    </xf>
    <xf numFmtId="1" fontId="19" fillId="26" borderId="1" xfId="0" applyNumberFormat="1" applyFont="1" applyFill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0" borderId="0" xfId="5" applyFont="1" applyAlignment="1">
      <alignment vertical="top"/>
    </xf>
    <xf numFmtId="0" fontId="10" fillId="0" borderId="1" xfId="0" quotePrefix="1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left" vertical="center"/>
    </xf>
    <xf numFmtId="0" fontId="8" fillId="0" borderId="0" xfId="5" applyFont="1" applyAlignment="1">
      <alignment horizontal="left" vertical="center" wrapText="1"/>
    </xf>
    <xf numFmtId="0" fontId="16" fillId="0" borderId="1" xfId="0" quotePrefix="1" applyFont="1" applyBorder="1" applyAlignment="1">
      <alignment horizontal="left" vertical="center" wrapText="1"/>
    </xf>
    <xf numFmtId="0" fontId="13" fillId="0" borderId="0" xfId="5" applyFont="1" applyAlignment="1">
      <alignment wrapText="1"/>
    </xf>
    <xf numFmtId="14" fontId="11" fillId="0" borderId="1" xfId="0" quotePrefix="1" applyNumberFormat="1" applyFont="1" applyBorder="1" applyAlignment="1">
      <alignment horizontal="left" vertical="center" wrapText="1"/>
    </xf>
    <xf numFmtId="49" fontId="28" fillId="0" borderId="1" xfId="0" quotePrefix="1" applyNumberFormat="1" applyFont="1" applyBorder="1" applyAlignment="1">
      <alignment vertical="top" wrapText="1"/>
    </xf>
    <xf numFmtId="1" fontId="29" fillId="0" borderId="1" xfId="0" applyNumberFormat="1" applyFont="1" applyBorder="1" applyAlignment="1">
      <alignment horizontal="center" wrapText="1"/>
    </xf>
    <xf numFmtId="49" fontId="30" fillId="0" borderId="5" xfId="0" applyNumberFormat="1" applyFont="1" applyBorder="1" applyAlignment="1">
      <alignment horizontal="left" vertical="top"/>
    </xf>
    <xf numFmtId="49" fontId="29" fillId="2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26" fillId="5" borderId="1" xfId="5" applyFont="1" applyFill="1" applyBorder="1" applyAlignment="1">
      <alignment horizontal="left" vertical="top" wrapText="1"/>
    </xf>
    <xf numFmtId="166" fontId="26" fillId="5" borderId="1" xfId="5" applyNumberFormat="1" applyFont="1" applyFill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left" vertical="center"/>
    </xf>
    <xf numFmtId="1" fontId="8" fillId="0" borderId="1" xfId="0" quotePrefix="1" applyNumberFormat="1" applyFont="1" applyBorder="1" applyAlignment="1">
      <alignment horizontal="left" vertical="center"/>
    </xf>
    <xf numFmtId="0" fontId="26" fillId="10" borderId="1" xfId="5" applyFont="1" applyFill="1" applyBorder="1" applyAlignment="1">
      <alignment horizontal="left" vertical="top" wrapText="1"/>
    </xf>
    <xf numFmtId="166" fontId="26" fillId="10" borderId="1" xfId="5" applyNumberFormat="1" applyFont="1" applyFill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left" vertical="center" wrapText="1"/>
    </xf>
    <xf numFmtId="0" fontId="26" fillId="11" borderId="1" xfId="5" applyFont="1" applyFill="1" applyBorder="1" applyAlignment="1">
      <alignment horizontal="left" vertical="top" wrapText="1"/>
    </xf>
    <xf numFmtId="166" fontId="26" fillId="11" borderId="1" xfId="5" applyNumberFormat="1" applyFont="1" applyFill="1" applyBorder="1" applyAlignment="1">
      <alignment horizontal="left" vertical="top" wrapText="1"/>
    </xf>
    <xf numFmtId="166" fontId="26" fillId="14" borderId="1" xfId="5" applyNumberFormat="1" applyFont="1" applyFill="1" applyBorder="1" applyAlignment="1">
      <alignment horizontal="left" vertical="top" wrapText="1"/>
    </xf>
    <xf numFmtId="0" fontId="26" fillId="14" borderId="1" xfId="5" applyFont="1" applyFill="1" applyBorder="1" applyAlignment="1">
      <alignment horizontal="left" vertical="top" wrapText="1"/>
    </xf>
    <xf numFmtId="0" fontId="26" fillId="12" borderId="1" xfId="5" applyFont="1" applyFill="1" applyBorder="1" applyAlignment="1">
      <alignment horizontal="left" vertical="top" wrapText="1"/>
    </xf>
    <xf numFmtId="166" fontId="26" fillId="12" borderId="1" xfId="5" applyNumberFormat="1" applyFont="1" applyFill="1" applyBorder="1" applyAlignment="1">
      <alignment horizontal="left" vertical="top" wrapText="1"/>
    </xf>
    <xf numFmtId="0" fontId="26" fillId="15" borderId="1" xfId="5" applyFont="1" applyFill="1" applyBorder="1" applyAlignment="1">
      <alignment horizontal="left" vertical="top" wrapText="1"/>
    </xf>
    <xf numFmtId="166" fontId="26" fillId="15" borderId="1" xfId="5" applyNumberFormat="1" applyFont="1" applyFill="1" applyBorder="1" applyAlignment="1">
      <alignment horizontal="left" vertical="top" wrapText="1"/>
    </xf>
    <xf numFmtId="0" fontId="26" fillId="16" borderId="1" xfId="5" applyFont="1" applyFill="1" applyBorder="1" applyAlignment="1">
      <alignment horizontal="left" vertical="top" wrapText="1"/>
    </xf>
    <xf numFmtId="166" fontId="26" fillId="16" borderId="1" xfId="5" applyNumberFormat="1" applyFont="1" applyFill="1" applyBorder="1" applyAlignment="1">
      <alignment horizontal="left" vertical="top" wrapText="1"/>
    </xf>
    <xf numFmtId="167" fontId="26" fillId="5" borderId="1" xfId="5" applyNumberFormat="1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166" fontId="16" fillId="0" borderId="1" xfId="0" applyNumberFormat="1" applyFont="1" applyBorder="1" applyAlignment="1">
      <alignment horizontal="left" vertical="center"/>
    </xf>
    <xf numFmtId="0" fontId="16" fillId="0" borderId="1" xfId="0" quotePrefix="1" applyFont="1" applyBorder="1" applyAlignment="1">
      <alignment horizontal="left" vertical="center"/>
    </xf>
    <xf numFmtId="166" fontId="16" fillId="0" borderId="1" xfId="0" applyNumberFormat="1" applyFont="1" applyBorder="1" applyAlignment="1">
      <alignment horizontal="left" vertical="center" wrapText="1"/>
    </xf>
    <xf numFmtId="1" fontId="0" fillId="0" borderId="0" xfId="0" applyNumberFormat="1"/>
    <xf numFmtId="1" fontId="26" fillId="5" borderId="1" xfId="5" applyNumberFormat="1" applyFont="1" applyFill="1" applyBorder="1" applyAlignment="1">
      <alignment horizontal="left" vertical="top" wrapText="1"/>
    </xf>
    <xf numFmtId="1" fontId="26" fillId="10" borderId="1" xfId="5" applyNumberFormat="1" applyFont="1" applyFill="1" applyBorder="1" applyAlignment="1">
      <alignment horizontal="left" vertical="top" wrapText="1"/>
    </xf>
    <xf numFmtId="1" fontId="8" fillId="0" borderId="0" xfId="5" applyNumberFormat="1" applyFont="1" applyAlignment="1">
      <alignment horizontal="left" vertical="top"/>
    </xf>
    <xf numFmtId="0" fontId="32" fillId="0" borderId="0" xfId="0" applyFont="1"/>
    <xf numFmtId="14" fontId="8" fillId="0" borderId="1" xfId="0" applyNumberFormat="1" applyFont="1" applyBorder="1" applyAlignment="1">
      <alignment horizontal="left" vertical="center" wrapText="1"/>
    </xf>
    <xf numFmtId="1" fontId="13" fillId="0" borderId="0" xfId="5" applyNumberFormat="1" applyFont="1"/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" fontId="26" fillId="11" borderId="1" xfId="5" applyNumberFormat="1" applyFont="1" applyFill="1" applyBorder="1" applyAlignment="1">
      <alignment horizontal="left" vertical="top" wrapText="1"/>
    </xf>
    <xf numFmtId="1" fontId="15" fillId="0" borderId="0" xfId="0" applyNumberFormat="1" applyFont="1"/>
    <xf numFmtId="1" fontId="26" fillId="15" borderId="1" xfId="5" applyNumberFormat="1" applyFont="1" applyFill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left" vertical="center"/>
    </xf>
    <xf numFmtId="1" fontId="26" fillId="12" borderId="1" xfId="5" applyNumberFormat="1" applyFont="1" applyFill="1" applyBorder="1" applyAlignment="1">
      <alignment horizontal="left" vertical="top" wrapText="1"/>
    </xf>
    <xf numFmtId="1" fontId="26" fillId="14" borderId="1" xfId="5" applyNumberFormat="1" applyFont="1" applyFill="1" applyBorder="1" applyAlignment="1">
      <alignment horizontal="left" vertical="top" wrapText="1"/>
    </xf>
    <xf numFmtId="166" fontId="8" fillId="0" borderId="1" xfId="5" applyNumberFormat="1" applyFont="1" applyBorder="1" applyAlignment="1">
      <alignment horizontal="left" vertical="center"/>
    </xf>
    <xf numFmtId="0" fontId="36" fillId="0" borderId="1" xfId="0" applyFont="1" applyBorder="1" applyAlignment="1">
      <alignment horizontal="left" vertical="center"/>
    </xf>
    <xf numFmtId="0" fontId="36" fillId="0" borderId="1" xfId="0" quotePrefix="1" applyFont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166" fontId="16" fillId="0" borderId="1" xfId="0" quotePrefix="1" applyNumberFormat="1" applyFont="1" applyBorder="1" applyAlignment="1">
      <alignment horizontal="left" vertical="center"/>
    </xf>
    <xf numFmtId="1" fontId="16" fillId="0" borderId="1" xfId="0" quotePrefix="1" applyNumberFormat="1" applyFont="1" applyBorder="1" applyAlignment="1">
      <alignment horizontal="left" vertical="center"/>
    </xf>
    <xf numFmtId="2" fontId="21" fillId="0" borderId="0" xfId="0" applyNumberFormat="1" applyFont="1" applyAlignment="1">
      <alignment horizontal="left" vertical="top"/>
    </xf>
    <xf numFmtId="0" fontId="31" fillId="10" borderId="1" xfId="5" applyFont="1" applyFill="1" applyBorder="1" applyAlignment="1">
      <alignment horizontal="left" vertical="top" wrapText="1"/>
    </xf>
    <xf numFmtId="0" fontId="39" fillId="0" borderId="1" xfId="0" applyFont="1" applyBorder="1" applyAlignment="1">
      <alignment vertical="center" wrapText="1"/>
    </xf>
    <xf numFmtId="0" fontId="13" fillId="0" borderId="1" xfId="5" applyFont="1" applyBorder="1"/>
    <xf numFmtId="0" fontId="14" fillId="0" borderId="1" xfId="5" applyFont="1" applyBorder="1" applyAlignment="1">
      <alignment vertical="top"/>
    </xf>
    <xf numFmtId="0" fontId="13" fillId="0" borderId="1" xfId="5" applyFont="1" applyBorder="1" applyAlignment="1">
      <alignment vertical="top"/>
    </xf>
    <xf numFmtId="1" fontId="0" fillId="0" borderId="1" xfId="0" applyNumberFormat="1" applyBorder="1"/>
    <xf numFmtId="166" fontId="15" fillId="0" borderId="1" xfId="0" applyNumberFormat="1" applyFont="1" applyBorder="1"/>
    <xf numFmtId="0" fontId="15" fillId="0" borderId="1" xfId="0" applyFont="1" applyBorder="1"/>
    <xf numFmtId="1" fontId="15" fillId="0" borderId="1" xfId="0" applyNumberFormat="1" applyFont="1" applyBorder="1"/>
    <xf numFmtId="49" fontId="21" fillId="0" borderId="1" xfId="0" applyNumberFormat="1" applyFont="1" applyBorder="1" applyAlignment="1">
      <alignment horizontal="left" vertical="top"/>
    </xf>
    <xf numFmtId="166" fontId="21" fillId="0" borderId="1" xfId="0" applyNumberFormat="1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49" fontId="19" fillId="0" borderId="1" xfId="0" applyNumberFormat="1" applyFont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9" fillId="0" borderId="1" xfId="5" applyFont="1" applyBorder="1"/>
    <xf numFmtId="0" fontId="8" fillId="0" borderId="1" xfId="5" applyFont="1" applyBorder="1" applyAlignment="1">
      <alignment horizontal="left" vertical="center"/>
    </xf>
    <xf numFmtId="0" fontId="35" fillId="0" borderId="1" xfId="0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0" fontId="8" fillId="33" borderId="1" xfId="0" applyFont="1" applyFill="1" applyBorder="1" applyAlignment="1">
      <alignment horizontal="left" vertical="center"/>
    </xf>
    <xf numFmtId="0" fontId="11" fillId="33" borderId="1" xfId="0" applyFont="1" applyFill="1" applyBorder="1" applyAlignment="1">
      <alignment horizontal="left" vertical="center" wrapText="1"/>
    </xf>
    <xf numFmtId="167" fontId="8" fillId="33" borderId="1" xfId="0" quotePrefix="1" applyNumberFormat="1" applyFont="1" applyFill="1" applyBorder="1" applyAlignment="1">
      <alignment horizontal="left" vertical="center"/>
    </xf>
    <xf numFmtId="0" fontId="8" fillId="33" borderId="1" xfId="0" quotePrefix="1" applyFont="1" applyFill="1" applyBorder="1" applyAlignment="1">
      <alignment horizontal="left" vertical="center"/>
    </xf>
    <xf numFmtId="1" fontId="8" fillId="33" borderId="1" xfId="0" quotePrefix="1" applyNumberFormat="1" applyFont="1" applyFill="1" applyBorder="1" applyAlignment="1">
      <alignment horizontal="left" vertical="center"/>
    </xf>
    <xf numFmtId="0" fontId="8" fillId="33" borderId="1" xfId="0" applyFont="1" applyFill="1" applyBorder="1" applyAlignment="1">
      <alignment horizontal="left" vertical="center" wrapText="1"/>
    </xf>
    <xf numFmtId="166" fontId="8" fillId="33" borderId="1" xfId="0" applyNumberFormat="1" applyFont="1" applyFill="1" applyBorder="1" applyAlignment="1">
      <alignment horizontal="left" vertical="center" wrapText="1"/>
    </xf>
    <xf numFmtId="1" fontId="8" fillId="33" borderId="1" xfId="0" applyNumberFormat="1" applyFont="1" applyFill="1" applyBorder="1" applyAlignment="1">
      <alignment horizontal="left" vertical="center" wrapText="1"/>
    </xf>
    <xf numFmtId="166" fontId="11" fillId="33" borderId="1" xfId="0" applyNumberFormat="1" applyFont="1" applyFill="1" applyBorder="1" applyAlignment="1">
      <alignment horizontal="left" vertical="center"/>
    </xf>
    <xf numFmtId="0" fontId="11" fillId="33" borderId="1" xfId="0" applyFont="1" applyFill="1" applyBorder="1" applyAlignment="1">
      <alignment horizontal="left" vertical="center"/>
    </xf>
    <xf numFmtId="1" fontId="11" fillId="33" borderId="1" xfId="0" applyNumberFormat="1" applyFont="1" applyFill="1" applyBorder="1" applyAlignment="1">
      <alignment horizontal="left" vertical="center"/>
    </xf>
    <xf numFmtId="49" fontId="30" fillId="0" borderId="1" xfId="0" applyNumberFormat="1" applyFont="1" applyBorder="1" applyAlignment="1">
      <alignment horizontal="left" vertical="top"/>
    </xf>
    <xf numFmtId="0" fontId="35" fillId="33" borderId="1" xfId="0" applyFont="1" applyFill="1" applyBorder="1" applyAlignment="1">
      <alignment vertical="center" wrapText="1"/>
    </xf>
    <xf numFmtId="0" fontId="4" fillId="0" borderId="2" xfId="0" quotePrefix="1" applyFont="1" applyBorder="1" applyAlignment="1">
      <alignment vertical="top" wrapText="1"/>
    </xf>
    <xf numFmtId="1" fontId="19" fillId="0" borderId="2" xfId="0" applyNumberFormat="1" applyFont="1" applyBorder="1" applyAlignment="1">
      <alignment horizontal="center"/>
    </xf>
    <xf numFmtId="166" fontId="21" fillId="0" borderId="2" xfId="0" applyNumberFormat="1" applyFont="1" applyBorder="1" applyAlignment="1">
      <alignment horizontal="left" vertical="top"/>
    </xf>
    <xf numFmtId="0" fontId="20" fillId="2" borderId="3" xfId="0" quotePrefix="1" applyFont="1" applyFill="1" applyBorder="1" applyAlignment="1">
      <alignment vertical="top" wrapText="1"/>
    </xf>
    <xf numFmtId="0" fontId="19" fillId="0" borderId="3" xfId="0" applyFont="1" applyBorder="1" applyAlignment="1">
      <alignment horizontal="center"/>
    </xf>
    <xf numFmtId="0" fontId="40" fillId="0" borderId="3" xfId="5" applyFont="1" applyBorder="1" applyAlignment="1">
      <alignment vertical="top"/>
    </xf>
    <xf numFmtId="0" fontId="41" fillId="0" borderId="4" xfId="5" applyFont="1" applyBorder="1" applyAlignment="1">
      <alignment vertical="top"/>
    </xf>
    <xf numFmtId="0" fontId="41" fillId="0" borderId="2" xfId="5" applyFont="1" applyBorder="1" applyAlignment="1">
      <alignment vertical="top"/>
    </xf>
    <xf numFmtId="0" fontId="41" fillId="0" borderId="0" xfId="5" applyFont="1"/>
    <xf numFmtId="0" fontId="2" fillId="0" borderId="0" xfId="0" applyFont="1"/>
    <xf numFmtId="0" fontId="41" fillId="0" borderId="3" xfId="5" applyFont="1" applyBorder="1" applyAlignment="1">
      <alignment vertical="top"/>
    </xf>
    <xf numFmtId="0" fontId="41" fillId="0" borderId="7" xfId="5" applyFont="1" applyBorder="1" applyAlignment="1">
      <alignment vertical="top"/>
    </xf>
    <xf numFmtId="0" fontId="41" fillId="0" borderId="8" xfId="5" applyFont="1" applyBorder="1" applyAlignment="1">
      <alignment vertical="top"/>
    </xf>
    <xf numFmtId="0" fontId="41" fillId="0" borderId="9" xfId="5" applyFont="1" applyBorder="1" applyAlignment="1">
      <alignment vertical="top"/>
    </xf>
    <xf numFmtId="167" fontId="11" fillId="0" borderId="1" xfId="0" quotePrefix="1" applyNumberFormat="1" applyFont="1" applyBorder="1" applyAlignment="1">
      <alignment horizontal="left" vertical="center"/>
    </xf>
    <xf numFmtId="1" fontId="11" fillId="0" borderId="1" xfId="0" quotePrefix="1" applyNumberFormat="1" applyFont="1" applyBorder="1" applyAlignment="1">
      <alignment horizontal="left" vertical="center"/>
    </xf>
    <xf numFmtId="166" fontId="11" fillId="0" borderId="1" xfId="0" applyNumberFormat="1" applyFont="1" applyBorder="1" applyAlignment="1">
      <alignment horizontal="left" vertical="center" wrapText="1"/>
    </xf>
    <xf numFmtId="0" fontId="10" fillId="33" borderId="1" xfId="0" applyFont="1" applyFill="1" applyBorder="1" applyAlignment="1">
      <alignment horizontal="left" vertical="center"/>
    </xf>
    <xf numFmtId="166" fontId="4" fillId="0" borderId="1" xfId="0" quotePrefix="1" applyNumberFormat="1" applyFont="1" applyBorder="1" applyAlignment="1">
      <alignment vertical="top" wrapText="1"/>
    </xf>
    <xf numFmtId="166" fontId="11" fillId="0" borderId="1" xfId="0" quotePrefix="1" applyNumberFormat="1" applyFont="1" applyBorder="1" applyAlignment="1">
      <alignment horizontal="left" vertical="center"/>
    </xf>
    <xf numFmtId="1" fontId="11" fillId="0" borderId="1" xfId="0" applyNumberFormat="1" applyFont="1" applyBorder="1" applyAlignment="1">
      <alignment horizontal="left" vertical="center" wrapText="1"/>
    </xf>
    <xf numFmtId="0" fontId="44" fillId="0" borderId="1" xfId="0" applyFont="1" applyBorder="1" applyAlignment="1">
      <alignment vertical="center" wrapText="1"/>
    </xf>
    <xf numFmtId="166" fontId="8" fillId="0" borderId="1" xfId="0" quotePrefix="1" applyNumberFormat="1" applyFont="1" applyBorder="1" applyAlignment="1">
      <alignment horizontal="left" vertical="center" wrapText="1"/>
    </xf>
    <xf numFmtId="0" fontId="11" fillId="2" borderId="1" xfId="0" quotePrefix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1" fontId="8" fillId="2" borderId="1" xfId="0" quotePrefix="1" applyNumberFormat="1" applyFont="1" applyFill="1" applyBorder="1" applyAlignment="1">
      <alignment horizontal="left" vertical="center"/>
    </xf>
    <xf numFmtId="166" fontId="45" fillId="0" borderId="1" xfId="0" applyNumberFormat="1" applyFont="1" applyBorder="1" applyAlignment="1">
      <alignment vertical="top" wrapText="1"/>
    </xf>
    <xf numFmtId="0" fontId="20" fillId="0" borderId="1" xfId="0" quotePrefix="1" applyFont="1" applyBorder="1" applyAlignment="1">
      <alignment vertical="top" wrapText="1"/>
    </xf>
    <xf numFmtId="0" fontId="8" fillId="2" borderId="1" xfId="0" applyFont="1" applyFill="1" applyBorder="1" applyAlignment="1">
      <alignment horizontal="left" vertical="center"/>
    </xf>
    <xf numFmtId="0" fontId="48" fillId="0" borderId="0" xfId="5" applyFont="1"/>
    <xf numFmtId="49" fontId="4" fillId="0" borderId="1" xfId="0" quotePrefix="1" applyNumberFormat="1" applyFont="1" applyBorder="1" applyAlignment="1">
      <alignment horizontal="left" vertical="center" wrapText="1"/>
    </xf>
    <xf numFmtId="166" fontId="4" fillId="0" borderId="1" xfId="0" applyNumberFormat="1" applyFont="1" applyBorder="1" applyAlignment="1">
      <alignment horizontal="left" vertical="center" wrapText="1"/>
    </xf>
    <xf numFmtId="0" fontId="48" fillId="0" borderId="0" xfId="5" applyFont="1" applyAlignment="1">
      <alignment wrapText="1"/>
    </xf>
    <xf numFmtId="166" fontId="20" fillId="0" borderId="1" xfId="0" applyNumberFormat="1" applyFont="1" applyBorder="1" applyAlignment="1">
      <alignment vertical="top" wrapText="1"/>
    </xf>
    <xf numFmtId="0" fontId="35" fillId="34" borderId="1" xfId="0" applyFont="1" applyFill="1" applyBorder="1" applyAlignment="1">
      <alignment horizontal="left" vertical="center" wrapText="1"/>
    </xf>
    <xf numFmtId="166" fontId="18" fillId="7" borderId="1" xfId="5" applyNumberFormat="1" applyFont="1" applyFill="1" applyBorder="1" applyAlignment="1">
      <alignment horizontal="left" vertical="top" wrapText="1"/>
    </xf>
    <xf numFmtId="0" fontId="26" fillId="7" borderId="1" xfId="5" applyFont="1" applyFill="1" applyBorder="1" applyAlignment="1">
      <alignment horizontal="left" vertical="top" wrapText="1"/>
    </xf>
    <xf numFmtId="166" fontId="26" fillId="7" borderId="1" xfId="5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8" fillId="2" borderId="1" xfId="0" quotePrefix="1" applyFont="1" applyFill="1" applyBorder="1" applyAlignment="1">
      <alignment horizontal="left" vertical="center"/>
    </xf>
    <xf numFmtId="166" fontId="8" fillId="2" borderId="1" xfId="0" applyNumberFormat="1" applyFont="1" applyFill="1" applyBorder="1" applyAlignment="1">
      <alignment horizontal="left" vertical="center" wrapText="1"/>
    </xf>
    <xf numFmtId="166" fontId="11" fillId="2" borderId="1" xfId="0" applyNumberFormat="1" applyFont="1" applyFill="1" applyBorder="1" applyAlignment="1">
      <alignment horizontal="left" vertical="center"/>
    </xf>
    <xf numFmtId="0" fontId="35" fillId="0" borderId="1" xfId="0" applyFont="1" applyBorder="1" applyAlignment="1">
      <alignment horizontal="left" vertical="center" wrapText="1"/>
    </xf>
    <xf numFmtId="0" fontId="13" fillId="0" borderId="0" xfId="5" applyFont="1" applyAlignment="1">
      <alignment horizontal="left" vertical="top"/>
    </xf>
    <xf numFmtId="0" fontId="30" fillId="0" borderId="0" xfId="5" applyFont="1" applyAlignment="1">
      <alignment horizontal="left" vertical="top"/>
    </xf>
    <xf numFmtId="0" fontId="22" fillId="0" borderId="0" xfId="5" applyFont="1" applyAlignment="1">
      <alignment horizontal="left" vertical="top"/>
    </xf>
    <xf numFmtId="168" fontId="24" fillId="20" borderId="6" xfId="0" applyNumberFormat="1" applyFont="1" applyFill="1" applyBorder="1" applyAlignment="1">
      <alignment horizontal="center" vertical="center"/>
    </xf>
    <xf numFmtId="0" fontId="24" fillId="21" borderId="6" xfId="0" applyFont="1" applyFill="1" applyBorder="1" applyAlignment="1">
      <alignment vertical="center" wrapText="1"/>
    </xf>
    <xf numFmtId="0" fontId="33" fillId="30" borderId="6" xfId="0" applyFont="1" applyFill="1" applyBorder="1" applyAlignment="1">
      <alignment horizontal="center" vertical="center" wrapText="1"/>
    </xf>
    <xf numFmtId="0" fontId="19" fillId="21" borderId="6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horizontal="center" vertical="center" wrapText="1"/>
    </xf>
    <xf numFmtId="0" fontId="19" fillId="18" borderId="6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19" borderId="6" xfId="0" applyFont="1" applyFill="1" applyBorder="1" applyAlignment="1">
      <alignment horizontal="center" vertical="center" wrapText="1"/>
    </xf>
    <xf numFmtId="0" fontId="19" fillId="17" borderId="6" xfId="0" applyFont="1" applyFill="1" applyBorder="1" applyAlignment="1">
      <alignment horizontal="center" vertical="center" wrapText="1"/>
    </xf>
    <xf numFmtId="0" fontId="19" fillId="35" borderId="6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24" borderId="6" xfId="0" applyFont="1" applyFill="1" applyBorder="1" applyAlignment="1">
      <alignment horizontal="center" vertical="center" wrapText="1"/>
    </xf>
    <xf numFmtId="0" fontId="19" fillId="25" borderId="6" xfId="0" applyFont="1" applyFill="1" applyBorder="1" applyAlignment="1">
      <alignment horizontal="center" vertical="center" wrapText="1"/>
    </xf>
    <xf numFmtId="0" fontId="51" fillId="31" borderId="6" xfId="0" applyFont="1" applyFill="1" applyBorder="1" applyAlignment="1">
      <alignment horizontal="center" vertical="center" wrapText="1"/>
    </xf>
    <xf numFmtId="0" fontId="19" fillId="22" borderId="6" xfId="0" applyFont="1" applyFill="1" applyBorder="1" applyAlignment="1">
      <alignment horizontal="center" vertical="center" wrapText="1"/>
    </xf>
    <xf numFmtId="0" fontId="19" fillId="28" borderId="6" xfId="0" applyFont="1" applyFill="1" applyBorder="1" applyAlignment="1">
      <alignment horizontal="center" vertical="center" wrapText="1"/>
    </xf>
    <xf numFmtId="0" fontId="19" fillId="27" borderId="6" xfId="0" applyFont="1" applyFill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/>
    </xf>
    <xf numFmtId="1" fontId="30" fillId="0" borderId="6" xfId="0" applyNumberFormat="1" applyFont="1" applyBorder="1" applyAlignment="1">
      <alignment horizontal="center" vertical="center"/>
    </xf>
    <xf numFmtId="10" fontId="34" fillId="0" borderId="6" xfId="0" applyNumberFormat="1" applyFont="1" applyBorder="1" applyAlignment="1">
      <alignment horizontal="center" vertical="center" wrapText="1"/>
    </xf>
    <xf numFmtId="0" fontId="50" fillId="36" borderId="6" xfId="0" applyFont="1" applyFill="1" applyBorder="1" applyAlignment="1">
      <alignment horizontal="center" vertical="center"/>
    </xf>
    <xf numFmtId="1" fontId="50" fillId="36" borderId="6" xfId="0" applyNumberFormat="1" applyFont="1" applyFill="1" applyBorder="1" applyAlignment="1">
      <alignment horizontal="center" vertical="center"/>
    </xf>
    <xf numFmtId="10" fontId="50" fillId="36" borderId="6" xfId="0" applyNumberFormat="1" applyFont="1" applyFill="1" applyBorder="1" applyAlignment="1">
      <alignment horizontal="center" vertical="center" wrapText="1"/>
    </xf>
    <xf numFmtId="0" fontId="54" fillId="4" borderId="6" xfId="0" applyFont="1" applyFill="1" applyBorder="1" applyAlignment="1">
      <alignment horizontal="center" vertical="center"/>
    </xf>
    <xf numFmtId="1" fontId="54" fillId="4" borderId="6" xfId="0" applyNumberFormat="1" applyFont="1" applyFill="1" applyBorder="1" applyAlignment="1">
      <alignment horizontal="center" vertical="center"/>
    </xf>
    <xf numFmtId="10" fontId="54" fillId="4" borderId="6" xfId="0" applyNumberFormat="1" applyFont="1" applyFill="1" applyBorder="1" applyAlignment="1">
      <alignment horizontal="center" vertical="center" wrapText="1"/>
    </xf>
    <xf numFmtId="0" fontId="55" fillId="0" borderId="0" xfId="5" applyFont="1" applyAlignment="1">
      <alignment horizontal="left" vertical="top"/>
    </xf>
    <xf numFmtId="0" fontId="28" fillId="2" borderId="1" xfId="0" quotePrefix="1" applyFont="1" applyFill="1" applyBorder="1" applyAlignment="1">
      <alignment vertical="top" wrapText="1"/>
    </xf>
    <xf numFmtId="0" fontId="18" fillId="37" borderId="1" xfId="5" applyFont="1" applyFill="1" applyBorder="1" applyAlignment="1">
      <alignment horizontal="left" vertical="top" wrapText="1"/>
    </xf>
    <xf numFmtId="166" fontId="18" fillId="37" borderId="1" xfId="5" applyNumberFormat="1" applyFont="1" applyFill="1" applyBorder="1" applyAlignment="1">
      <alignment horizontal="left" vertical="top" wrapText="1"/>
    </xf>
    <xf numFmtId="0" fontId="26" fillId="37" borderId="1" xfId="5" applyFont="1" applyFill="1" applyBorder="1" applyAlignment="1">
      <alignment horizontal="left" vertical="top" wrapText="1"/>
    </xf>
    <xf numFmtId="166" fontId="26" fillId="37" borderId="1" xfId="5" applyNumberFormat="1" applyFont="1" applyFill="1" applyBorder="1" applyAlignment="1">
      <alignment horizontal="left" vertical="top" wrapText="1"/>
    </xf>
    <xf numFmtId="0" fontId="18" fillId="26" borderId="1" xfId="5" applyFont="1" applyFill="1" applyBorder="1" applyAlignment="1">
      <alignment horizontal="left" vertical="top" wrapText="1"/>
    </xf>
    <xf numFmtId="166" fontId="18" fillId="26" borderId="1" xfId="5" applyNumberFormat="1" applyFont="1" applyFill="1" applyBorder="1" applyAlignment="1">
      <alignment horizontal="left" vertical="top" wrapText="1"/>
    </xf>
    <xf numFmtId="0" fontId="26" fillId="26" borderId="1" xfId="5" applyFont="1" applyFill="1" applyBorder="1" applyAlignment="1">
      <alignment horizontal="left" vertical="top" wrapText="1"/>
    </xf>
    <xf numFmtId="166" fontId="26" fillId="26" borderId="1" xfId="5" applyNumberFormat="1" applyFont="1" applyFill="1" applyBorder="1" applyAlignment="1">
      <alignment horizontal="left" vertical="top" wrapText="1"/>
    </xf>
    <xf numFmtId="0" fontId="13" fillId="0" borderId="0" xfId="5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67" fontId="8" fillId="0" borderId="0" xfId="0" quotePrefix="1" applyNumberFormat="1" applyFont="1" applyAlignment="1">
      <alignment horizontal="left" vertical="center"/>
    </xf>
    <xf numFmtId="0" fontId="8" fillId="0" borderId="0" xfId="0" quotePrefix="1" applyFont="1" applyAlignment="1">
      <alignment horizontal="left" vertical="center"/>
    </xf>
    <xf numFmtId="0" fontId="8" fillId="0" borderId="0" xfId="0" quotePrefix="1" applyFont="1" applyAlignment="1">
      <alignment horizontal="left" vertical="center" wrapText="1"/>
    </xf>
    <xf numFmtId="167" fontId="8" fillId="0" borderId="1" xfId="0" quotePrefix="1" applyNumberFormat="1" applyFont="1" applyBorder="1" applyAlignment="1">
      <alignment horizontal="left" vertical="center" wrapText="1"/>
    </xf>
    <xf numFmtId="1" fontId="8" fillId="0" borderId="1" xfId="0" quotePrefix="1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8" fillId="0" borderId="13" xfId="5" applyFont="1" applyBorder="1" applyAlignment="1">
      <alignment horizontal="left" vertical="center" wrapText="1"/>
    </xf>
    <xf numFmtId="0" fontId="8" fillId="0" borderId="14" xfId="5" applyFont="1" applyBorder="1" applyAlignment="1">
      <alignment horizontal="left" vertical="center" wrapText="1"/>
    </xf>
    <xf numFmtId="0" fontId="8" fillId="0" borderId="13" xfId="5" quotePrefix="1" applyFont="1" applyBorder="1" applyAlignment="1">
      <alignment horizontal="left" vertical="center" wrapText="1"/>
    </xf>
    <xf numFmtId="0" fontId="8" fillId="0" borderId="15" xfId="5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6" xfId="0" quotePrefix="1" applyFont="1" applyBorder="1" applyAlignment="1">
      <alignment horizontal="left" vertical="center" wrapText="1"/>
    </xf>
    <xf numFmtId="167" fontId="8" fillId="0" borderId="16" xfId="0" quotePrefix="1" applyNumberFormat="1" applyFont="1" applyBorder="1" applyAlignment="1">
      <alignment horizontal="left" vertical="center" wrapText="1"/>
    </xf>
    <xf numFmtId="0" fontId="8" fillId="0" borderId="17" xfId="5" applyFont="1" applyBorder="1" applyAlignment="1">
      <alignment horizontal="left" vertical="center" wrapText="1"/>
    </xf>
    <xf numFmtId="0" fontId="57" fillId="0" borderId="1" xfId="0" applyFont="1" applyBorder="1" applyAlignment="1">
      <alignment horizontal="left" vertical="center" wrapText="1"/>
    </xf>
    <xf numFmtId="166" fontId="43" fillId="0" borderId="1" xfId="0" applyNumberFormat="1" applyFont="1" applyBorder="1" applyAlignment="1">
      <alignment vertical="top" wrapText="1"/>
    </xf>
    <xf numFmtId="0" fontId="43" fillId="0" borderId="1" xfId="0" quotePrefix="1" applyFont="1" applyBorder="1" applyAlignment="1">
      <alignment vertical="top" wrapText="1"/>
    </xf>
    <xf numFmtId="0" fontId="27" fillId="0" borderId="1" xfId="0" quotePrefix="1" applyFont="1" applyBorder="1" applyAlignment="1">
      <alignment vertical="top" wrapText="1"/>
    </xf>
    <xf numFmtId="0" fontId="9" fillId="0" borderId="11" xfId="5" applyFont="1" applyBorder="1" applyAlignment="1">
      <alignment vertical="top"/>
    </xf>
    <xf numFmtId="0" fontId="9" fillId="0" borderId="11" xfId="5" applyFont="1" applyBorder="1"/>
    <xf numFmtId="0" fontId="43" fillId="0" borderId="0" xfId="0" applyFont="1"/>
    <xf numFmtId="0" fontId="9" fillId="0" borderId="1" xfId="5" applyFont="1" applyBorder="1" applyAlignment="1">
      <alignment vertical="top"/>
    </xf>
    <xf numFmtId="1" fontId="42" fillId="0" borderId="1" xfId="0" applyNumberFormat="1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49" fontId="43" fillId="0" borderId="1" xfId="0" applyNumberFormat="1" applyFont="1" applyBorder="1" applyAlignment="1">
      <alignment horizontal="left" vertical="top"/>
    </xf>
    <xf numFmtId="166" fontId="43" fillId="0" borderId="1" xfId="0" applyNumberFormat="1" applyFont="1" applyBorder="1" applyAlignment="1">
      <alignment horizontal="left" vertical="top"/>
    </xf>
    <xf numFmtId="0" fontId="43" fillId="0" borderId="1" xfId="0" applyFont="1" applyBorder="1" applyAlignment="1">
      <alignment horizontal="left" vertical="top"/>
    </xf>
    <xf numFmtId="49" fontId="42" fillId="0" borderId="1" xfId="0" applyNumberFormat="1" applyFont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 vertical="center"/>
    </xf>
    <xf numFmtId="166" fontId="42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wrapText="1"/>
    </xf>
    <xf numFmtId="0" fontId="43" fillId="0" borderId="1" xfId="0" applyFont="1" applyBorder="1" applyAlignment="1">
      <alignment wrapText="1"/>
    </xf>
    <xf numFmtId="0" fontId="42" fillId="0" borderId="1" xfId="0" applyFont="1" applyBorder="1" applyAlignment="1">
      <alignment horizontal="center" wrapText="1"/>
    </xf>
    <xf numFmtId="0" fontId="4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1" fillId="19" borderId="1" xfId="5" applyFont="1" applyFill="1" applyBorder="1" applyAlignment="1">
      <alignment horizontal="left" vertical="center" wrapText="1"/>
    </xf>
    <xf numFmtId="167" fontId="31" fillId="19" borderId="1" xfId="5" applyNumberFormat="1" applyFont="1" applyFill="1" applyBorder="1" applyAlignment="1">
      <alignment horizontal="left" vertical="center" wrapText="1"/>
    </xf>
    <xf numFmtId="0" fontId="10" fillId="19" borderId="1" xfId="5" applyFont="1" applyFill="1" applyBorder="1" applyAlignment="1">
      <alignment horizontal="left" vertical="center" wrapText="1"/>
    </xf>
    <xf numFmtId="167" fontId="10" fillId="19" borderId="1" xfId="5" applyNumberFormat="1" applyFont="1" applyFill="1" applyBorder="1" applyAlignment="1">
      <alignment horizontal="left" vertical="center" wrapText="1"/>
    </xf>
    <xf numFmtId="0" fontId="31" fillId="41" borderId="1" xfId="5" applyFont="1" applyFill="1" applyBorder="1" applyAlignment="1">
      <alignment horizontal="left" vertical="center" wrapText="1"/>
    </xf>
    <xf numFmtId="167" fontId="31" fillId="41" borderId="1" xfId="5" applyNumberFormat="1" applyFont="1" applyFill="1" applyBorder="1" applyAlignment="1">
      <alignment horizontal="left" vertical="center" wrapText="1"/>
    </xf>
    <xf numFmtId="0" fontId="10" fillId="41" borderId="1" xfId="5" applyFont="1" applyFill="1" applyBorder="1" applyAlignment="1">
      <alignment horizontal="left" vertical="center" wrapText="1"/>
    </xf>
    <xf numFmtId="167" fontId="10" fillId="41" borderId="1" xfId="5" applyNumberFormat="1" applyFont="1" applyFill="1" applyBorder="1" applyAlignment="1">
      <alignment horizontal="left" vertical="center" wrapText="1"/>
    </xf>
    <xf numFmtId="0" fontId="31" fillId="39" borderId="1" xfId="5" applyFont="1" applyFill="1" applyBorder="1" applyAlignment="1">
      <alignment horizontal="left" vertical="center" wrapText="1"/>
    </xf>
    <xf numFmtId="0" fontId="10" fillId="39" borderId="1" xfId="5" applyFont="1" applyFill="1" applyBorder="1" applyAlignment="1">
      <alignment horizontal="left" vertical="center" wrapText="1"/>
    </xf>
    <xf numFmtId="0" fontId="31" fillId="9" borderId="1" xfId="5" applyFont="1" applyFill="1" applyBorder="1" applyAlignment="1">
      <alignment horizontal="left" vertical="center" wrapText="1"/>
    </xf>
    <xf numFmtId="0" fontId="10" fillId="9" borderId="1" xfId="5" applyFont="1" applyFill="1" applyBorder="1" applyAlignment="1">
      <alignment horizontal="left" vertical="center" wrapText="1"/>
    </xf>
    <xf numFmtId="0" fontId="31" fillId="40" borderId="1" xfId="5" applyFont="1" applyFill="1" applyBorder="1" applyAlignment="1">
      <alignment horizontal="left" vertical="center" wrapText="1"/>
    </xf>
    <xf numFmtId="0" fontId="10" fillId="40" borderId="1" xfId="5" applyFont="1" applyFill="1" applyBorder="1" applyAlignment="1">
      <alignment horizontal="left" vertical="center" wrapText="1"/>
    </xf>
    <xf numFmtId="167" fontId="31" fillId="39" borderId="1" xfId="5" applyNumberFormat="1" applyFont="1" applyFill="1" applyBorder="1" applyAlignment="1">
      <alignment horizontal="left" vertical="center" wrapText="1"/>
    </xf>
    <xf numFmtId="167" fontId="10" fillId="39" borderId="1" xfId="5" applyNumberFormat="1" applyFont="1" applyFill="1" applyBorder="1" applyAlignment="1">
      <alignment horizontal="left" vertical="center" wrapText="1"/>
    </xf>
    <xf numFmtId="167" fontId="31" fillId="9" borderId="1" xfId="5" applyNumberFormat="1" applyFont="1" applyFill="1" applyBorder="1" applyAlignment="1">
      <alignment horizontal="left" vertical="center" wrapText="1"/>
    </xf>
    <xf numFmtId="167" fontId="10" fillId="9" borderId="1" xfId="5" applyNumberFormat="1" applyFont="1" applyFill="1" applyBorder="1" applyAlignment="1">
      <alignment horizontal="left" vertical="center" wrapText="1"/>
    </xf>
    <xf numFmtId="167" fontId="31" fillId="40" borderId="1" xfId="5" applyNumberFormat="1" applyFont="1" applyFill="1" applyBorder="1" applyAlignment="1">
      <alignment horizontal="left" vertical="center" wrapText="1"/>
    </xf>
    <xf numFmtId="167" fontId="10" fillId="40" borderId="1" xfId="5" applyNumberFormat="1" applyFont="1" applyFill="1" applyBorder="1" applyAlignment="1">
      <alignment horizontal="left" vertical="center" wrapText="1"/>
    </xf>
    <xf numFmtId="0" fontId="31" fillId="26" borderId="1" xfId="5" applyFont="1" applyFill="1" applyBorder="1" applyAlignment="1">
      <alignment horizontal="left" vertical="center" wrapText="1"/>
    </xf>
    <xf numFmtId="167" fontId="31" fillId="26" borderId="1" xfId="5" applyNumberFormat="1" applyFont="1" applyFill="1" applyBorder="1" applyAlignment="1">
      <alignment horizontal="left" vertical="center" wrapText="1"/>
    </xf>
    <xf numFmtId="0" fontId="10" fillId="26" borderId="1" xfId="5" applyFont="1" applyFill="1" applyBorder="1" applyAlignment="1">
      <alignment horizontal="left" vertical="center" wrapText="1"/>
    </xf>
    <xf numFmtId="167" fontId="10" fillId="26" borderId="1" xfId="5" applyNumberFormat="1" applyFont="1" applyFill="1" applyBorder="1" applyAlignment="1">
      <alignment horizontal="left" vertical="center" wrapText="1"/>
    </xf>
    <xf numFmtId="0" fontId="13" fillId="0" borderId="18" xfId="5" applyFont="1" applyBorder="1"/>
    <xf numFmtId="0" fontId="18" fillId="0" borderId="10" xfId="5" applyFont="1" applyBorder="1" applyAlignment="1">
      <alignment vertical="top"/>
    </xf>
    <xf numFmtId="0" fontId="9" fillId="0" borderId="13" xfId="5" applyFont="1" applyBorder="1" applyAlignment="1">
      <alignment vertical="top"/>
    </xf>
    <xf numFmtId="0" fontId="43" fillId="0" borderId="14" xfId="0" applyFont="1" applyBorder="1" applyAlignment="1">
      <alignment wrapText="1"/>
    </xf>
    <xf numFmtId="49" fontId="43" fillId="0" borderId="13" xfId="0" quotePrefix="1" applyNumberFormat="1" applyFont="1" applyBorder="1" applyAlignment="1">
      <alignment vertical="top" wrapText="1"/>
    </xf>
    <xf numFmtId="0" fontId="27" fillId="0" borderId="14" xfId="0" quotePrefix="1" applyFont="1" applyBorder="1" applyAlignment="1">
      <alignment vertical="top" wrapText="1"/>
    </xf>
    <xf numFmtId="1" fontId="42" fillId="0" borderId="13" xfId="0" applyNumberFormat="1" applyFont="1" applyBorder="1" applyAlignment="1">
      <alignment horizontal="center" wrapText="1"/>
    </xf>
    <xf numFmtId="0" fontId="42" fillId="0" borderId="14" xfId="0" applyFont="1" applyBorder="1" applyAlignment="1">
      <alignment horizontal="center" wrapText="1"/>
    </xf>
    <xf numFmtId="49" fontId="43" fillId="0" borderId="13" xfId="0" applyNumberFormat="1" applyFont="1" applyBorder="1" applyAlignment="1">
      <alignment horizontal="left" vertical="top"/>
    </xf>
    <xf numFmtId="49" fontId="42" fillId="0" borderId="13" xfId="0" applyNumberFormat="1" applyFont="1" applyBorder="1" applyAlignment="1">
      <alignment horizontal="center" vertical="center"/>
    </xf>
    <xf numFmtId="166" fontId="42" fillId="0" borderId="14" xfId="0" applyNumberFormat="1" applyFont="1" applyBorder="1" applyAlignment="1">
      <alignment horizontal="center" vertical="center" wrapText="1"/>
    </xf>
    <xf numFmtId="0" fontId="18" fillId="42" borderId="1" xfId="5" applyFont="1" applyFill="1" applyBorder="1" applyAlignment="1">
      <alignment horizontal="left" vertical="top" wrapText="1"/>
    </xf>
    <xf numFmtId="166" fontId="18" fillId="42" borderId="1" xfId="5" applyNumberFormat="1" applyFont="1" applyFill="1" applyBorder="1" applyAlignment="1">
      <alignment horizontal="left" vertical="top" wrapText="1"/>
    </xf>
    <xf numFmtId="0" fontId="26" fillId="42" borderId="1" xfId="5" applyFont="1" applyFill="1" applyBorder="1" applyAlignment="1">
      <alignment horizontal="left" vertical="top" wrapText="1"/>
    </xf>
    <xf numFmtId="166" fontId="26" fillId="42" borderId="1" xfId="5" applyNumberFormat="1" applyFont="1" applyFill="1" applyBorder="1" applyAlignment="1">
      <alignment horizontal="left" vertical="top" wrapText="1"/>
    </xf>
    <xf numFmtId="0" fontId="19" fillId="0" borderId="1" xfId="0" applyFont="1" applyBorder="1" applyAlignment="1">
      <alignment horizontal="center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4" fillId="0" borderId="3" xfId="5" applyFont="1" applyBorder="1" applyAlignment="1">
      <alignment vertical="top" wrapText="1"/>
    </xf>
    <xf numFmtId="0" fontId="13" fillId="0" borderId="3" xfId="5" applyFont="1" applyBorder="1" applyAlignment="1">
      <alignment vertical="top" wrapText="1"/>
    </xf>
    <xf numFmtId="0" fontId="13" fillId="0" borderId="7" xfId="5" applyFont="1" applyBorder="1" applyAlignment="1">
      <alignment vertical="top" wrapText="1"/>
    </xf>
    <xf numFmtId="49" fontId="21" fillId="0" borderId="5" xfId="0" applyNumberFormat="1" applyFont="1" applyBorder="1" applyAlignment="1">
      <alignment horizontal="left" vertical="top" wrapText="1"/>
    </xf>
    <xf numFmtId="49" fontId="19" fillId="26" borderId="1" xfId="0" applyNumberFormat="1" applyFont="1" applyFill="1" applyBorder="1" applyAlignment="1">
      <alignment horizontal="center" vertical="center" wrapText="1"/>
    </xf>
    <xf numFmtId="1" fontId="8" fillId="0" borderId="0" xfId="0" quotePrefix="1" applyNumberFormat="1" applyFont="1" applyAlignment="1">
      <alignment horizontal="left" vertical="center"/>
    </xf>
    <xf numFmtId="166" fontId="8" fillId="0" borderId="0" xfId="0" applyNumberFormat="1" applyFont="1" applyAlignment="1">
      <alignment horizontal="left" vertical="center" wrapText="1"/>
    </xf>
    <xf numFmtId="1" fontId="8" fillId="0" borderId="0" xfId="0" applyNumberFormat="1" applyFont="1" applyAlignment="1">
      <alignment horizontal="left" vertical="center" wrapText="1"/>
    </xf>
    <xf numFmtId="166" fontId="11" fillId="0" borderId="0" xfId="0" applyNumberFormat="1" applyFont="1" applyAlignment="1">
      <alignment horizontal="left" vertical="center"/>
    </xf>
    <xf numFmtId="49" fontId="45" fillId="0" borderId="1" xfId="0" quotePrefix="1" applyNumberFormat="1" applyFont="1" applyBorder="1" applyAlignment="1">
      <alignment horizontal="left" vertical="center" wrapText="1"/>
    </xf>
    <xf numFmtId="0" fontId="8" fillId="0" borderId="1" xfId="5" quotePrefix="1" applyFont="1" applyBorder="1" applyAlignment="1">
      <alignment horizontal="left" vertical="center"/>
    </xf>
    <xf numFmtId="0" fontId="11" fillId="33" borderId="1" xfId="0" quotePrefix="1" applyFont="1" applyFill="1" applyBorder="1" applyAlignment="1">
      <alignment horizontal="left" vertical="center"/>
    </xf>
    <xf numFmtId="166" fontId="8" fillId="33" borderId="1" xfId="0" quotePrefix="1" applyNumberFormat="1" applyFont="1" applyFill="1" applyBorder="1" applyAlignment="1">
      <alignment horizontal="left" vertical="center"/>
    </xf>
    <xf numFmtId="166" fontId="4" fillId="0" borderId="1" xfId="0" applyNumberFormat="1" applyFont="1" applyBorder="1" applyAlignment="1">
      <alignment vertical="center" wrapText="1"/>
    </xf>
    <xf numFmtId="0" fontId="35" fillId="0" borderId="1" xfId="0" applyFont="1" applyBorder="1" applyAlignment="1">
      <alignment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" xfId="0" quotePrefix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167" fontId="11" fillId="0" borderId="1" xfId="0" quotePrefix="1" applyNumberFormat="1" applyFont="1" applyFill="1" applyBorder="1" applyAlignment="1">
      <alignment horizontal="left" vertical="center"/>
    </xf>
    <xf numFmtId="1" fontId="11" fillId="0" borderId="1" xfId="0" quotePrefix="1" applyNumberFormat="1" applyFont="1" applyFill="1" applyBorder="1" applyAlignment="1">
      <alignment horizontal="left" vertical="center"/>
    </xf>
    <xf numFmtId="166" fontId="11" fillId="0" borderId="1" xfId="0" applyNumberFormat="1" applyFont="1" applyFill="1" applyBorder="1" applyAlignment="1">
      <alignment horizontal="left" vertical="center" wrapText="1"/>
    </xf>
    <xf numFmtId="166" fontId="11" fillId="0" borderId="1" xfId="0" applyNumberFormat="1" applyFont="1" applyFill="1" applyBorder="1" applyAlignment="1">
      <alignment horizontal="left" vertical="center"/>
    </xf>
    <xf numFmtId="167" fontId="8" fillId="2" borderId="1" xfId="0" quotePrefix="1" applyNumberFormat="1" applyFont="1" applyFill="1" applyBorder="1" applyAlignment="1">
      <alignment horizontal="left" vertical="center"/>
    </xf>
    <xf numFmtId="1" fontId="8" fillId="2" borderId="1" xfId="0" applyNumberFormat="1" applyFont="1" applyFill="1" applyBorder="1" applyAlignment="1">
      <alignment horizontal="left" vertical="center" wrapText="1"/>
    </xf>
    <xf numFmtId="0" fontId="8" fillId="2" borderId="1" xfId="0" quotePrefix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166" fontId="4" fillId="0" borderId="1" xfId="0" applyNumberFormat="1" applyFont="1" applyFill="1" applyBorder="1" applyAlignment="1">
      <alignment vertical="top" wrapText="1"/>
    </xf>
    <xf numFmtId="166" fontId="8" fillId="0" borderId="1" xfId="0" quotePrefix="1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166" fontId="8" fillId="0" borderId="1" xfId="0" applyNumberFormat="1" applyFont="1" applyFill="1" applyBorder="1" applyAlignment="1">
      <alignment horizontal="left" vertical="center"/>
    </xf>
    <xf numFmtId="1" fontId="8" fillId="0" borderId="1" xfId="0" quotePrefix="1" applyNumberFormat="1" applyFont="1" applyFill="1" applyBorder="1" applyAlignment="1">
      <alignment horizontal="left" vertical="center"/>
    </xf>
    <xf numFmtId="0" fontId="11" fillId="0" borderId="1" xfId="0" quotePrefix="1" applyFont="1" applyFill="1" applyBorder="1" applyAlignment="1">
      <alignment horizontal="left" vertical="center" wrapText="1"/>
    </xf>
    <xf numFmtId="0" fontId="8" fillId="0" borderId="1" xfId="0" quotePrefix="1" applyFont="1" applyFill="1" applyBorder="1" applyAlignment="1">
      <alignment horizontal="left" vertical="center"/>
    </xf>
    <xf numFmtId="167" fontId="8" fillId="0" borderId="1" xfId="0" quotePrefix="1" applyNumberFormat="1" applyFont="1" applyFill="1" applyBorder="1" applyAlignment="1">
      <alignment horizontal="left" vertical="center"/>
    </xf>
    <xf numFmtId="166" fontId="8" fillId="0" borderId="1" xfId="0" applyNumberFormat="1" applyFont="1" applyFill="1" applyBorder="1" applyAlignment="1">
      <alignment horizontal="left" vertical="center" wrapText="1"/>
    </xf>
    <xf numFmtId="1" fontId="8" fillId="0" borderId="1" xfId="0" applyNumberFormat="1" applyFont="1" applyFill="1" applyBorder="1" applyAlignment="1">
      <alignment horizontal="left" vertical="center" wrapText="1"/>
    </xf>
    <xf numFmtId="1" fontId="11" fillId="0" borderId="1" xfId="0" applyNumberFormat="1" applyFont="1" applyFill="1" applyBorder="1" applyAlignment="1">
      <alignment horizontal="left" vertical="center"/>
    </xf>
    <xf numFmtId="0" fontId="8" fillId="0" borderId="13" xfId="5" applyFont="1" applyBorder="1" applyAlignment="1">
      <alignment horizontal="left" vertical="center"/>
    </xf>
    <xf numFmtId="0" fontId="8" fillId="0" borderId="14" xfId="5" applyFont="1" applyBorder="1" applyAlignment="1">
      <alignment horizontal="left" vertical="center"/>
    </xf>
    <xf numFmtId="0" fontId="8" fillId="0" borderId="15" xfId="5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167" fontId="8" fillId="0" borderId="16" xfId="0" quotePrefix="1" applyNumberFormat="1" applyFont="1" applyBorder="1" applyAlignment="1">
      <alignment horizontal="left" vertical="center"/>
    </xf>
    <xf numFmtId="0" fontId="8" fillId="0" borderId="16" xfId="0" quotePrefix="1" applyFont="1" applyBorder="1" applyAlignment="1">
      <alignment horizontal="left" vertical="center"/>
    </xf>
    <xf numFmtId="166" fontId="8" fillId="0" borderId="16" xfId="0" applyNumberFormat="1" applyFont="1" applyBorder="1" applyAlignment="1">
      <alignment horizontal="left" vertical="center" wrapText="1"/>
    </xf>
    <xf numFmtId="1" fontId="8" fillId="0" borderId="16" xfId="0" applyNumberFormat="1" applyFont="1" applyBorder="1" applyAlignment="1">
      <alignment horizontal="left" vertical="center" wrapText="1"/>
    </xf>
    <xf numFmtId="166" fontId="11" fillId="0" borderId="16" xfId="0" applyNumberFormat="1" applyFont="1" applyBorder="1" applyAlignment="1">
      <alignment horizontal="left" vertical="center"/>
    </xf>
    <xf numFmtId="1" fontId="11" fillId="0" borderId="16" xfId="0" applyNumberFormat="1" applyFont="1" applyBorder="1" applyAlignment="1">
      <alignment horizontal="left" vertical="center"/>
    </xf>
    <xf numFmtId="0" fontId="8" fillId="0" borderId="17" xfId="5" applyFont="1" applyBorder="1" applyAlignment="1">
      <alignment horizontal="left" vertical="center"/>
    </xf>
    <xf numFmtId="0" fontId="13" fillId="0" borderId="0" xfId="5" applyFont="1" applyBorder="1"/>
    <xf numFmtId="0" fontId="13" fillId="0" borderId="3" xfId="5" applyFont="1" applyBorder="1"/>
    <xf numFmtId="0" fontId="8" fillId="0" borderId="0" xfId="5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0" xfId="0" quotePrefix="1" applyFont="1" applyBorder="1" applyAlignment="1">
      <alignment horizontal="left" vertical="center" wrapText="1"/>
    </xf>
    <xf numFmtId="167" fontId="8" fillId="0" borderId="0" xfId="0" quotePrefix="1" applyNumberFormat="1" applyFont="1" applyBorder="1" applyAlignment="1">
      <alignment horizontal="left" vertical="center"/>
    </xf>
    <xf numFmtId="0" fontId="8" fillId="0" borderId="0" xfId="0" quotePrefix="1" applyFont="1" applyBorder="1" applyAlignment="1">
      <alignment horizontal="left" vertical="center"/>
    </xf>
    <xf numFmtId="1" fontId="8" fillId="0" borderId="0" xfId="0" quotePrefix="1" applyNumberFormat="1" applyFont="1" applyBorder="1" applyAlignment="1">
      <alignment horizontal="left" vertical="center"/>
    </xf>
    <xf numFmtId="166" fontId="8" fillId="0" borderId="0" xfId="0" applyNumberFormat="1" applyFont="1" applyBorder="1" applyAlignment="1">
      <alignment horizontal="left" vertical="center" wrapText="1"/>
    </xf>
    <xf numFmtId="1" fontId="8" fillId="0" borderId="0" xfId="0" applyNumberFormat="1" applyFont="1" applyBorder="1" applyAlignment="1">
      <alignment horizontal="left" vertical="center" wrapText="1"/>
    </xf>
    <xf numFmtId="166" fontId="11" fillId="0" borderId="0" xfId="0" applyNumberFormat="1" applyFont="1" applyBorder="1" applyAlignment="1">
      <alignment horizontal="left" vertical="center"/>
    </xf>
    <xf numFmtId="0" fontId="8" fillId="0" borderId="0" xfId="5" applyFont="1" applyBorder="1" applyAlignment="1">
      <alignment horizontal="left" vertical="top"/>
    </xf>
    <xf numFmtId="0" fontId="8" fillId="0" borderId="0" xfId="5" applyFont="1" applyBorder="1" applyAlignment="1">
      <alignment horizontal="left" vertical="top" wrapText="1"/>
    </xf>
    <xf numFmtId="167" fontId="8" fillId="0" borderId="0" xfId="5" applyNumberFormat="1" applyFont="1" applyBorder="1" applyAlignment="1">
      <alignment horizontal="left" vertical="top" wrapText="1"/>
    </xf>
    <xf numFmtId="1" fontId="8" fillId="0" borderId="0" xfId="5" applyNumberFormat="1" applyFont="1" applyBorder="1" applyAlignment="1">
      <alignment horizontal="left" vertical="top" wrapText="1"/>
    </xf>
    <xf numFmtId="166" fontId="8" fillId="0" borderId="0" xfId="5" applyNumberFormat="1" applyFont="1" applyBorder="1" applyAlignment="1">
      <alignment horizontal="left" vertical="top"/>
    </xf>
    <xf numFmtId="1" fontId="8" fillId="0" borderId="0" xfId="5" applyNumberFormat="1" applyFont="1" applyBorder="1" applyAlignment="1">
      <alignment horizontal="left" vertical="top"/>
    </xf>
    <xf numFmtId="164" fontId="8" fillId="0" borderId="0" xfId="5" applyNumberFormat="1" applyFont="1" applyBorder="1" applyAlignment="1">
      <alignment horizontal="left" vertical="top"/>
    </xf>
    <xf numFmtId="0" fontId="32" fillId="0" borderId="0" xfId="0" applyFont="1" applyBorder="1"/>
    <xf numFmtId="0" fontId="0" fillId="0" borderId="0" xfId="0" applyBorder="1"/>
    <xf numFmtId="166" fontId="18" fillId="4" borderId="1" xfId="5" applyNumberFormat="1" applyFont="1" applyFill="1" applyBorder="1" applyAlignment="1">
      <alignment horizontal="left" vertical="top" wrapText="1"/>
    </xf>
    <xf numFmtId="0" fontId="26" fillId="4" borderId="1" xfId="5" applyFont="1" applyFill="1" applyBorder="1" applyAlignment="1">
      <alignment horizontal="left" vertical="top" wrapText="1"/>
    </xf>
    <xf numFmtId="166" fontId="26" fillId="4" borderId="1" xfId="5" applyNumberFormat="1" applyFont="1" applyFill="1" applyBorder="1" applyAlignment="1">
      <alignment horizontal="left" vertical="top" wrapText="1"/>
    </xf>
    <xf numFmtId="0" fontId="9" fillId="0" borderId="0" xfId="5" applyFont="1" applyBorder="1"/>
    <xf numFmtId="0" fontId="9" fillId="0" borderId="0" xfId="5" applyFont="1" applyBorder="1" applyAlignment="1">
      <alignment horizontal="left" vertical="top" wrapText="1"/>
    </xf>
    <xf numFmtId="0" fontId="8" fillId="0" borderId="0" xfId="5" applyFont="1" applyFill="1" applyBorder="1" applyAlignment="1">
      <alignment horizontal="left" vertical="center"/>
    </xf>
    <xf numFmtId="0" fontId="8" fillId="33" borderId="0" xfId="5" applyFont="1" applyFill="1" applyBorder="1" applyAlignment="1">
      <alignment horizontal="left" vertical="center"/>
    </xf>
    <xf numFmtId="0" fontId="8" fillId="2" borderId="0" xfId="5" applyFont="1" applyFill="1" applyBorder="1" applyAlignment="1">
      <alignment horizontal="left" vertical="center"/>
    </xf>
    <xf numFmtId="0" fontId="13" fillId="0" borderId="19" xfId="5" applyFont="1" applyBorder="1"/>
    <xf numFmtId="0" fontId="13" fillId="0" borderId="19" xfId="5" applyFont="1" applyBorder="1" applyAlignment="1">
      <alignment vertical="top"/>
    </xf>
    <xf numFmtId="0" fontId="0" fillId="0" borderId="19" xfId="0" applyBorder="1"/>
    <xf numFmtId="1" fontId="0" fillId="0" borderId="19" xfId="0" applyNumberFormat="1" applyBorder="1"/>
    <xf numFmtId="0" fontId="15" fillId="0" borderId="19" xfId="0" applyFont="1" applyBorder="1"/>
    <xf numFmtId="166" fontId="15" fillId="0" borderId="19" xfId="0" applyNumberFormat="1" applyFont="1" applyBorder="1"/>
    <xf numFmtId="1" fontId="15" fillId="0" borderId="19" xfId="0" applyNumberFormat="1" applyFont="1" applyBorder="1"/>
    <xf numFmtId="0" fontId="13" fillId="0" borderId="7" xfId="5" applyFont="1" applyBorder="1"/>
    <xf numFmtId="0" fontId="11" fillId="0" borderId="14" xfId="0" applyFont="1" applyBorder="1" applyAlignment="1">
      <alignment horizontal="left" vertical="center" wrapText="1"/>
    </xf>
    <xf numFmtId="0" fontId="8" fillId="0" borderId="13" xfId="5" applyFont="1" applyFill="1" applyBorder="1" applyAlignment="1">
      <alignment horizontal="left" vertical="center"/>
    </xf>
    <xf numFmtId="0" fontId="8" fillId="0" borderId="14" xfId="5" applyFont="1" applyFill="1" applyBorder="1" applyAlignment="1">
      <alignment horizontal="left" vertical="center"/>
    </xf>
    <xf numFmtId="0" fontId="8" fillId="33" borderId="13" xfId="5" quotePrefix="1" applyFont="1" applyFill="1" applyBorder="1" applyAlignment="1">
      <alignment horizontal="left" vertical="center"/>
    </xf>
    <xf numFmtId="0" fontId="8" fillId="33" borderId="14" xfId="5" applyFont="1" applyFill="1" applyBorder="1" applyAlignment="1">
      <alignment horizontal="left" vertical="center"/>
    </xf>
    <xf numFmtId="0" fontId="8" fillId="0" borderId="14" xfId="5" applyFont="1" applyBorder="1" applyAlignment="1">
      <alignment vertical="center" wrapText="1"/>
    </xf>
    <xf numFmtId="0" fontId="8" fillId="2" borderId="13" xfId="5" quotePrefix="1" applyFont="1" applyFill="1" applyBorder="1" applyAlignment="1">
      <alignment horizontal="left" vertical="center"/>
    </xf>
    <xf numFmtId="1" fontId="8" fillId="0" borderId="16" xfId="0" quotePrefix="1" applyNumberFormat="1" applyFont="1" applyBorder="1" applyAlignment="1">
      <alignment horizontal="left" vertical="center"/>
    </xf>
    <xf numFmtId="0" fontId="8" fillId="0" borderId="13" xfId="5" quotePrefix="1" applyFont="1" applyFill="1" applyBorder="1" applyAlignment="1">
      <alignment horizontal="left" vertical="center"/>
    </xf>
    <xf numFmtId="0" fontId="8" fillId="0" borderId="1" xfId="0" quotePrefix="1" applyFont="1" applyFill="1" applyBorder="1" applyAlignment="1">
      <alignment horizontal="left" vertical="center" wrapText="1"/>
    </xf>
    <xf numFmtId="0" fontId="13" fillId="0" borderId="0" xfId="5" applyFont="1" applyBorder="1" applyAlignment="1">
      <alignment horizontal="center" vertical="center"/>
    </xf>
    <xf numFmtId="0" fontId="8" fillId="0" borderId="0" xfId="5" applyFont="1" applyBorder="1"/>
    <xf numFmtId="0" fontId="13" fillId="0" borderId="20" xfId="5" applyFont="1" applyBorder="1" applyAlignment="1">
      <alignment horizontal="center" vertical="center"/>
    </xf>
    <xf numFmtId="0" fontId="13" fillId="0" borderId="19" xfId="5" applyFon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1" fillId="0" borderId="16" xfId="0" quotePrefix="1" applyFont="1" applyBorder="1" applyAlignment="1">
      <alignment horizontal="left" vertical="center" wrapText="1"/>
    </xf>
    <xf numFmtId="14" fontId="11" fillId="0" borderId="16" xfId="0" applyNumberFormat="1" applyFont="1" applyBorder="1" applyAlignment="1">
      <alignment horizontal="left" vertical="center" wrapText="1"/>
    </xf>
    <xf numFmtId="1" fontId="8" fillId="0" borderId="16" xfId="0" quotePrefix="1" applyNumberFormat="1" applyFont="1" applyBorder="1" applyAlignment="1">
      <alignment horizontal="left" vertical="center" wrapText="1"/>
    </xf>
    <xf numFmtId="0" fontId="8" fillId="0" borderId="0" xfId="5" applyFont="1" applyBorder="1" applyAlignment="1">
      <alignment horizontal="left" vertical="center" wrapText="1"/>
    </xf>
    <xf numFmtId="0" fontId="46" fillId="0" borderId="0" xfId="0" applyFont="1" applyBorder="1"/>
    <xf numFmtId="16" fontId="8" fillId="0" borderId="1" xfId="5" applyNumberFormat="1" applyFont="1" applyBorder="1" applyAlignment="1">
      <alignment horizontal="left" vertical="center"/>
    </xf>
    <xf numFmtId="0" fontId="47" fillId="0" borderId="14" xfId="5" applyFont="1" applyBorder="1" applyAlignment="1">
      <alignment horizontal="left" vertical="center"/>
    </xf>
    <xf numFmtId="0" fontId="8" fillId="32" borderId="13" xfId="5" quotePrefix="1" applyFont="1" applyFill="1" applyBorder="1" applyAlignment="1">
      <alignment horizontal="left" vertical="center"/>
    </xf>
    <xf numFmtId="0" fontId="8" fillId="0" borderId="13" xfId="5" quotePrefix="1" applyFont="1" applyBorder="1" applyAlignment="1">
      <alignment horizontal="left" vertical="center"/>
    </xf>
    <xf numFmtId="0" fontId="8" fillId="0" borderId="15" xfId="5" quotePrefix="1" applyFont="1" applyBorder="1" applyAlignment="1">
      <alignment horizontal="left" vertical="center"/>
    </xf>
    <xf numFmtId="0" fontId="11" fillId="0" borderId="16" xfId="0" quotePrefix="1" applyFont="1" applyBorder="1" applyAlignment="1">
      <alignment horizontal="left" vertical="center"/>
    </xf>
    <xf numFmtId="0" fontId="47" fillId="0" borderId="17" xfId="5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167" fontId="8" fillId="0" borderId="1" xfId="5" applyNumberFormat="1" applyFont="1" applyBorder="1" applyAlignment="1">
      <alignment horizontal="left" vertical="center"/>
    </xf>
    <xf numFmtId="0" fontId="8" fillId="2" borderId="14" xfId="5" applyFont="1" applyFill="1" applyBorder="1" applyAlignment="1">
      <alignment horizontal="left" vertical="center" wrapText="1"/>
    </xf>
    <xf numFmtId="0" fontId="41" fillId="0" borderId="0" xfId="5" applyFont="1" applyBorder="1"/>
    <xf numFmtId="0" fontId="11" fillId="0" borderId="0" xfId="5" applyFont="1" applyBorder="1" applyAlignment="1">
      <alignment horizontal="left" vertical="center"/>
    </xf>
    <xf numFmtId="0" fontId="2" fillId="0" borderId="0" xfId="0" applyFont="1" applyBorder="1"/>
    <xf numFmtId="0" fontId="11" fillId="0" borderId="0" xfId="5" applyFont="1" applyBorder="1" applyAlignment="1">
      <alignment horizontal="left" vertical="top"/>
    </xf>
    <xf numFmtId="0" fontId="11" fillId="0" borderId="0" xfId="5" applyFont="1" applyBorder="1" applyAlignment="1">
      <alignment horizontal="left" vertical="top" wrapText="1"/>
    </xf>
    <xf numFmtId="167" fontId="11" fillId="0" borderId="0" xfId="5" applyNumberFormat="1" applyFont="1" applyBorder="1" applyAlignment="1">
      <alignment horizontal="left" vertical="top" wrapText="1"/>
    </xf>
    <xf numFmtId="166" fontId="11" fillId="0" borderId="0" xfId="5" applyNumberFormat="1" applyFont="1" applyBorder="1" applyAlignment="1">
      <alignment horizontal="left" vertical="top"/>
    </xf>
    <xf numFmtId="164" fontId="11" fillId="0" borderId="0" xfId="5" applyNumberFormat="1" applyFont="1" applyBorder="1" applyAlignment="1">
      <alignment horizontal="left" vertical="top"/>
    </xf>
    <xf numFmtId="0" fontId="11" fillId="0" borderId="13" xfId="5" quotePrefix="1" applyFont="1" applyBorder="1" applyAlignment="1">
      <alignment horizontal="left" vertical="center"/>
    </xf>
    <xf numFmtId="0" fontId="11" fillId="0" borderId="14" xfId="5" applyFont="1" applyBorder="1" applyAlignment="1">
      <alignment horizontal="left" vertical="center" wrapText="1"/>
    </xf>
    <xf numFmtId="0" fontId="11" fillId="0" borderId="14" xfId="5" applyFont="1" applyBorder="1" applyAlignment="1">
      <alignment horizontal="left" vertical="center"/>
    </xf>
    <xf numFmtId="0" fontId="11" fillId="0" borderId="15" xfId="5" applyFont="1" applyBorder="1" applyAlignment="1">
      <alignment horizontal="left" vertical="center"/>
    </xf>
    <xf numFmtId="167" fontId="11" fillId="0" borderId="16" xfId="0" quotePrefix="1" applyNumberFormat="1" applyFont="1" applyBorder="1" applyAlignment="1">
      <alignment horizontal="left" vertical="center"/>
    </xf>
    <xf numFmtId="166" fontId="11" fillId="0" borderId="16" xfId="0" applyNumberFormat="1" applyFont="1" applyBorder="1" applyAlignment="1">
      <alignment horizontal="left" vertical="center" wrapText="1"/>
    </xf>
    <xf numFmtId="0" fontId="11" fillId="0" borderId="17" xfId="5" applyFont="1" applyBorder="1" applyAlignment="1">
      <alignment horizontal="left" vertical="center"/>
    </xf>
    <xf numFmtId="0" fontId="11" fillId="0" borderId="0" xfId="5" applyFont="1" applyFill="1" applyBorder="1" applyAlignment="1">
      <alignment horizontal="left" vertical="center"/>
    </xf>
    <xf numFmtId="0" fontId="11" fillId="0" borderId="13" xfId="5" applyFont="1" applyBorder="1" applyAlignment="1">
      <alignment horizontal="left" vertical="center"/>
    </xf>
    <xf numFmtId="0" fontId="11" fillId="0" borderId="13" xfId="5" quotePrefix="1" applyFont="1" applyFill="1" applyBorder="1" applyAlignment="1">
      <alignment horizontal="left" vertical="center"/>
    </xf>
    <xf numFmtId="0" fontId="11" fillId="0" borderId="14" xfId="5" applyFont="1" applyFill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166" fontId="8" fillId="0" borderId="0" xfId="5" applyNumberFormat="1" applyFont="1" applyBorder="1" applyAlignment="1">
      <alignment horizontal="left" vertical="top" wrapText="1"/>
    </xf>
    <xf numFmtId="0" fontId="46" fillId="0" borderId="0" xfId="0" applyFont="1" applyBorder="1" applyAlignment="1">
      <alignment wrapText="1"/>
    </xf>
    <xf numFmtId="0" fontId="47" fillId="0" borderId="14" xfId="5" applyFont="1" applyBorder="1" applyAlignment="1">
      <alignment horizontal="left" vertical="center" wrapText="1"/>
    </xf>
    <xf numFmtId="166" fontId="8" fillId="0" borderId="16" xfId="0" quotePrefix="1" applyNumberFormat="1" applyFont="1" applyBorder="1" applyAlignment="1">
      <alignment horizontal="left" vertical="center"/>
    </xf>
    <xf numFmtId="0" fontId="47" fillId="0" borderId="17" xfId="5" applyFont="1" applyBorder="1" applyAlignment="1">
      <alignment horizontal="left" vertical="center" wrapText="1"/>
    </xf>
    <xf numFmtId="166" fontId="8" fillId="0" borderId="16" xfId="0" applyNumberFormat="1" applyFont="1" applyBorder="1" applyAlignment="1">
      <alignment horizontal="left" vertical="center"/>
    </xf>
    <xf numFmtId="0" fontId="8" fillId="0" borderId="16" xfId="5" applyFont="1" applyBorder="1" applyAlignment="1">
      <alignment horizontal="left" vertical="center"/>
    </xf>
    <xf numFmtId="0" fontId="8" fillId="0" borderId="14" xfId="5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vertical="center" wrapText="1"/>
    </xf>
    <xf numFmtId="0" fontId="47" fillId="0" borderId="14" xfId="5" applyFont="1" applyFill="1" applyBorder="1" applyAlignment="1">
      <alignment horizontal="left" vertical="center"/>
    </xf>
    <xf numFmtId="1" fontId="8" fillId="0" borderId="16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 wrapText="1"/>
    </xf>
    <xf numFmtId="49" fontId="45" fillId="0" borderId="16" xfId="0" quotePrefix="1" applyNumberFormat="1" applyFont="1" applyBorder="1" applyAlignment="1">
      <alignment horizontal="left" vertical="center" wrapText="1"/>
    </xf>
    <xf numFmtId="0" fontId="31" fillId="0" borderId="16" xfId="0" quotePrefix="1" applyFont="1" applyBorder="1" applyAlignment="1">
      <alignment horizontal="left" vertical="center"/>
    </xf>
    <xf numFmtId="166" fontId="4" fillId="0" borderId="16" xfId="0" applyNumberFormat="1" applyFont="1" applyBorder="1" applyAlignment="1">
      <alignment horizontal="left" vertical="center" wrapText="1"/>
    </xf>
    <xf numFmtId="49" fontId="4" fillId="0" borderId="16" xfId="0" quotePrefix="1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wrapText="1"/>
    </xf>
    <xf numFmtId="0" fontId="11" fillId="33" borderId="14" xfId="5" applyFont="1" applyFill="1" applyBorder="1" applyAlignment="1">
      <alignment horizontal="left" vertical="center" wrapText="1"/>
    </xf>
    <xf numFmtId="0" fontId="11" fillId="0" borderId="17" xfId="5" applyFont="1" applyBorder="1" applyAlignment="1">
      <alignment horizontal="left" vertical="center" wrapText="1"/>
    </xf>
    <xf numFmtId="0" fontId="48" fillId="0" borderId="3" xfId="5" applyFont="1" applyBorder="1" applyAlignment="1">
      <alignment wrapText="1"/>
    </xf>
    <xf numFmtId="0" fontId="48" fillId="0" borderId="7" xfId="5" applyFont="1" applyBorder="1" applyAlignment="1">
      <alignment wrapText="1"/>
    </xf>
    <xf numFmtId="0" fontId="16" fillId="0" borderId="0" xfId="5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 wrapText="1"/>
    </xf>
    <xf numFmtId="0" fontId="11" fillId="0" borderId="19" xfId="0" quotePrefix="1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167" fontId="8" fillId="0" borderId="19" xfId="0" quotePrefix="1" applyNumberFormat="1" applyFont="1" applyBorder="1" applyAlignment="1">
      <alignment horizontal="left" vertical="center" wrapText="1"/>
    </xf>
    <xf numFmtId="0" fontId="8" fillId="0" borderId="19" xfId="0" quotePrefix="1" applyFont="1" applyBorder="1" applyAlignment="1">
      <alignment horizontal="left" vertical="center" wrapText="1"/>
    </xf>
    <xf numFmtId="1" fontId="8" fillId="0" borderId="19" xfId="0" quotePrefix="1" applyNumberFormat="1" applyFont="1" applyBorder="1" applyAlignment="1">
      <alignment horizontal="left" vertical="center" wrapText="1"/>
    </xf>
    <xf numFmtId="0" fontId="38" fillId="0" borderId="19" xfId="0" applyFont="1" applyBorder="1" applyAlignment="1">
      <alignment vertical="center" wrapText="1"/>
    </xf>
    <xf numFmtId="0" fontId="8" fillId="0" borderId="21" xfId="5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/>
    </xf>
    <xf numFmtId="167" fontId="8" fillId="0" borderId="19" xfId="0" quotePrefix="1" applyNumberFormat="1" applyFont="1" applyBorder="1" applyAlignment="1">
      <alignment horizontal="left" vertical="center"/>
    </xf>
    <xf numFmtId="0" fontId="8" fillId="0" borderId="19" xfId="0" quotePrefix="1" applyFont="1" applyBorder="1" applyAlignment="1">
      <alignment horizontal="left" vertical="center"/>
    </xf>
    <xf numFmtId="166" fontId="8" fillId="0" borderId="19" xfId="0" applyNumberFormat="1" applyFont="1" applyBorder="1" applyAlignment="1">
      <alignment horizontal="left" vertical="center" wrapText="1"/>
    </xf>
    <xf numFmtId="1" fontId="8" fillId="0" borderId="19" xfId="0" applyNumberFormat="1" applyFont="1" applyBorder="1" applyAlignment="1">
      <alignment horizontal="left" vertical="center" wrapText="1"/>
    </xf>
    <xf numFmtId="166" fontId="11" fillId="0" borderId="19" xfId="0" applyNumberFormat="1" applyFont="1" applyBorder="1" applyAlignment="1">
      <alignment horizontal="left" vertical="center"/>
    </xf>
    <xf numFmtId="1" fontId="11" fillId="0" borderId="19" xfId="0" applyNumberFormat="1" applyFont="1" applyBorder="1" applyAlignment="1">
      <alignment horizontal="left" vertical="center"/>
    </xf>
    <xf numFmtId="0" fontId="47" fillId="0" borderId="21" xfId="5" applyFont="1" applyBorder="1" applyAlignment="1">
      <alignment horizontal="left" vertical="center"/>
    </xf>
    <xf numFmtId="166" fontId="8" fillId="0" borderId="19" xfId="0" quotePrefix="1" applyNumberFormat="1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11" fillId="0" borderId="19" xfId="0" quotePrefix="1" applyFont="1" applyBorder="1" applyAlignment="1">
      <alignment horizontal="left" vertical="center"/>
    </xf>
    <xf numFmtId="1" fontId="8" fillId="0" borderId="19" xfId="0" quotePrefix="1" applyNumberFormat="1" applyFont="1" applyBorder="1" applyAlignment="1">
      <alignment horizontal="left" vertical="center"/>
    </xf>
    <xf numFmtId="0" fontId="8" fillId="0" borderId="21" xfId="5" applyFont="1" applyBorder="1" applyAlignment="1">
      <alignment horizontal="left" vertical="center"/>
    </xf>
    <xf numFmtId="0" fontId="35" fillId="0" borderId="19" xfId="0" applyFont="1" applyBorder="1" applyAlignment="1">
      <alignment vertical="center" wrapText="1"/>
    </xf>
    <xf numFmtId="166" fontId="8" fillId="0" borderId="19" xfId="0" applyNumberFormat="1" applyFont="1" applyBorder="1" applyAlignment="1">
      <alignment horizontal="left" vertical="center"/>
    </xf>
    <xf numFmtId="0" fontId="33" fillId="29" borderId="6" xfId="0" quotePrefix="1" applyFont="1" applyFill="1" applyBorder="1" applyAlignment="1">
      <alignment horizontal="center" vertical="center"/>
    </xf>
    <xf numFmtId="0" fontId="33" fillId="29" borderId="6" xfId="0" applyFont="1" applyFill="1" applyBorder="1" applyAlignment="1">
      <alignment horizontal="center" vertical="center"/>
    </xf>
    <xf numFmtId="0" fontId="33" fillId="30" borderId="6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12" fillId="38" borderId="10" xfId="5" applyFont="1" applyFill="1" applyBorder="1" applyAlignment="1">
      <alignment horizontal="left" vertical="center" wrapText="1"/>
    </xf>
    <xf numFmtId="0" fontId="12" fillId="38" borderId="13" xfId="5" applyFont="1" applyFill="1" applyBorder="1" applyAlignment="1">
      <alignment horizontal="left" vertical="center" wrapText="1"/>
    </xf>
    <xf numFmtId="0" fontId="31" fillId="40" borderId="11" xfId="0" applyFont="1" applyFill="1" applyBorder="1" applyAlignment="1">
      <alignment horizontal="center" vertical="center" wrapText="1"/>
    </xf>
    <xf numFmtId="0" fontId="31" fillId="26" borderId="11" xfId="0" applyFont="1" applyFill="1" applyBorder="1" applyAlignment="1">
      <alignment horizontal="center" vertical="center" wrapText="1"/>
    </xf>
    <xf numFmtId="0" fontId="12" fillId="6" borderId="12" xfId="5" applyFont="1" applyFill="1" applyBorder="1" applyAlignment="1">
      <alignment horizontal="center" vertical="center" wrapText="1"/>
    </xf>
    <xf numFmtId="0" fontId="12" fillId="6" borderId="14" xfId="5" applyFont="1" applyFill="1" applyBorder="1" applyAlignment="1">
      <alignment horizontal="center" vertical="center" wrapText="1"/>
    </xf>
    <xf numFmtId="0" fontId="12" fillId="38" borderId="11" xfId="5" applyFont="1" applyFill="1" applyBorder="1" applyAlignment="1">
      <alignment horizontal="left" vertical="center" wrapText="1"/>
    </xf>
    <xf numFmtId="0" fontId="12" fillId="38" borderId="1" xfId="5" applyFont="1" applyFill="1" applyBorder="1" applyAlignment="1">
      <alignment horizontal="left" vertical="center" wrapText="1"/>
    </xf>
    <xf numFmtId="0" fontId="31" fillId="19" borderId="11" xfId="0" applyFont="1" applyFill="1" applyBorder="1" applyAlignment="1">
      <alignment horizontal="center" vertical="center" wrapText="1"/>
    </xf>
    <xf numFmtId="0" fontId="31" fillId="41" borderId="11" xfId="0" applyFont="1" applyFill="1" applyBorder="1" applyAlignment="1">
      <alignment horizontal="center" vertical="center" wrapText="1"/>
    </xf>
    <xf numFmtId="0" fontId="31" fillId="39" borderId="11" xfId="0" applyFont="1" applyFill="1" applyBorder="1" applyAlignment="1">
      <alignment horizontal="center" vertical="center" wrapText="1"/>
    </xf>
    <xf numFmtId="0" fontId="31" fillId="9" borderId="11" xfId="0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right" vertical="center" wrapText="1"/>
    </xf>
    <xf numFmtId="0" fontId="26" fillId="0" borderId="1" xfId="0" applyFont="1" applyBorder="1" applyAlignment="1">
      <alignment horizontal="right" vertical="center" wrapText="1"/>
    </xf>
    <xf numFmtId="14" fontId="27" fillId="0" borderId="12" xfId="0" applyNumberFormat="1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17" fillId="9" borderId="11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23" fillId="8" borderId="11" xfId="5" applyFont="1" applyFill="1" applyBorder="1" applyAlignment="1">
      <alignment horizontal="left" vertical="center" wrapText="1"/>
    </xf>
    <xf numFmtId="0" fontId="23" fillId="8" borderId="1" xfId="5" applyFont="1" applyFill="1" applyBorder="1" applyAlignment="1">
      <alignment horizontal="left" vertical="center" wrapText="1"/>
    </xf>
    <xf numFmtId="0" fontId="22" fillId="5" borderId="11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13" borderId="11" xfId="0" applyFont="1" applyFill="1" applyBorder="1" applyAlignment="1">
      <alignment horizontal="center" vertical="center" wrapText="1"/>
    </xf>
    <xf numFmtId="0" fontId="17" fillId="37" borderId="11" xfId="0" applyFont="1" applyFill="1" applyBorder="1" applyAlignment="1">
      <alignment horizontal="center" vertical="center" wrapText="1"/>
    </xf>
    <xf numFmtId="0" fontId="17" fillId="26" borderId="11" xfId="0" applyFont="1" applyFill="1" applyBorder="1" applyAlignment="1">
      <alignment horizontal="center" vertical="center" wrapText="1"/>
    </xf>
    <xf numFmtId="0" fontId="53" fillId="0" borderId="0" xfId="0" applyFont="1" applyAlignment="1">
      <alignment horizontal="right" vertical="center"/>
    </xf>
    <xf numFmtId="14" fontId="52" fillId="0" borderId="0" xfId="0" applyNumberFormat="1" applyFont="1" applyAlignment="1">
      <alignment horizontal="left" vertical="center"/>
    </xf>
    <xf numFmtId="0" fontId="23" fillId="8" borderId="10" xfId="5" applyFont="1" applyFill="1" applyBorder="1" applyAlignment="1">
      <alignment horizontal="center" vertical="center"/>
    </xf>
    <xf numFmtId="0" fontId="23" fillId="8" borderId="13" xfId="5" applyFont="1" applyFill="1" applyBorder="1" applyAlignment="1">
      <alignment horizontal="center" vertical="center"/>
    </xf>
    <xf numFmtId="0" fontId="23" fillId="8" borderId="11" xfId="5" applyFont="1" applyFill="1" applyBorder="1" applyAlignment="1">
      <alignment horizontal="left" vertical="center"/>
    </xf>
    <xf numFmtId="0" fontId="23" fillId="8" borderId="1" xfId="5" applyFont="1" applyFill="1" applyBorder="1" applyAlignment="1">
      <alignment horizontal="left" vertical="center"/>
    </xf>
    <xf numFmtId="0" fontId="23" fillId="8" borderId="11" xfId="5" applyFont="1" applyFill="1" applyBorder="1" applyAlignment="1">
      <alignment horizontal="center" vertical="center"/>
    </xf>
    <xf numFmtId="0" fontId="23" fillId="8" borderId="1" xfId="5" applyFont="1" applyFill="1" applyBorder="1" applyAlignment="1">
      <alignment horizontal="center" vertical="center"/>
    </xf>
    <xf numFmtId="0" fontId="23" fillId="8" borderId="11" xfId="5" applyFont="1" applyFill="1" applyBorder="1" applyAlignment="1">
      <alignment horizontal="center" vertical="center" wrapText="1"/>
    </xf>
    <xf numFmtId="0" fontId="23" fillId="8" borderId="1" xfId="5" applyFont="1" applyFill="1" applyBorder="1" applyAlignment="1">
      <alignment horizontal="center" vertical="center" wrapText="1"/>
    </xf>
    <xf numFmtId="0" fontId="52" fillId="0" borderId="0" xfId="0" applyFont="1" applyAlignment="1">
      <alignment horizontal="left" vertical="center"/>
    </xf>
    <xf numFmtId="0" fontId="23" fillId="8" borderId="10" xfId="5" applyFont="1" applyFill="1" applyBorder="1" applyAlignment="1">
      <alignment horizontal="center" vertical="center" wrapText="1"/>
    </xf>
    <xf numFmtId="0" fontId="23" fillId="8" borderId="13" xfId="5" applyFont="1" applyFill="1" applyBorder="1" applyAlignment="1">
      <alignment horizontal="center" vertical="center" wrapText="1"/>
    </xf>
    <xf numFmtId="0" fontId="17" fillId="42" borderId="11" xfId="0" applyFont="1" applyFill="1" applyBorder="1" applyAlignment="1">
      <alignment horizontal="center" vertical="center" wrapText="1"/>
    </xf>
    <xf numFmtId="14" fontId="52" fillId="0" borderId="0" xfId="0" applyNumberFormat="1" applyFont="1" applyAlignment="1">
      <alignment horizontal="left" vertical="center" wrapText="1"/>
    </xf>
    <xf numFmtId="0" fontId="52" fillId="0" borderId="0" xfId="0" applyFont="1" applyAlignment="1">
      <alignment horizontal="left" vertical="center" wrapText="1"/>
    </xf>
  </cellXfs>
  <cellStyles count="13">
    <cellStyle name="Normal" xfId="0" builtinId="0"/>
    <cellStyle name="Normal 2" xfId="1" xr:uid="{00000000-0005-0000-0000-000001000000}"/>
    <cellStyle name="Normal 3" xfId="3" xr:uid="{00000000-0005-0000-0000-000002000000}"/>
    <cellStyle name="Normal 4" xfId="2" xr:uid="{00000000-0005-0000-0000-000003000000}"/>
    <cellStyle name="Normal 4 2" xfId="8" xr:uid="{00000000-0005-0000-0000-000004000000}"/>
    <cellStyle name="Normal 42" xfId="10" xr:uid="{00000000-0005-0000-0000-000005000000}"/>
    <cellStyle name="Normal 5" xfId="5" xr:uid="{00000000-0005-0000-0000-000006000000}"/>
    <cellStyle name="Normal 5 2" xfId="9" xr:uid="{00000000-0005-0000-0000-000007000000}"/>
    <cellStyle name="Normal 5 3" xfId="12" xr:uid="{00000000-0005-0000-0000-000008000000}"/>
    <cellStyle name="Normal 6" xfId="6" xr:uid="{00000000-0005-0000-0000-000009000000}"/>
    <cellStyle name="Normal 7" xfId="11" xr:uid="{00000000-0005-0000-0000-00000A000000}"/>
    <cellStyle name="Normal 9" xfId="4" xr:uid="{00000000-0005-0000-0000-00000B000000}"/>
    <cellStyle name="Title 2" xfId="7" xr:uid="{00000000-0005-0000-0000-00000C000000}"/>
  </cellStyles>
  <dxfs count="6475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2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</dxfs>
  <tableStyles count="1" defaultTableStyle="TableStyleMedium2" defaultPivotStyle="PivotStyleLight16">
    <tableStyle name="PivotTable Style 1" table="0" count="0" xr9:uid="{00000000-0011-0000-FFFF-FFFF00000000}"/>
  </tableStyles>
  <colors>
    <mruColors>
      <color rgb="FF99FFCC"/>
      <color rgb="FFD0FF71"/>
      <color rgb="FFFF0000"/>
      <color rgb="FFCC66FF"/>
      <color rgb="FF3366FF"/>
      <color rgb="FF0033CC"/>
      <color rgb="FFCC99FF"/>
      <color rgb="FF0000FF"/>
      <color rgb="FF00FF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MEC - PQD'!A1"/><Relationship Id="rId18" Type="http://schemas.openxmlformats.org/officeDocument/2006/relationships/hyperlink" Target="#'SUS - PQD'!A1"/><Relationship Id="rId26" Type="http://schemas.openxmlformats.org/officeDocument/2006/relationships/hyperlink" Target="#'INF - MST '!A1"/><Relationship Id="rId21" Type="http://schemas.openxmlformats.org/officeDocument/2006/relationships/hyperlink" Target="#'ARC- MST'!A1"/><Relationship Id="rId34" Type="http://schemas.openxmlformats.org/officeDocument/2006/relationships/hyperlink" Target="#'INF - ITP'!A1"/><Relationship Id="rId7" Type="http://schemas.openxmlformats.org/officeDocument/2006/relationships/hyperlink" Target="#'FPR - MAT'!A1"/><Relationship Id="rId12" Type="http://schemas.openxmlformats.org/officeDocument/2006/relationships/hyperlink" Target="#'ELE - PQD'!A1"/><Relationship Id="rId17" Type="http://schemas.openxmlformats.org/officeDocument/2006/relationships/hyperlink" Target="#'SEC - PQD'!A1"/><Relationship Id="rId25" Type="http://schemas.openxmlformats.org/officeDocument/2006/relationships/hyperlink" Target="#'ELV - MST'!A1"/><Relationship Id="rId33" Type="http://schemas.openxmlformats.org/officeDocument/2006/relationships/hyperlink" Target="#'SRV - ITP'!A1"/><Relationship Id="rId38" Type="http://schemas.openxmlformats.org/officeDocument/2006/relationships/hyperlink" Target="#'FAS - ITP'!A1"/><Relationship Id="rId2" Type="http://schemas.openxmlformats.org/officeDocument/2006/relationships/hyperlink" Target="#'STR - MAT'!A1"/><Relationship Id="rId16" Type="http://schemas.openxmlformats.org/officeDocument/2006/relationships/hyperlink" Target="#'FLS - PQD'!A1"/><Relationship Id="rId20" Type="http://schemas.openxmlformats.org/officeDocument/2006/relationships/hyperlink" Target="#'STR - MST'!A1"/><Relationship Id="rId29" Type="http://schemas.openxmlformats.org/officeDocument/2006/relationships/hyperlink" Target="#'HSE - MST'!A1"/><Relationship Id="rId1" Type="http://schemas.openxmlformats.org/officeDocument/2006/relationships/hyperlink" Target="#'CIV - MAT'!A1"/><Relationship Id="rId6" Type="http://schemas.openxmlformats.org/officeDocument/2006/relationships/hyperlink" Target="#'SEC- MAT'!A1"/><Relationship Id="rId11" Type="http://schemas.openxmlformats.org/officeDocument/2006/relationships/hyperlink" Target="#'CIV - PQD'!A1"/><Relationship Id="rId24" Type="http://schemas.openxmlformats.org/officeDocument/2006/relationships/hyperlink" Target="#'ELE - MST'!A1"/><Relationship Id="rId32" Type="http://schemas.openxmlformats.org/officeDocument/2006/relationships/hyperlink" Target="#'ARC - ITP '!A1"/><Relationship Id="rId37" Type="http://schemas.openxmlformats.org/officeDocument/2006/relationships/hyperlink" Target="#'ELV - ITP'!A1"/><Relationship Id="rId5" Type="http://schemas.openxmlformats.org/officeDocument/2006/relationships/hyperlink" Target="#'MEC- MAT'!A1"/><Relationship Id="rId15" Type="http://schemas.openxmlformats.org/officeDocument/2006/relationships/hyperlink" Target="#'ARC - PQD'!A1"/><Relationship Id="rId23" Type="http://schemas.openxmlformats.org/officeDocument/2006/relationships/hyperlink" Target="#'MEC - MST'!A1"/><Relationship Id="rId28" Type="http://schemas.openxmlformats.org/officeDocument/2006/relationships/hyperlink" Target="#'CON - MST'!A1"/><Relationship Id="rId36" Type="http://schemas.openxmlformats.org/officeDocument/2006/relationships/hyperlink" Target="#'ELE - ITP'!A1"/><Relationship Id="rId10" Type="http://schemas.openxmlformats.org/officeDocument/2006/relationships/hyperlink" Target="#'ELV - MAT'!A1"/><Relationship Id="rId19" Type="http://schemas.openxmlformats.org/officeDocument/2006/relationships/hyperlink" Target="#'CIV - MST'!A1"/><Relationship Id="rId31" Type="http://schemas.openxmlformats.org/officeDocument/2006/relationships/hyperlink" Target="#'STR - ITP'!A1"/><Relationship Id="rId4" Type="http://schemas.openxmlformats.org/officeDocument/2006/relationships/hyperlink" Target="#'ARC - MAT'!A1"/><Relationship Id="rId9" Type="http://schemas.openxmlformats.org/officeDocument/2006/relationships/hyperlink" Target="#'LAN - MAT'!A1"/><Relationship Id="rId14" Type="http://schemas.openxmlformats.org/officeDocument/2006/relationships/hyperlink" Target="#'STR - PQD'!A1"/><Relationship Id="rId22" Type="http://schemas.openxmlformats.org/officeDocument/2006/relationships/hyperlink" Target="#'SRV - MST'!A1"/><Relationship Id="rId27" Type="http://schemas.openxmlformats.org/officeDocument/2006/relationships/hyperlink" Target="#'GEO - MST'!A1"/><Relationship Id="rId30" Type="http://schemas.openxmlformats.org/officeDocument/2006/relationships/hyperlink" Target="#'CIV - ITP'!A1"/><Relationship Id="rId35" Type="http://schemas.openxmlformats.org/officeDocument/2006/relationships/hyperlink" Target="#'MEC - ITP'!A1"/><Relationship Id="rId8" Type="http://schemas.openxmlformats.org/officeDocument/2006/relationships/hyperlink" Target="#'ICT - MAT'!A1"/><Relationship Id="rId3" Type="http://schemas.openxmlformats.org/officeDocument/2006/relationships/hyperlink" Target="#'ELE - MA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22</xdr:row>
      <xdr:rowOff>0</xdr:rowOff>
    </xdr:from>
    <xdr:to>
      <xdr:col>47</xdr:col>
      <xdr:colOff>484909</xdr:colOff>
      <xdr:row>22</xdr:row>
      <xdr:rowOff>484909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414A38-89EF-4CF5-8732-A6535A45F317}"/>
            </a:ext>
          </a:extLst>
        </xdr:cNvPr>
        <xdr:cNvSpPr txBox="1"/>
      </xdr:nvSpPr>
      <xdr:spPr>
        <a:xfrm>
          <a:off x="26739273" y="11932227"/>
          <a:ext cx="17456727" cy="484909"/>
        </a:xfrm>
        <a:prstGeom prst="rect">
          <a:avLst/>
        </a:prstGeom>
        <a:gradFill rotWithShape="1">
          <a:gsLst>
            <a:gs pos="0">
              <a:srgbClr val="4472C4">
                <a:satMod val="103000"/>
                <a:lumMod val="102000"/>
                <a:tint val="94000"/>
              </a:srgbClr>
            </a:gs>
            <a:gs pos="50000">
              <a:srgbClr val="4472C4">
                <a:satMod val="110000"/>
                <a:lumMod val="100000"/>
                <a:shade val="100000"/>
              </a:srgbClr>
            </a:gs>
            <a:gs pos="100000">
              <a:srgbClr val="4472C4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8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Buttons used to switch between sheets</a:t>
          </a:r>
        </a:p>
      </xdr:txBody>
    </xdr:sp>
    <xdr:clientData/>
  </xdr:twoCellAnchor>
  <xdr:twoCellAnchor>
    <xdr:from>
      <xdr:col>20</xdr:col>
      <xdr:colOff>0</xdr:colOff>
      <xdr:row>24</xdr:row>
      <xdr:rowOff>0</xdr:rowOff>
    </xdr:from>
    <xdr:to>
      <xdr:col>26</xdr:col>
      <xdr:colOff>173182</xdr:colOff>
      <xdr:row>24</xdr:row>
      <xdr:rowOff>502227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E25F9-CFBC-4F35-BE11-4287E25CFDDB}"/>
            </a:ext>
          </a:extLst>
        </xdr:cNvPr>
        <xdr:cNvSpPr txBox="1"/>
      </xdr:nvSpPr>
      <xdr:spPr>
        <a:xfrm>
          <a:off x="27345409" y="13005955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CIV - MAT</a:t>
          </a:r>
        </a:p>
      </xdr:txBody>
    </xdr:sp>
    <xdr:clientData/>
  </xdr:twoCellAnchor>
  <xdr:twoCellAnchor>
    <xdr:from>
      <xdr:col>20</xdr:col>
      <xdr:colOff>0</xdr:colOff>
      <xdr:row>25</xdr:row>
      <xdr:rowOff>138546</xdr:rowOff>
    </xdr:from>
    <xdr:to>
      <xdr:col>26</xdr:col>
      <xdr:colOff>173182</xdr:colOff>
      <xdr:row>26</xdr:row>
      <xdr:rowOff>103909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BFE206-DA74-9C83-A9FD-EBB11D191E61}"/>
            </a:ext>
          </a:extLst>
        </xdr:cNvPr>
        <xdr:cNvSpPr txBox="1"/>
      </xdr:nvSpPr>
      <xdr:spPr>
        <a:xfrm>
          <a:off x="27345409" y="13681364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STR- MAT</a:t>
          </a:r>
        </a:p>
      </xdr:txBody>
    </xdr:sp>
    <xdr:clientData/>
  </xdr:twoCellAnchor>
  <xdr:twoCellAnchor>
    <xdr:from>
      <xdr:col>20</xdr:col>
      <xdr:colOff>0</xdr:colOff>
      <xdr:row>26</xdr:row>
      <xdr:rowOff>242455</xdr:rowOff>
    </xdr:from>
    <xdr:to>
      <xdr:col>26</xdr:col>
      <xdr:colOff>173182</xdr:colOff>
      <xdr:row>27</xdr:row>
      <xdr:rowOff>207819</xdr:rowOff>
    </xdr:to>
    <xdr:sp macro="" textlink="">
      <xdr:nvSpPr>
        <xdr:cNvPr id="5" name="TextBox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367E21-A3C1-8546-7346-9954871243AF}"/>
            </a:ext>
          </a:extLst>
        </xdr:cNvPr>
        <xdr:cNvSpPr txBox="1"/>
      </xdr:nvSpPr>
      <xdr:spPr>
        <a:xfrm>
          <a:off x="27345409" y="14322137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ELE - MAT</a:t>
          </a:r>
        </a:p>
      </xdr:txBody>
    </xdr:sp>
    <xdr:clientData/>
  </xdr:twoCellAnchor>
  <xdr:twoCellAnchor>
    <xdr:from>
      <xdr:col>20</xdr:col>
      <xdr:colOff>0</xdr:colOff>
      <xdr:row>27</xdr:row>
      <xdr:rowOff>346364</xdr:rowOff>
    </xdr:from>
    <xdr:to>
      <xdr:col>26</xdr:col>
      <xdr:colOff>173182</xdr:colOff>
      <xdr:row>28</xdr:row>
      <xdr:rowOff>311727</xdr:rowOff>
    </xdr:to>
    <xdr:sp macro="" textlink="">
      <xdr:nvSpPr>
        <xdr:cNvPr id="6" name="TextBox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344EEBE-80D4-574A-B3C1-55C752829D98}"/>
            </a:ext>
          </a:extLst>
        </xdr:cNvPr>
        <xdr:cNvSpPr txBox="1"/>
      </xdr:nvSpPr>
      <xdr:spPr>
        <a:xfrm>
          <a:off x="27345409" y="14962909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ARC- MAT</a:t>
          </a:r>
        </a:p>
      </xdr:txBody>
    </xdr:sp>
    <xdr:clientData/>
  </xdr:twoCellAnchor>
  <xdr:twoCellAnchor>
    <xdr:from>
      <xdr:col>20</xdr:col>
      <xdr:colOff>0</xdr:colOff>
      <xdr:row>28</xdr:row>
      <xdr:rowOff>467591</xdr:rowOff>
    </xdr:from>
    <xdr:to>
      <xdr:col>26</xdr:col>
      <xdr:colOff>173182</xdr:colOff>
      <xdr:row>29</xdr:row>
      <xdr:rowOff>432954</xdr:rowOff>
    </xdr:to>
    <xdr:sp macro="" textlink="">
      <xdr:nvSpPr>
        <xdr:cNvPr id="7" name="TextBox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3DC06EF-B548-FBB5-6898-5C4678D0AC3F}"/>
            </a:ext>
          </a:extLst>
        </xdr:cNvPr>
        <xdr:cNvSpPr txBox="1"/>
      </xdr:nvSpPr>
      <xdr:spPr>
        <a:xfrm>
          <a:off x="27345409" y="15621000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MEC - MAT</a:t>
          </a:r>
        </a:p>
      </xdr:txBody>
    </xdr:sp>
    <xdr:clientData/>
  </xdr:twoCellAnchor>
  <xdr:twoCellAnchor>
    <xdr:from>
      <xdr:col>20</xdr:col>
      <xdr:colOff>0</xdr:colOff>
      <xdr:row>30</xdr:row>
      <xdr:rowOff>69274</xdr:rowOff>
    </xdr:from>
    <xdr:to>
      <xdr:col>26</xdr:col>
      <xdr:colOff>173182</xdr:colOff>
      <xdr:row>31</xdr:row>
      <xdr:rowOff>34637</xdr:rowOff>
    </xdr:to>
    <xdr:sp macro="" textlink="">
      <xdr:nvSpPr>
        <xdr:cNvPr id="8" name="TextBox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150FDA4-FD43-04A8-F3BD-10D2DA97B34B}"/>
            </a:ext>
          </a:extLst>
        </xdr:cNvPr>
        <xdr:cNvSpPr txBox="1"/>
      </xdr:nvSpPr>
      <xdr:spPr>
        <a:xfrm>
          <a:off x="27345409" y="16296410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SEC - MAT</a:t>
          </a:r>
        </a:p>
      </xdr:txBody>
    </xdr:sp>
    <xdr:clientData/>
  </xdr:twoCellAnchor>
  <xdr:twoCellAnchor>
    <xdr:from>
      <xdr:col>20</xdr:col>
      <xdr:colOff>0</xdr:colOff>
      <xdr:row>31</xdr:row>
      <xdr:rowOff>173182</xdr:rowOff>
    </xdr:from>
    <xdr:to>
      <xdr:col>26</xdr:col>
      <xdr:colOff>173182</xdr:colOff>
      <xdr:row>32</xdr:row>
      <xdr:rowOff>138545</xdr:rowOff>
    </xdr:to>
    <xdr:sp macro="" textlink="">
      <xdr:nvSpPr>
        <xdr:cNvPr id="9" name="TextBox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50A1173-A750-FF4C-5B11-851B4F18B724}"/>
            </a:ext>
          </a:extLst>
        </xdr:cNvPr>
        <xdr:cNvSpPr txBox="1"/>
      </xdr:nvSpPr>
      <xdr:spPr>
        <a:xfrm>
          <a:off x="27345409" y="16937182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FPR - MAT</a:t>
          </a:r>
        </a:p>
      </xdr:txBody>
    </xdr:sp>
    <xdr:clientData/>
  </xdr:twoCellAnchor>
  <xdr:twoCellAnchor>
    <xdr:from>
      <xdr:col>20</xdr:col>
      <xdr:colOff>0</xdr:colOff>
      <xdr:row>32</xdr:row>
      <xdr:rowOff>294409</xdr:rowOff>
    </xdr:from>
    <xdr:to>
      <xdr:col>26</xdr:col>
      <xdr:colOff>173182</xdr:colOff>
      <xdr:row>33</xdr:row>
      <xdr:rowOff>259773</xdr:rowOff>
    </xdr:to>
    <xdr:sp macro="" textlink="">
      <xdr:nvSpPr>
        <xdr:cNvPr id="10" name="TextBox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D5F359-F245-5E7A-A129-6EB5661C263A}"/>
            </a:ext>
          </a:extLst>
        </xdr:cNvPr>
        <xdr:cNvSpPr txBox="1"/>
      </xdr:nvSpPr>
      <xdr:spPr>
        <a:xfrm>
          <a:off x="27345409" y="17595273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ICT - MAT</a:t>
          </a:r>
        </a:p>
      </xdr:txBody>
    </xdr:sp>
    <xdr:clientData/>
  </xdr:twoCellAnchor>
  <xdr:twoCellAnchor>
    <xdr:from>
      <xdr:col>20</xdr:col>
      <xdr:colOff>0</xdr:colOff>
      <xdr:row>33</xdr:row>
      <xdr:rowOff>432955</xdr:rowOff>
    </xdr:from>
    <xdr:to>
      <xdr:col>26</xdr:col>
      <xdr:colOff>173182</xdr:colOff>
      <xdr:row>34</xdr:row>
      <xdr:rowOff>398318</xdr:rowOff>
    </xdr:to>
    <xdr:sp macro="" textlink="">
      <xdr:nvSpPr>
        <xdr:cNvPr id="11" name="TextBox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81DD358-23CC-87CB-FA10-CF2AD055855F}"/>
            </a:ext>
          </a:extLst>
        </xdr:cNvPr>
        <xdr:cNvSpPr txBox="1"/>
      </xdr:nvSpPr>
      <xdr:spPr>
        <a:xfrm>
          <a:off x="27345409" y="18270682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LAN - MAT</a:t>
          </a:r>
        </a:p>
      </xdr:txBody>
    </xdr:sp>
    <xdr:clientData/>
  </xdr:twoCellAnchor>
  <xdr:twoCellAnchor>
    <xdr:from>
      <xdr:col>20</xdr:col>
      <xdr:colOff>0</xdr:colOff>
      <xdr:row>34</xdr:row>
      <xdr:rowOff>519546</xdr:rowOff>
    </xdr:from>
    <xdr:to>
      <xdr:col>26</xdr:col>
      <xdr:colOff>173182</xdr:colOff>
      <xdr:row>35</xdr:row>
      <xdr:rowOff>484909</xdr:rowOff>
    </xdr:to>
    <xdr:sp macro="" textlink="">
      <xdr:nvSpPr>
        <xdr:cNvPr id="12" name="TextBox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E6F7057-61E7-5A19-5C97-67C4085110A6}"/>
            </a:ext>
          </a:extLst>
        </xdr:cNvPr>
        <xdr:cNvSpPr txBox="1"/>
      </xdr:nvSpPr>
      <xdr:spPr>
        <a:xfrm>
          <a:off x="27345409" y="18894137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ELV - MAT</a:t>
          </a:r>
        </a:p>
      </xdr:txBody>
    </xdr:sp>
    <xdr:clientData/>
  </xdr:twoCellAnchor>
  <xdr:twoCellAnchor>
    <xdr:from>
      <xdr:col>20</xdr:col>
      <xdr:colOff>0</xdr:colOff>
      <xdr:row>36</xdr:row>
      <xdr:rowOff>121228</xdr:rowOff>
    </xdr:from>
    <xdr:to>
      <xdr:col>26</xdr:col>
      <xdr:colOff>173182</xdr:colOff>
      <xdr:row>37</xdr:row>
      <xdr:rowOff>86591</xdr:rowOff>
    </xdr:to>
    <xdr:sp macro="" textlink="">
      <xdr:nvSpPr>
        <xdr:cNvPr id="13" name="TextBox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E43C08-5966-72E5-957B-E4FCCBAA1450}"/>
            </a:ext>
          </a:extLst>
        </xdr:cNvPr>
        <xdr:cNvSpPr txBox="1"/>
      </xdr:nvSpPr>
      <xdr:spPr>
        <a:xfrm>
          <a:off x="27345409" y="19569546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CIV - PQD</a:t>
          </a:r>
        </a:p>
      </xdr:txBody>
    </xdr:sp>
    <xdr:clientData/>
  </xdr:twoCellAnchor>
  <xdr:twoCellAnchor>
    <xdr:from>
      <xdr:col>20</xdr:col>
      <xdr:colOff>0</xdr:colOff>
      <xdr:row>37</xdr:row>
      <xdr:rowOff>207818</xdr:rowOff>
    </xdr:from>
    <xdr:to>
      <xdr:col>26</xdr:col>
      <xdr:colOff>173182</xdr:colOff>
      <xdr:row>38</xdr:row>
      <xdr:rowOff>173182</xdr:rowOff>
    </xdr:to>
    <xdr:sp macro="" textlink="">
      <xdr:nvSpPr>
        <xdr:cNvPr id="14" name="TextBox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B4E179A-50D6-9DA2-2495-6099A01A52F8}"/>
            </a:ext>
          </a:extLst>
        </xdr:cNvPr>
        <xdr:cNvSpPr txBox="1"/>
      </xdr:nvSpPr>
      <xdr:spPr>
        <a:xfrm>
          <a:off x="27345409" y="20193000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ELE - PQD</a:t>
          </a:r>
        </a:p>
      </xdr:txBody>
    </xdr:sp>
    <xdr:clientData/>
  </xdr:twoCellAnchor>
  <xdr:twoCellAnchor>
    <xdr:from>
      <xdr:col>27</xdr:col>
      <xdr:colOff>69272</xdr:colOff>
      <xdr:row>24</xdr:row>
      <xdr:rowOff>0</xdr:rowOff>
    </xdr:from>
    <xdr:to>
      <xdr:col>33</xdr:col>
      <xdr:colOff>242454</xdr:colOff>
      <xdr:row>24</xdr:row>
      <xdr:rowOff>502227</xdr:rowOff>
    </xdr:to>
    <xdr:sp macro="" textlink="">
      <xdr:nvSpPr>
        <xdr:cNvPr id="15" name="TextBox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E5F670E-73CF-31F7-3872-CC6EE61B727E}"/>
            </a:ext>
          </a:extLst>
        </xdr:cNvPr>
        <xdr:cNvSpPr txBox="1"/>
      </xdr:nvSpPr>
      <xdr:spPr>
        <a:xfrm>
          <a:off x="31657636" y="13005955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MEC - PQD</a:t>
          </a:r>
        </a:p>
      </xdr:txBody>
    </xdr:sp>
    <xdr:clientData/>
  </xdr:twoCellAnchor>
  <xdr:twoCellAnchor>
    <xdr:from>
      <xdr:col>27</xdr:col>
      <xdr:colOff>69272</xdr:colOff>
      <xdr:row>25</xdr:row>
      <xdr:rowOff>138546</xdr:rowOff>
    </xdr:from>
    <xdr:to>
      <xdr:col>33</xdr:col>
      <xdr:colOff>242454</xdr:colOff>
      <xdr:row>26</xdr:row>
      <xdr:rowOff>103909</xdr:rowOff>
    </xdr:to>
    <xdr:sp macro="" textlink="">
      <xdr:nvSpPr>
        <xdr:cNvPr id="16" name="TextBox 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149DAC9-A074-15C8-AB52-CC2E8EADD155}"/>
            </a:ext>
          </a:extLst>
        </xdr:cNvPr>
        <xdr:cNvSpPr txBox="1"/>
      </xdr:nvSpPr>
      <xdr:spPr>
        <a:xfrm>
          <a:off x="31657636" y="13681364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STR - PQD</a:t>
          </a:r>
        </a:p>
      </xdr:txBody>
    </xdr:sp>
    <xdr:clientData/>
  </xdr:twoCellAnchor>
  <xdr:twoCellAnchor>
    <xdr:from>
      <xdr:col>27</xdr:col>
      <xdr:colOff>69272</xdr:colOff>
      <xdr:row>26</xdr:row>
      <xdr:rowOff>242455</xdr:rowOff>
    </xdr:from>
    <xdr:to>
      <xdr:col>33</xdr:col>
      <xdr:colOff>242454</xdr:colOff>
      <xdr:row>27</xdr:row>
      <xdr:rowOff>207819</xdr:rowOff>
    </xdr:to>
    <xdr:sp macro="" textlink="">
      <xdr:nvSpPr>
        <xdr:cNvPr id="17" name="TextBox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CCB5F72-6389-A107-51EF-21E73B0318EE}"/>
            </a:ext>
          </a:extLst>
        </xdr:cNvPr>
        <xdr:cNvSpPr txBox="1"/>
      </xdr:nvSpPr>
      <xdr:spPr>
        <a:xfrm>
          <a:off x="31657636" y="14322137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ARC- PQD</a:t>
          </a:r>
        </a:p>
      </xdr:txBody>
    </xdr:sp>
    <xdr:clientData/>
  </xdr:twoCellAnchor>
  <xdr:twoCellAnchor>
    <xdr:from>
      <xdr:col>27</xdr:col>
      <xdr:colOff>69272</xdr:colOff>
      <xdr:row>27</xdr:row>
      <xdr:rowOff>346364</xdr:rowOff>
    </xdr:from>
    <xdr:to>
      <xdr:col>33</xdr:col>
      <xdr:colOff>242454</xdr:colOff>
      <xdr:row>28</xdr:row>
      <xdr:rowOff>311727</xdr:rowOff>
    </xdr:to>
    <xdr:sp macro="" textlink="">
      <xdr:nvSpPr>
        <xdr:cNvPr id="18" name="TextBox 1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F367B8C-C712-CE4C-BE76-89CEA8E534B5}"/>
            </a:ext>
          </a:extLst>
        </xdr:cNvPr>
        <xdr:cNvSpPr txBox="1"/>
      </xdr:nvSpPr>
      <xdr:spPr>
        <a:xfrm>
          <a:off x="31657636" y="14962909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FLS - PQD</a:t>
          </a:r>
        </a:p>
      </xdr:txBody>
    </xdr:sp>
    <xdr:clientData/>
  </xdr:twoCellAnchor>
  <xdr:twoCellAnchor>
    <xdr:from>
      <xdr:col>27</xdr:col>
      <xdr:colOff>69272</xdr:colOff>
      <xdr:row>28</xdr:row>
      <xdr:rowOff>467591</xdr:rowOff>
    </xdr:from>
    <xdr:to>
      <xdr:col>33</xdr:col>
      <xdr:colOff>242454</xdr:colOff>
      <xdr:row>29</xdr:row>
      <xdr:rowOff>432954</xdr:rowOff>
    </xdr:to>
    <xdr:sp macro="" textlink="">
      <xdr:nvSpPr>
        <xdr:cNvPr id="19" name="TextBox 1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D274733-5BEF-8A5F-FBDE-6C92AC652CA3}"/>
            </a:ext>
          </a:extLst>
        </xdr:cNvPr>
        <xdr:cNvSpPr txBox="1"/>
      </xdr:nvSpPr>
      <xdr:spPr>
        <a:xfrm>
          <a:off x="31657636" y="15621000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SEC - PQD</a:t>
          </a:r>
        </a:p>
      </xdr:txBody>
    </xdr:sp>
    <xdr:clientData/>
  </xdr:twoCellAnchor>
  <xdr:twoCellAnchor>
    <xdr:from>
      <xdr:col>27</xdr:col>
      <xdr:colOff>69272</xdr:colOff>
      <xdr:row>30</xdr:row>
      <xdr:rowOff>69274</xdr:rowOff>
    </xdr:from>
    <xdr:to>
      <xdr:col>33</xdr:col>
      <xdr:colOff>242454</xdr:colOff>
      <xdr:row>31</xdr:row>
      <xdr:rowOff>34637</xdr:rowOff>
    </xdr:to>
    <xdr:sp macro="" textlink="">
      <xdr:nvSpPr>
        <xdr:cNvPr id="20" name="TextBox 1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17BE923-985B-9291-ABD7-4F4E48BB2AB8}"/>
            </a:ext>
          </a:extLst>
        </xdr:cNvPr>
        <xdr:cNvSpPr txBox="1"/>
      </xdr:nvSpPr>
      <xdr:spPr>
        <a:xfrm>
          <a:off x="31657636" y="16296410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SUS - PQD</a:t>
          </a:r>
        </a:p>
      </xdr:txBody>
    </xdr:sp>
    <xdr:clientData/>
  </xdr:twoCellAnchor>
  <xdr:twoCellAnchor>
    <xdr:from>
      <xdr:col>27</xdr:col>
      <xdr:colOff>69272</xdr:colOff>
      <xdr:row>31</xdr:row>
      <xdr:rowOff>173182</xdr:rowOff>
    </xdr:from>
    <xdr:to>
      <xdr:col>33</xdr:col>
      <xdr:colOff>242454</xdr:colOff>
      <xdr:row>32</xdr:row>
      <xdr:rowOff>138545</xdr:rowOff>
    </xdr:to>
    <xdr:sp macro="" textlink="">
      <xdr:nvSpPr>
        <xdr:cNvPr id="21" name="TextBox 2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F737A23-F528-AE70-0265-08A28483EB01}"/>
            </a:ext>
          </a:extLst>
        </xdr:cNvPr>
        <xdr:cNvSpPr txBox="1"/>
      </xdr:nvSpPr>
      <xdr:spPr>
        <a:xfrm>
          <a:off x="31657636" y="16937182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CIV - MST</a:t>
          </a:r>
        </a:p>
      </xdr:txBody>
    </xdr:sp>
    <xdr:clientData/>
  </xdr:twoCellAnchor>
  <xdr:twoCellAnchor>
    <xdr:from>
      <xdr:col>27</xdr:col>
      <xdr:colOff>69272</xdr:colOff>
      <xdr:row>32</xdr:row>
      <xdr:rowOff>294409</xdr:rowOff>
    </xdr:from>
    <xdr:to>
      <xdr:col>33</xdr:col>
      <xdr:colOff>242454</xdr:colOff>
      <xdr:row>33</xdr:row>
      <xdr:rowOff>259773</xdr:rowOff>
    </xdr:to>
    <xdr:sp macro="" textlink="">
      <xdr:nvSpPr>
        <xdr:cNvPr id="22" name="TextBox 21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B63A9663-4071-CCD6-9E17-8010856AD124}"/>
            </a:ext>
          </a:extLst>
        </xdr:cNvPr>
        <xdr:cNvSpPr txBox="1"/>
      </xdr:nvSpPr>
      <xdr:spPr>
        <a:xfrm>
          <a:off x="31657636" y="17595273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STR - MST</a:t>
          </a:r>
        </a:p>
      </xdr:txBody>
    </xdr:sp>
    <xdr:clientData/>
  </xdr:twoCellAnchor>
  <xdr:twoCellAnchor>
    <xdr:from>
      <xdr:col>27</xdr:col>
      <xdr:colOff>69272</xdr:colOff>
      <xdr:row>33</xdr:row>
      <xdr:rowOff>432955</xdr:rowOff>
    </xdr:from>
    <xdr:to>
      <xdr:col>33</xdr:col>
      <xdr:colOff>242454</xdr:colOff>
      <xdr:row>34</xdr:row>
      <xdr:rowOff>398318</xdr:rowOff>
    </xdr:to>
    <xdr:sp macro="" textlink="">
      <xdr:nvSpPr>
        <xdr:cNvPr id="23" name="TextBox 22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E9E9A4F1-7955-5010-3426-62464396184D}"/>
            </a:ext>
          </a:extLst>
        </xdr:cNvPr>
        <xdr:cNvSpPr txBox="1"/>
      </xdr:nvSpPr>
      <xdr:spPr>
        <a:xfrm>
          <a:off x="31657636" y="18270682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ARC - MST</a:t>
          </a:r>
        </a:p>
      </xdr:txBody>
    </xdr:sp>
    <xdr:clientData/>
  </xdr:twoCellAnchor>
  <xdr:twoCellAnchor>
    <xdr:from>
      <xdr:col>27</xdr:col>
      <xdr:colOff>69272</xdr:colOff>
      <xdr:row>34</xdr:row>
      <xdr:rowOff>519546</xdr:rowOff>
    </xdr:from>
    <xdr:to>
      <xdr:col>33</xdr:col>
      <xdr:colOff>242454</xdr:colOff>
      <xdr:row>35</xdr:row>
      <xdr:rowOff>484909</xdr:rowOff>
    </xdr:to>
    <xdr:sp macro="" textlink="">
      <xdr:nvSpPr>
        <xdr:cNvPr id="24" name="TextBox 2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2EB89714-FE22-E647-B250-C010FCCCEE96}"/>
            </a:ext>
          </a:extLst>
        </xdr:cNvPr>
        <xdr:cNvSpPr txBox="1"/>
      </xdr:nvSpPr>
      <xdr:spPr>
        <a:xfrm>
          <a:off x="31657636" y="18894137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SRV- MST</a:t>
          </a:r>
        </a:p>
      </xdr:txBody>
    </xdr:sp>
    <xdr:clientData/>
  </xdr:twoCellAnchor>
  <xdr:twoCellAnchor>
    <xdr:from>
      <xdr:col>27</xdr:col>
      <xdr:colOff>69272</xdr:colOff>
      <xdr:row>36</xdr:row>
      <xdr:rowOff>121228</xdr:rowOff>
    </xdr:from>
    <xdr:to>
      <xdr:col>33</xdr:col>
      <xdr:colOff>242454</xdr:colOff>
      <xdr:row>37</xdr:row>
      <xdr:rowOff>86591</xdr:rowOff>
    </xdr:to>
    <xdr:sp macro="" textlink="">
      <xdr:nvSpPr>
        <xdr:cNvPr id="25" name="TextBox 2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B5A933D1-8F0C-9C7D-135E-20E658187418}"/>
            </a:ext>
          </a:extLst>
        </xdr:cNvPr>
        <xdr:cNvSpPr txBox="1"/>
      </xdr:nvSpPr>
      <xdr:spPr>
        <a:xfrm>
          <a:off x="31657636" y="19569546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MEC - MST</a:t>
          </a:r>
        </a:p>
      </xdr:txBody>
    </xdr:sp>
    <xdr:clientData/>
  </xdr:twoCellAnchor>
  <xdr:twoCellAnchor>
    <xdr:from>
      <xdr:col>27</xdr:col>
      <xdr:colOff>69272</xdr:colOff>
      <xdr:row>37</xdr:row>
      <xdr:rowOff>207818</xdr:rowOff>
    </xdr:from>
    <xdr:to>
      <xdr:col>33</xdr:col>
      <xdr:colOff>242454</xdr:colOff>
      <xdr:row>38</xdr:row>
      <xdr:rowOff>173182</xdr:rowOff>
    </xdr:to>
    <xdr:sp macro="" textlink="">
      <xdr:nvSpPr>
        <xdr:cNvPr id="26" name="TextBox 2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E27BA00-B876-97B6-6377-0C12D707927E}"/>
            </a:ext>
          </a:extLst>
        </xdr:cNvPr>
        <xdr:cNvSpPr txBox="1"/>
      </xdr:nvSpPr>
      <xdr:spPr>
        <a:xfrm>
          <a:off x="31657636" y="20193000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ELE - MST</a:t>
          </a:r>
        </a:p>
      </xdr:txBody>
    </xdr:sp>
    <xdr:clientData/>
  </xdr:twoCellAnchor>
  <xdr:twoCellAnchor>
    <xdr:from>
      <xdr:col>34</xdr:col>
      <xdr:colOff>86591</xdr:colOff>
      <xdr:row>24</xdr:row>
      <xdr:rowOff>0</xdr:rowOff>
    </xdr:from>
    <xdr:to>
      <xdr:col>40</xdr:col>
      <xdr:colOff>259773</xdr:colOff>
      <xdr:row>24</xdr:row>
      <xdr:rowOff>502227</xdr:rowOff>
    </xdr:to>
    <xdr:sp macro="" textlink="">
      <xdr:nvSpPr>
        <xdr:cNvPr id="27" name="TextBox 2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3C05E22C-0EDA-0579-B80F-4A11882FED12}"/>
            </a:ext>
          </a:extLst>
        </xdr:cNvPr>
        <xdr:cNvSpPr txBox="1"/>
      </xdr:nvSpPr>
      <xdr:spPr>
        <a:xfrm>
          <a:off x="35917909" y="13005955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ELV - MST</a:t>
          </a:r>
        </a:p>
      </xdr:txBody>
    </xdr:sp>
    <xdr:clientData/>
  </xdr:twoCellAnchor>
  <xdr:twoCellAnchor>
    <xdr:from>
      <xdr:col>34</xdr:col>
      <xdr:colOff>86591</xdr:colOff>
      <xdr:row>25</xdr:row>
      <xdr:rowOff>138546</xdr:rowOff>
    </xdr:from>
    <xdr:to>
      <xdr:col>40</xdr:col>
      <xdr:colOff>259773</xdr:colOff>
      <xdr:row>26</xdr:row>
      <xdr:rowOff>103909</xdr:rowOff>
    </xdr:to>
    <xdr:sp macro="" textlink="">
      <xdr:nvSpPr>
        <xdr:cNvPr id="28" name="TextBox 2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32A057C6-8F44-7F85-CED2-F966FBF1E2CF}"/>
            </a:ext>
          </a:extLst>
        </xdr:cNvPr>
        <xdr:cNvSpPr txBox="1"/>
      </xdr:nvSpPr>
      <xdr:spPr>
        <a:xfrm>
          <a:off x="35917909" y="13681364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INF - MST</a:t>
          </a:r>
        </a:p>
      </xdr:txBody>
    </xdr:sp>
    <xdr:clientData/>
  </xdr:twoCellAnchor>
  <xdr:twoCellAnchor>
    <xdr:from>
      <xdr:col>34</xdr:col>
      <xdr:colOff>86591</xdr:colOff>
      <xdr:row>26</xdr:row>
      <xdr:rowOff>242455</xdr:rowOff>
    </xdr:from>
    <xdr:to>
      <xdr:col>40</xdr:col>
      <xdr:colOff>259773</xdr:colOff>
      <xdr:row>27</xdr:row>
      <xdr:rowOff>207819</xdr:rowOff>
    </xdr:to>
    <xdr:sp macro="" textlink="">
      <xdr:nvSpPr>
        <xdr:cNvPr id="29" name="TextBox 28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325898B9-00E9-1C0C-9025-43CE253E664A}"/>
            </a:ext>
          </a:extLst>
        </xdr:cNvPr>
        <xdr:cNvSpPr txBox="1"/>
      </xdr:nvSpPr>
      <xdr:spPr>
        <a:xfrm>
          <a:off x="35917909" y="14322137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GEO - MST</a:t>
          </a:r>
        </a:p>
      </xdr:txBody>
    </xdr:sp>
    <xdr:clientData/>
  </xdr:twoCellAnchor>
  <xdr:twoCellAnchor>
    <xdr:from>
      <xdr:col>34</xdr:col>
      <xdr:colOff>86591</xdr:colOff>
      <xdr:row>27</xdr:row>
      <xdr:rowOff>346364</xdr:rowOff>
    </xdr:from>
    <xdr:to>
      <xdr:col>40</xdr:col>
      <xdr:colOff>259773</xdr:colOff>
      <xdr:row>28</xdr:row>
      <xdr:rowOff>311727</xdr:rowOff>
    </xdr:to>
    <xdr:sp macro="" textlink="">
      <xdr:nvSpPr>
        <xdr:cNvPr id="30" name="TextBox 29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AEC0868F-CF7B-B7F7-BFB6-60F9AC43C818}"/>
            </a:ext>
          </a:extLst>
        </xdr:cNvPr>
        <xdr:cNvSpPr txBox="1"/>
      </xdr:nvSpPr>
      <xdr:spPr>
        <a:xfrm>
          <a:off x="35917909" y="14962909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CON - MST</a:t>
          </a:r>
        </a:p>
      </xdr:txBody>
    </xdr:sp>
    <xdr:clientData/>
  </xdr:twoCellAnchor>
  <xdr:twoCellAnchor>
    <xdr:from>
      <xdr:col>34</xdr:col>
      <xdr:colOff>86591</xdr:colOff>
      <xdr:row>28</xdr:row>
      <xdr:rowOff>467591</xdr:rowOff>
    </xdr:from>
    <xdr:to>
      <xdr:col>40</xdr:col>
      <xdr:colOff>259773</xdr:colOff>
      <xdr:row>29</xdr:row>
      <xdr:rowOff>432954</xdr:rowOff>
    </xdr:to>
    <xdr:sp macro="" textlink="">
      <xdr:nvSpPr>
        <xdr:cNvPr id="31" name="TextBox 30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E85E86FE-A291-EC45-3C69-18738D7A87BB}"/>
            </a:ext>
          </a:extLst>
        </xdr:cNvPr>
        <xdr:cNvSpPr txBox="1"/>
      </xdr:nvSpPr>
      <xdr:spPr>
        <a:xfrm>
          <a:off x="35917909" y="15621000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HSE - MST</a:t>
          </a:r>
        </a:p>
      </xdr:txBody>
    </xdr:sp>
    <xdr:clientData/>
  </xdr:twoCellAnchor>
  <xdr:twoCellAnchor>
    <xdr:from>
      <xdr:col>34</xdr:col>
      <xdr:colOff>86591</xdr:colOff>
      <xdr:row>30</xdr:row>
      <xdr:rowOff>69274</xdr:rowOff>
    </xdr:from>
    <xdr:to>
      <xdr:col>40</xdr:col>
      <xdr:colOff>259773</xdr:colOff>
      <xdr:row>31</xdr:row>
      <xdr:rowOff>34637</xdr:rowOff>
    </xdr:to>
    <xdr:sp macro="" textlink="">
      <xdr:nvSpPr>
        <xdr:cNvPr id="32" name="TextBox 31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63617C66-1C02-3F74-3399-A8DD91DF2C51}"/>
            </a:ext>
          </a:extLst>
        </xdr:cNvPr>
        <xdr:cNvSpPr txBox="1"/>
      </xdr:nvSpPr>
      <xdr:spPr>
        <a:xfrm>
          <a:off x="35917909" y="16296410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CIV - ITP</a:t>
          </a:r>
        </a:p>
      </xdr:txBody>
    </xdr:sp>
    <xdr:clientData/>
  </xdr:twoCellAnchor>
  <xdr:twoCellAnchor>
    <xdr:from>
      <xdr:col>34</xdr:col>
      <xdr:colOff>86591</xdr:colOff>
      <xdr:row>31</xdr:row>
      <xdr:rowOff>173182</xdr:rowOff>
    </xdr:from>
    <xdr:to>
      <xdr:col>40</xdr:col>
      <xdr:colOff>259773</xdr:colOff>
      <xdr:row>32</xdr:row>
      <xdr:rowOff>138545</xdr:rowOff>
    </xdr:to>
    <xdr:sp macro="" textlink="">
      <xdr:nvSpPr>
        <xdr:cNvPr id="33" name="TextBox 32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60DB08D9-D4A0-0B0E-71AC-237E8C9C8641}"/>
            </a:ext>
          </a:extLst>
        </xdr:cNvPr>
        <xdr:cNvSpPr txBox="1"/>
      </xdr:nvSpPr>
      <xdr:spPr>
        <a:xfrm>
          <a:off x="35917909" y="16937182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STR - ITP</a:t>
          </a:r>
        </a:p>
      </xdr:txBody>
    </xdr:sp>
    <xdr:clientData/>
  </xdr:twoCellAnchor>
  <xdr:twoCellAnchor>
    <xdr:from>
      <xdr:col>34</xdr:col>
      <xdr:colOff>86591</xdr:colOff>
      <xdr:row>32</xdr:row>
      <xdr:rowOff>294409</xdr:rowOff>
    </xdr:from>
    <xdr:to>
      <xdr:col>40</xdr:col>
      <xdr:colOff>259773</xdr:colOff>
      <xdr:row>33</xdr:row>
      <xdr:rowOff>259773</xdr:rowOff>
    </xdr:to>
    <xdr:sp macro="" textlink="">
      <xdr:nvSpPr>
        <xdr:cNvPr id="34" name="TextBox 33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C9AED49D-68AC-28C5-AC17-DF9DDD4C29DF}"/>
            </a:ext>
          </a:extLst>
        </xdr:cNvPr>
        <xdr:cNvSpPr txBox="1"/>
      </xdr:nvSpPr>
      <xdr:spPr>
        <a:xfrm>
          <a:off x="35917909" y="17595273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ARC - ITP</a:t>
          </a:r>
        </a:p>
      </xdr:txBody>
    </xdr:sp>
    <xdr:clientData/>
  </xdr:twoCellAnchor>
  <xdr:twoCellAnchor>
    <xdr:from>
      <xdr:col>34</xdr:col>
      <xdr:colOff>86591</xdr:colOff>
      <xdr:row>33</xdr:row>
      <xdr:rowOff>432955</xdr:rowOff>
    </xdr:from>
    <xdr:to>
      <xdr:col>40</xdr:col>
      <xdr:colOff>259773</xdr:colOff>
      <xdr:row>34</xdr:row>
      <xdr:rowOff>398318</xdr:rowOff>
    </xdr:to>
    <xdr:sp macro="" textlink="">
      <xdr:nvSpPr>
        <xdr:cNvPr id="35" name="TextBox 3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C5C80A33-4F2D-0D5D-2737-6FAB8DB94B1A}"/>
            </a:ext>
          </a:extLst>
        </xdr:cNvPr>
        <xdr:cNvSpPr txBox="1"/>
      </xdr:nvSpPr>
      <xdr:spPr>
        <a:xfrm>
          <a:off x="35917909" y="18270682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SRV - ITP</a:t>
          </a:r>
        </a:p>
      </xdr:txBody>
    </xdr:sp>
    <xdr:clientData/>
  </xdr:twoCellAnchor>
  <xdr:twoCellAnchor>
    <xdr:from>
      <xdr:col>34</xdr:col>
      <xdr:colOff>86591</xdr:colOff>
      <xdr:row>34</xdr:row>
      <xdr:rowOff>519546</xdr:rowOff>
    </xdr:from>
    <xdr:to>
      <xdr:col>40</xdr:col>
      <xdr:colOff>259773</xdr:colOff>
      <xdr:row>35</xdr:row>
      <xdr:rowOff>484909</xdr:rowOff>
    </xdr:to>
    <xdr:sp macro="" textlink="">
      <xdr:nvSpPr>
        <xdr:cNvPr id="36" name="TextBox 35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EEC2E444-6F59-98B4-7916-1DAB00694D85}"/>
            </a:ext>
          </a:extLst>
        </xdr:cNvPr>
        <xdr:cNvSpPr txBox="1"/>
      </xdr:nvSpPr>
      <xdr:spPr>
        <a:xfrm>
          <a:off x="35917909" y="18894137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INF - ITP</a:t>
          </a:r>
        </a:p>
      </xdr:txBody>
    </xdr:sp>
    <xdr:clientData/>
  </xdr:twoCellAnchor>
  <xdr:twoCellAnchor>
    <xdr:from>
      <xdr:col>34</xdr:col>
      <xdr:colOff>86591</xdr:colOff>
      <xdr:row>36</xdr:row>
      <xdr:rowOff>121228</xdr:rowOff>
    </xdr:from>
    <xdr:to>
      <xdr:col>40</xdr:col>
      <xdr:colOff>259773</xdr:colOff>
      <xdr:row>37</xdr:row>
      <xdr:rowOff>86591</xdr:rowOff>
    </xdr:to>
    <xdr:sp macro="" textlink="">
      <xdr:nvSpPr>
        <xdr:cNvPr id="37" name="TextBox 36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92381ADA-95CD-75D4-CAC0-B0808F94FD35}"/>
            </a:ext>
          </a:extLst>
        </xdr:cNvPr>
        <xdr:cNvSpPr txBox="1"/>
      </xdr:nvSpPr>
      <xdr:spPr>
        <a:xfrm>
          <a:off x="35917909" y="19569546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MEC - ITP</a:t>
          </a:r>
        </a:p>
      </xdr:txBody>
    </xdr:sp>
    <xdr:clientData/>
  </xdr:twoCellAnchor>
  <xdr:twoCellAnchor>
    <xdr:from>
      <xdr:col>34</xdr:col>
      <xdr:colOff>86591</xdr:colOff>
      <xdr:row>37</xdr:row>
      <xdr:rowOff>207818</xdr:rowOff>
    </xdr:from>
    <xdr:to>
      <xdr:col>40</xdr:col>
      <xdr:colOff>259773</xdr:colOff>
      <xdr:row>38</xdr:row>
      <xdr:rowOff>173182</xdr:rowOff>
    </xdr:to>
    <xdr:sp macro="" textlink="">
      <xdr:nvSpPr>
        <xdr:cNvPr id="38" name="TextBox 37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C9198BC0-4ECB-383C-DFC6-A3E66C98350B}"/>
            </a:ext>
          </a:extLst>
        </xdr:cNvPr>
        <xdr:cNvSpPr txBox="1"/>
      </xdr:nvSpPr>
      <xdr:spPr>
        <a:xfrm>
          <a:off x="35917909" y="20193000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ELE - ITP</a:t>
          </a:r>
        </a:p>
      </xdr:txBody>
    </xdr:sp>
    <xdr:clientData/>
  </xdr:twoCellAnchor>
  <xdr:twoCellAnchor>
    <xdr:from>
      <xdr:col>41</xdr:col>
      <xdr:colOff>103909</xdr:colOff>
      <xdr:row>24</xdr:row>
      <xdr:rowOff>0</xdr:rowOff>
    </xdr:from>
    <xdr:to>
      <xdr:col>47</xdr:col>
      <xdr:colOff>277091</xdr:colOff>
      <xdr:row>24</xdr:row>
      <xdr:rowOff>502227</xdr:rowOff>
    </xdr:to>
    <xdr:sp macro="" textlink="">
      <xdr:nvSpPr>
        <xdr:cNvPr id="39" name="TextBox 38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D7E966A6-E5CA-B245-0B7A-8B63C514490E}"/>
            </a:ext>
          </a:extLst>
        </xdr:cNvPr>
        <xdr:cNvSpPr txBox="1"/>
      </xdr:nvSpPr>
      <xdr:spPr>
        <a:xfrm>
          <a:off x="40178182" y="13005955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ELV- ITP</a:t>
          </a:r>
        </a:p>
      </xdr:txBody>
    </xdr:sp>
    <xdr:clientData/>
  </xdr:twoCellAnchor>
  <xdr:twoCellAnchor>
    <xdr:from>
      <xdr:col>41</xdr:col>
      <xdr:colOff>103909</xdr:colOff>
      <xdr:row>25</xdr:row>
      <xdr:rowOff>138546</xdr:rowOff>
    </xdr:from>
    <xdr:to>
      <xdr:col>47</xdr:col>
      <xdr:colOff>277091</xdr:colOff>
      <xdr:row>26</xdr:row>
      <xdr:rowOff>103909</xdr:rowOff>
    </xdr:to>
    <xdr:sp macro="" textlink="">
      <xdr:nvSpPr>
        <xdr:cNvPr id="40" name="TextBox 3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F5EE008C-56FC-0406-11D2-5443DA9644DE}"/>
            </a:ext>
          </a:extLst>
        </xdr:cNvPr>
        <xdr:cNvSpPr txBox="1"/>
      </xdr:nvSpPr>
      <xdr:spPr>
        <a:xfrm>
          <a:off x="40178182" y="13681364"/>
          <a:ext cx="3810000" cy="502227"/>
        </a:xfrm>
        <a:prstGeom prst="rect">
          <a:avLst/>
        </a:prstGeom>
        <a:gradFill rotWithShape="1">
          <a:gsLst>
            <a:gs pos="0">
              <a:srgbClr val="ED7D31">
                <a:satMod val="103000"/>
                <a:lumMod val="102000"/>
                <a:tint val="94000"/>
              </a:srgbClr>
            </a:gs>
            <a:gs pos="50000">
              <a:srgbClr val="ED7D31">
                <a:satMod val="110000"/>
                <a:lumMod val="100000"/>
                <a:shade val="100000"/>
              </a:srgbClr>
            </a:gs>
            <a:gs pos="100000">
              <a:srgbClr val="ED7D31">
                <a:lumMod val="99000"/>
                <a:satMod val="120000"/>
                <a:shade val="78000"/>
              </a:srgb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FAS - ITP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0</xdr:rowOff>
    </xdr:to>
    <xdr:sp macro="" textlink="">
      <xdr:nvSpPr>
        <xdr:cNvPr id="2049" name="AutoShape 1" descr="https://ksa1.aconex.com/html/logos/aconex-stored/organization/0/2020-08-20-11-01-15-99367134937513214751.jpg">
          <a:extLst>
            <a:ext uri="{FF2B5EF4-FFF2-40B4-BE49-F238E27FC236}">
              <a16:creationId xmlns:a16="http://schemas.microsoft.com/office/drawing/2014/main" id="{00000000-0008-0000-07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23040975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64BBC8-2A9F-4148-9FB6-FAFB16EDB5EC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5">
    <tabColor rgb="FFFF0000"/>
    <pageSetUpPr fitToPage="1"/>
  </sheetPr>
  <dimension ref="A1:O48"/>
  <sheetViews>
    <sheetView view="pageBreakPreview" zoomScale="55" zoomScaleNormal="85" zoomScaleSheetLayoutView="55" workbookViewId="0">
      <pane ySplit="3" topLeftCell="A4" activePane="bottomLeft" state="frozen"/>
      <selection pane="bottomLeft" activeCell="T8" sqref="T8"/>
    </sheetView>
  </sheetViews>
  <sheetFormatPr defaultColWidth="9.140625" defaultRowHeight="14.25" x14ac:dyDescent="0.25"/>
  <cols>
    <col min="1" max="1" width="56.42578125" style="1" customWidth="1"/>
    <col min="2" max="6" width="20.28515625" style="1" customWidth="1"/>
    <col min="7" max="8" width="20.28515625" style="4" customWidth="1"/>
    <col min="9" max="9" width="20.28515625" style="3" customWidth="1"/>
    <col min="10" max="11" width="20.28515625" style="1" customWidth="1"/>
    <col min="12" max="14" width="25" style="1" customWidth="1"/>
    <col min="15" max="16" width="20" style="1" customWidth="1"/>
    <col min="17" max="225" width="9.140625" style="1"/>
    <col min="226" max="226" width="42.140625" style="1" customWidth="1"/>
    <col min="227" max="227" width="78.140625" style="1" customWidth="1"/>
    <col min="228" max="228" width="11" style="1" customWidth="1"/>
    <col min="229" max="229" width="23.28515625" style="1" customWidth="1"/>
    <col min="230" max="230" width="26.7109375" style="1" customWidth="1"/>
    <col min="231" max="231" width="27" style="1" customWidth="1"/>
    <col min="232" max="232" width="18.7109375" style="1" customWidth="1"/>
    <col min="233" max="233" width="25.28515625" style="1" customWidth="1"/>
    <col min="234" max="234" width="26.85546875" style="1" customWidth="1"/>
    <col min="235" max="235" width="22" style="1" customWidth="1"/>
    <col min="236" max="236" width="21.7109375" style="1" customWidth="1"/>
    <col min="237" max="481" width="9.140625" style="1"/>
    <col min="482" max="482" width="42.140625" style="1" customWidth="1"/>
    <col min="483" max="483" width="78.140625" style="1" customWidth="1"/>
    <col min="484" max="484" width="11" style="1" customWidth="1"/>
    <col min="485" max="485" width="23.28515625" style="1" customWidth="1"/>
    <col min="486" max="486" width="26.7109375" style="1" customWidth="1"/>
    <col min="487" max="487" width="27" style="1" customWidth="1"/>
    <col min="488" max="488" width="18.7109375" style="1" customWidth="1"/>
    <col min="489" max="489" width="25.28515625" style="1" customWidth="1"/>
    <col min="490" max="490" width="26.85546875" style="1" customWidth="1"/>
    <col min="491" max="491" width="22" style="1" customWidth="1"/>
    <col min="492" max="492" width="21.7109375" style="1" customWidth="1"/>
    <col min="493" max="737" width="9.140625" style="1"/>
    <col min="738" max="738" width="42.140625" style="1" customWidth="1"/>
    <col min="739" max="739" width="78.140625" style="1" customWidth="1"/>
    <col min="740" max="740" width="11" style="1" customWidth="1"/>
    <col min="741" max="741" width="23.28515625" style="1" customWidth="1"/>
    <col min="742" max="742" width="26.7109375" style="1" customWidth="1"/>
    <col min="743" max="743" width="27" style="1" customWidth="1"/>
    <col min="744" max="744" width="18.7109375" style="1" customWidth="1"/>
    <col min="745" max="745" width="25.28515625" style="1" customWidth="1"/>
    <col min="746" max="746" width="26.85546875" style="1" customWidth="1"/>
    <col min="747" max="747" width="22" style="1" customWidth="1"/>
    <col min="748" max="748" width="21.7109375" style="1" customWidth="1"/>
    <col min="749" max="993" width="9.140625" style="1"/>
    <col min="994" max="994" width="42.140625" style="1" customWidth="1"/>
    <col min="995" max="995" width="78.140625" style="1" customWidth="1"/>
    <col min="996" max="996" width="11" style="1" customWidth="1"/>
    <col min="997" max="997" width="23.28515625" style="1" customWidth="1"/>
    <col min="998" max="998" width="26.7109375" style="1" customWidth="1"/>
    <col min="999" max="999" width="27" style="1" customWidth="1"/>
    <col min="1000" max="1000" width="18.7109375" style="1" customWidth="1"/>
    <col min="1001" max="1001" width="25.28515625" style="1" customWidth="1"/>
    <col min="1002" max="1002" width="26.85546875" style="1" customWidth="1"/>
    <col min="1003" max="1003" width="22" style="1" customWidth="1"/>
    <col min="1004" max="1004" width="21.7109375" style="1" customWidth="1"/>
    <col min="1005" max="1249" width="9.140625" style="1"/>
    <col min="1250" max="1250" width="42.140625" style="1" customWidth="1"/>
    <col min="1251" max="1251" width="78.140625" style="1" customWidth="1"/>
    <col min="1252" max="1252" width="11" style="1" customWidth="1"/>
    <col min="1253" max="1253" width="23.28515625" style="1" customWidth="1"/>
    <col min="1254" max="1254" width="26.7109375" style="1" customWidth="1"/>
    <col min="1255" max="1255" width="27" style="1" customWidth="1"/>
    <col min="1256" max="1256" width="18.7109375" style="1" customWidth="1"/>
    <col min="1257" max="1257" width="25.28515625" style="1" customWidth="1"/>
    <col min="1258" max="1258" width="26.85546875" style="1" customWidth="1"/>
    <col min="1259" max="1259" width="22" style="1" customWidth="1"/>
    <col min="1260" max="1260" width="21.7109375" style="1" customWidth="1"/>
    <col min="1261" max="1505" width="9.140625" style="1"/>
    <col min="1506" max="1506" width="42.140625" style="1" customWidth="1"/>
    <col min="1507" max="1507" width="78.140625" style="1" customWidth="1"/>
    <col min="1508" max="1508" width="11" style="1" customWidth="1"/>
    <col min="1509" max="1509" width="23.28515625" style="1" customWidth="1"/>
    <col min="1510" max="1510" width="26.7109375" style="1" customWidth="1"/>
    <col min="1511" max="1511" width="27" style="1" customWidth="1"/>
    <col min="1512" max="1512" width="18.7109375" style="1" customWidth="1"/>
    <col min="1513" max="1513" width="25.28515625" style="1" customWidth="1"/>
    <col min="1514" max="1514" width="26.85546875" style="1" customWidth="1"/>
    <col min="1515" max="1515" width="22" style="1" customWidth="1"/>
    <col min="1516" max="1516" width="21.7109375" style="1" customWidth="1"/>
    <col min="1517" max="1761" width="9.140625" style="1"/>
    <col min="1762" max="1762" width="42.140625" style="1" customWidth="1"/>
    <col min="1763" max="1763" width="78.140625" style="1" customWidth="1"/>
    <col min="1764" max="1764" width="11" style="1" customWidth="1"/>
    <col min="1765" max="1765" width="23.28515625" style="1" customWidth="1"/>
    <col min="1766" max="1766" width="26.7109375" style="1" customWidth="1"/>
    <col min="1767" max="1767" width="27" style="1" customWidth="1"/>
    <col min="1768" max="1768" width="18.7109375" style="1" customWidth="1"/>
    <col min="1769" max="1769" width="25.28515625" style="1" customWidth="1"/>
    <col min="1770" max="1770" width="26.85546875" style="1" customWidth="1"/>
    <col min="1771" max="1771" width="22" style="1" customWidth="1"/>
    <col min="1772" max="1772" width="21.7109375" style="1" customWidth="1"/>
    <col min="1773" max="2017" width="9.140625" style="1"/>
    <col min="2018" max="2018" width="42.140625" style="1" customWidth="1"/>
    <col min="2019" max="2019" width="78.140625" style="1" customWidth="1"/>
    <col min="2020" max="2020" width="11" style="1" customWidth="1"/>
    <col min="2021" max="2021" width="23.28515625" style="1" customWidth="1"/>
    <col min="2022" max="2022" width="26.7109375" style="1" customWidth="1"/>
    <col min="2023" max="2023" width="27" style="1" customWidth="1"/>
    <col min="2024" max="2024" width="18.7109375" style="1" customWidth="1"/>
    <col min="2025" max="2025" width="25.28515625" style="1" customWidth="1"/>
    <col min="2026" max="2026" width="26.85546875" style="1" customWidth="1"/>
    <col min="2027" max="2027" width="22" style="1" customWidth="1"/>
    <col min="2028" max="2028" width="21.7109375" style="1" customWidth="1"/>
    <col min="2029" max="2273" width="9.140625" style="1"/>
    <col min="2274" max="2274" width="42.140625" style="1" customWidth="1"/>
    <col min="2275" max="2275" width="78.140625" style="1" customWidth="1"/>
    <col min="2276" max="2276" width="11" style="1" customWidth="1"/>
    <col min="2277" max="2277" width="23.28515625" style="1" customWidth="1"/>
    <col min="2278" max="2278" width="26.7109375" style="1" customWidth="1"/>
    <col min="2279" max="2279" width="27" style="1" customWidth="1"/>
    <col min="2280" max="2280" width="18.7109375" style="1" customWidth="1"/>
    <col min="2281" max="2281" width="25.28515625" style="1" customWidth="1"/>
    <col min="2282" max="2282" width="26.85546875" style="1" customWidth="1"/>
    <col min="2283" max="2283" width="22" style="1" customWidth="1"/>
    <col min="2284" max="2284" width="21.7109375" style="1" customWidth="1"/>
    <col min="2285" max="2529" width="9.140625" style="1"/>
    <col min="2530" max="2530" width="42.140625" style="1" customWidth="1"/>
    <col min="2531" max="2531" width="78.140625" style="1" customWidth="1"/>
    <col min="2532" max="2532" width="11" style="1" customWidth="1"/>
    <col min="2533" max="2533" width="23.28515625" style="1" customWidth="1"/>
    <col min="2534" max="2534" width="26.7109375" style="1" customWidth="1"/>
    <col min="2535" max="2535" width="27" style="1" customWidth="1"/>
    <col min="2536" max="2536" width="18.7109375" style="1" customWidth="1"/>
    <col min="2537" max="2537" width="25.28515625" style="1" customWidth="1"/>
    <col min="2538" max="2538" width="26.85546875" style="1" customWidth="1"/>
    <col min="2539" max="2539" width="22" style="1" customWidth="1"/>
    <col min="2540" max="2540" width="21.7109375" style="1" customWidth="1"/>
    <col min="2541" max="2785" width="9.140625" style="1"/>
    <col min="2786" max="2786" width="42.140625" style="1" customWidth="1"/>
    <col min="2787" max="2787" width="78.140625" style="1" customWidth="1"/>
    <col min="2788" max="2788" width="11" style="1" customWidth="1"/>
    <col min="2789" max="2789" width="23.28515625" style="1" customWidth="1"/>
    <col min="2790" max="2790" width="26.7109375" style="1" customWidth="1"/>
    <col min="2791" max="2791" width="27" style="1" customWidth="1"/>
    <col min="2792" max="2792" width="18.7109375" style="1" customWidth="1"/>
    <col min="2793" max="2793" width="25.28515625" style="1" customWidth="1"/>
    <col min="2794" max="2794" width="26.85546875" style="1" customWidth="1"/>
    <col min="2795" max="2795" width="22" style="1" customWidth="1"/>
    <col min="2796" max="2796" width="21.7109375" style="1" customWidth="1"/>
    <col min="2797" max="3041" width="9.140625" style="1"/>
    <col min="3042" max="3042" width="42.140625" style="1" customWidth="1"/>
    <col min="3043" max="3043" width="78.140625" style="1" customWidth="1"/>
    <col min="3044" max="3044" width="11" style="1" customWidth="1"/>
    <col min="3045" max="3045" width="23.28515625" style="1" customWidth="1"/>
    <col min="3046" max="3046" width="26.7109375" style="1" customWidth="1"/>
    <col min="3047" max="3047" width="27" style="1" customWidth="1"/>
    <col min="3048" max="3048" width="18.7109375" style="1" customWidth="1"/>
    <col min="3049" max="3049" width="25.28515625" style="1" customWidth="1"/>
    <col min="3050" max="3050" width="26.85546875" style="1" customWidth="1"/>
    <col min="3051" max="3051" width="22" style="1" customWidth="1"/>
    <col min="3052" max="3052" width="21.7109375" style="1" customWidth="1"/>
    <col min="3053" max="3297" width="9.140625" style="1"/>
    <col min="3298" max="3298" width="42.140625" style="1" customWidth="1"/>
    <col min="3299" max="3299" width="78.140625" style="1" customWidth="1"/>
    <col min="3300" max="3300" width="11" style="1" customWidth="1"/>
    <col min="3301" max="3301" width="23.28515625" style="1" customWidth="1"/>
    <col min="3302" max="3302" width="26.7109375" style="1" customWidth="1"/>
    <col min="3303" max="3303" width="27" style="1" customWidth="1"/>
    <col min="3304" max="3304" width="18.7109375" style="1" customWidth="1"/>
    <col min="3305" max="3305" width="25.28515625" style="1" customWidth="1"/>
    <col min="3306" max="3306" width="26.85546875" style="1" customWidth="1"/>
    <col min="3307" max="3307" width="22" style="1" customWidth="1"/>
    <col min="3308" max="3308" width="21.7109375" style="1" customWidth="1"/>
    <col min="3309" max="3553" width="9.140625" style="1"/>
    <col min="3554" max="3554" width="42.140625" style="1" customWidth="1"/>
    <col min="3555" max="3555" width="78.140625" style="1" customWidth="1"/>
    <col min="3556" max="3556" width="11" style="1" customWidth="1"/>
    <col min="3557" max="3557" width="23.28515625" style="1" customWidth="1"/>
    <col min="3558" max="3558" width="26.7109375" style="1" customWidth="1"/>
    <col min="3559" max="3559" width="27" style="1" customWidth="1"/>
    <col min="3560" max="3560" width="18.7109375" style="1" customWidth="1"/>
    <col min="3561" max="3561" width="25.28515625" style="1" customWidth="1"/>
    <col min="3562" max="3562" width="26.85546875" style="1" customWidth="1"/>
    <col min="3563" max="3563" width="22" style="1" customWidth="1"/>
    <col min="3564" max="3564" width="21.7109375" style="1" customWidth="1"/>
    <col min="3565" max="3809" width="9.140625" style="1"/>
    <col min="3810" max="3810" width="42.140625" style="1" customWidth="1"/>
    <col min="3811" max="3811" width="78.140625" style="1" customWidth="1"/>
    <col min="3812" max="3812" width="11" style="1" customWidth="1"/>
    <col min="3813" max="3813" width="23.28515625" style="1" customWidth="1"/>
    <col min="3814" max="3814" width="26.7109375" style="1" customWidth="1"/>
    <col min="3815" max="3815" width="27" style="1" customWidth="1"/>
    <col min="3816" max="3816" width="18.7109375" style="1" customWidth="1"/>
    <col min="3817" max="3817" width="25.28515625" style="1" customWidth="1"/>
    <col min="3818" max="3818" width="26.85546875" style="1" customWidth="1"/>
    <col min="3819" max="3819" width="22" style="1" customWidth="1"/>
    <col min="3820" max="3820" width="21.7109375" style="1" customWidth="1"/>
    <col min="3821" max="4065" width="9.140625" style="1"/>
    <col min="4066" max="4066" width="42.140625" style="1" customWidth="1"/>
    <col min="4067" max="4067" width="78.140625" style="1" customWidth="1"/>
    <col min="4068" max="4068" width="11" style="1" customWidth="1"/>
    <col min="4069" max="4069" width="23.28515625" style="1" customWidth="1"/>
    <col min="4070" max="4070" width="26.7109375" style="1" customWidth="1"/>
    <col min="4071" max="4071" width="27" style="1" customWidth="1"/>
    <col min="4072" max="4072" width="18.7109375" style="1" customWidth="1"/>
    <col min="4073" max="4073" width="25.28515625" style="1" customWidth="1"/>
    <col min="4074" max="4074" width="26.85546875" style="1" customWidth="1"/>
    <col min="4075" max="4075" width="22" style="1" customWidth="1"/>
    <col min="4076" max="4076" width="21.7109375" style="1" customWidth="1"/>
    <col min="4077" max="4321" width="9.140625" style="1"/>
    <col min="4322" max="4322" width="42.140625" style="1" customWidth="1"/>
    <col min="4323" max="4323" width="78.140625" style="1" customWidth="1"/>
    <col min="4324" max="4324" width="11" style="1" customWidth="1"/>
    <col min="4325" max="4325" width="23.28515625" style="1" customWidth="1"/>
    <col min="4326" max="4326" width="26.7109375" style="1" customWidth="1"/>
    <col min="4327" max="4327" width="27" style="1" customWidth="1"/>
    <col min="4328" max="4328" width="18.7109375" style="1" customWidth="1"/>
    <col min="4329" max="4329" width="25.28515625" style="1" customWidth="1"/>
    <col min="4330" max="4330" width="26.85546875" style="1" customWidth="1"/>
    <col min="4331" max="4331" width="22" style="1" customWidth="1"/>
    <col min="4332" max="4332" width="21.7109375" style="1" customWidth="1"/>
    <col min="4333" max="4577" width="9.140625" style="1"/>
    <col min="4578" max="4578" width="42.140625" style="1" customWidth="1"/>
    <col min="4579" max="4579" width="78.140625" style="1" customWidth="1"/>
    <col min="4580" max="4580" width="11" style="1" customWidth="1"/>
    <col min="4581" max="4581" width="23.28515625" style="1" customWidth="1"/>
    <col min="4582" max="4582" width="26.7109375" style="1" customWidth="1"/>
    <col min="4583" max="4583" width="27" style="1" customWidth="1"/>
    <col min="4584" max="4584" width="18.7109375" style="1" customWidth="1"/>
    <col min="4585" max="4585" width="25.28515625" style="1" customWidth="1"/>
    <col min="4586" max="4586" width="26.85546875" style="1" customWidth="1"/>
    <col min="4587" max="4587" width="22" style="1" customWidth="1"/>
    <col min="4588" max="4588" width="21.7109375" style="1" customWidth="1"/>
    <col min="4589" max="4833" width="9.140625" style="1"/>
    <col min="4834" max="4834" width="42.140625" style="1" customWidth="1"/>
    <col min="4835" max="4835" width="78.140625" style="1" customWidth="1"/>
    <col min="4836" max="4836" width="11" style="1" customWidth="1"/>
    <col min="4837" max="4837" width="23.28515625" style="1" customWidth="1"/>
    <col min="4838" max="4838" width="26.7109375" style="1" customWidth="1"/>
    <col min="4839" max="4839" width="27" style="1" customWidth="1"/>
    <col min="4840" max="4840" width="18.7109375" style="1" customWidth="1"/>
    <col min="4841" max="4841" width="25.28515625" style="1" customWidth="1"/>
    <col min="4842" max="4842" width="26.85546875" style="1" customWidth="1"/>
    <col min="4843" max="4843" width="22" style="1" customWidth="1"/>
    <col min="4844" max="4844" width="21.7109375" style="1" customWidth="1"/>
    <col min="4845" max="5089" width="9.140625" style="1"/>
    <col min="5090" max="5090" width="42.140625" style="1" customWidth="1"/>
    <col min="5091" max="5091" width="78.140625" style="1" customWidth="1"/>
    <col min="5092" max="5092" width="11" style="1" customWidth="1"/>
    <col min="5093" max="5093" width="23.28515625" style="1" customWidth="1"/>
    <col min="5094" max="5094" width="26.7109375" style="1" customWidth="1"/>
    <col min="5095" max="5095" width="27" style="1" customWidth="1"/>
    <col min="5096" max="5096" width="18.7109375" style="1" customWidth="1"/>
    <col min="5097" max="5097" width="25.28515625" style="1" customWidth="1"/>
    <col min="5098" max="5098" width="26.85546875" style="1" customWidth="1"/>
    <col min="5099" max="5099" width="22" style="1" customWidth="1"/>
    <col min="5100" max="5100" width="21.7109375" style="1" customWidth="1"/>
    <col min="5101" max="5345" width="9.140625" style="1"/>
    <col min="5346" max="5346" width="42.140625" style="1" customWidth="1"/>
    <col min="5347" max="5347" width="78.140625" style="1" customWidth="1"/>
    <col min="5348" max="5348" width="11" style="1" customWidth="1"/>
    <col min="5349" max="5349" width="23.28515625" style="1" customWidth="1"/>
    <col min="5350" max="5350" width="26.7109375" style="1" customWidth="1"/>
    <col min="5351" max="5351" width="27" style="1" customWidth="1"/>
    <col min="5352" max="5352" width="18.7109375" style="1" customWidth="1"/>
    <col min="5353" max="5353" width="25.28515625" style="1" customWidth="1"/>
    <col min="5354" max="5354" width="26.85546875" style="1" customWidth="1"/>
    <col min="5355" max="5355" width="22" style="1" customWidth="1"/>
    <col min="5356" max="5356" width="21.7109375" style="1" customWidth="1"/>
    <col min="5357" max="5601" width="9.140625" style="1"/>
    <col min="5602" max="5602" width="42.140625" style="1" customWidth="1"/>
    <col min="5603" max="5603" width="78.140625" style="1" customWidth="1"/>
    <col min="5604" max="5604" width="11" style="1" customWidth="1"/>
    <col min="5605" max="5605" width="23.28515625" style="1" customWidth="1"/>
    <col min="5606" max="5606" width="26.7109375" style="1" customWidth="1"/>
    <col min="5607" max="5607" width="27" style="1" customWidth="1"/>
    <col min="5608" max="5608" width="18.7109375" style="1" customWidth="1"/>
    <col min="5609" max="5609" width="25.28515625" style="1" customWidth="1"/>
    <col min="5610" max="5610" width="26.85546875" style="1" customWidth="1"/>
    <col min="5611" max="5611" width="22" style="1" customWidth="1"/>
    <col min="5612" max="5612" width="21.7109375" style="1" customWidth="1"/>
    <col min="5613" max="5857" width="9.140625" style="1"/>
    <col min="5858" max="5858" width="42.140625" style="1" customWidth="1"/>
    <col min="5859" max="5859" width="78.140625" style="1" customWidth="1"/>
    <col min="5860" max="5860" width="11" style="1" customWidth="1"/>
    <col min="5861" max="5861" width="23.28515625" style="1" customWidth="1"/>
    <col min="5862" max="5862" width="26.7109375" style="1" customWidth="1"/>
    <col min="5863" max="5863" width="27" style="1" customWidth="1"/>
    <col min="5864" max="5864" width="18.7109375" style="1" customWidth="1"/>
    <col min="5865" max="5865" width="25.28515625" style="1" customWidth="1"/>
    <col min="5866" max="5866" width="26.85546875" style="1" customWidth="1"/>
    <col min="5867" max="5867" width="22" style="1" customWidth="1"/>
    <col min="5868" max="5868" width="21.7109375" style="1" customWidth="1"/>
    <col min="5869" max="6113" width="9.140625" style="1"/>
    <col min="6114" max="6114" width="42.140625" style="1" customWidth="1"/>
    <col min="6115" max="6115" width="78.140625" style="1" customWidth="1"/>
    <col min="6116" max="6116" width="11" style="1" customWidth="1"/>
    <col min="6117" max="6117" width="23.28515625" style="1" customWidth="1"/>
    <col min="6118" max="6118" width="26.7109375" style="1" customWidth="1"/>
    <col min="6119" max="6119" width="27" style="1" customWidth="1"/>
    <col min="6120" max="6120" width="18.7109375" style="1" customWidth="1"/>
    <col min="6121" max="6121" width="25.28515625" style="1" customWidth="1"/>
    <col min="6122" max="6122" width="26.85546875" style="1" customWidth="1"/>
    <col min="6123" max="6123" width="22" style="1" customWidth="1"/>
    <col min="6124" max="6124" width="21.7109375" style="1" customWidth="1"/>
    <col min="6125" max="6369" width="9.140625" style="1"/>
    <col min="6370" max="6370" width="42.140625" style="1" customWidth="1"/>
    <col min="6371" max="6371" width="78.140625" style="1" customWidth="1"/>
    <col min="6372" max="6372" width="11" style="1" customWidth="1"/>
    <col min="6373" max="6373" width="23.28515625" style="1" customWidth="1"/>
    <col min="6374" max="6374" width="26.7109375" style="1" customWidth="1"/>
    <col min="6375" max="6375" width="27" style="1" customWidth="1"/>
    <col min="6376" max="6376" width="18.7109375" style="1" customWidth="1"/>
    <col min="6377" max="6377" width="25.28515625" style="1" customWidth="1"/>
    <col min="6378" max="6378" width="26.85546875" style="1" customWidth="1"/>
    <col min="6379" max="6379" width="22" style="1" customWidth="1"/>
    <col min="6380" max="6380" width="21.7109375" style="1" customWidth="1"/>
    <col min="6381" max="6625" width="9.140625" style="1"/>
    <col min="6626" max="6626" width="42.140625" style="1" customWidth="1"/>
    <col min="6627" max="6627" width="78.140625" style="1" customWidth="1"/>
    <col min="6628" max="6628" width="11" style="1" customWidth="1"/>
    <col min="6629" max="6629" width="23.28515625" style="1" customWidth="1"/>
    <col min="6630" max="6630" width="26.7109375" style="1" customWidth="1"/>
    <col min="6631" max="6631" width="27" style="1" customWidth="1"/>
    <col min="6632" max="6632" width="18.7109375" style="1" customWidth="1"/>
    <col min="6633" max="6633" width="25.28515625" style="1" customWidth="1"/>
    <col min="6634" max="6634" width="26.85546875" style="1" customWidth="1"/>
    <col min="6635" max="6635" width="22" style="1" customWidth="1"/>
    <col min="6636" max="6636" width="21.7109375" style="1" customWidth="1"/>
    <col min="6637" max="6881" width="9.140625" style="1"/>
    <col min="6882" max="6882" width="42.140625" style="1" customWidth="1"/>
    <col min="6883" max="6883" width="78.140625" style="1" customWidth="1"/>
    <col min="6884" max="6884" width="11" style="1" customWidth="1"/>
    <col min="6885" max="6885" width="23.28515625" style="1" customWidth="1"/>
    <col min="6886" max="6886" width="26.7109375" style="1" customWidth="1"/>
    <col min="6887" max="6887" width="27" style="1" customWidth="1"/>
    <col min="6888" max="6888" width="18.7109375" style="1" customWidth="1"/>
    <col min="6889" max="6889" width="25.28515625" style="1" customWidth="1"/>
    <col min="6890" max="6890" width="26.85546875" style="1" customWidth="1"/>
    <col min="6891" max="6891" width="22" style="1" customWidth="1"/>
    <col min="6892" max="6892" width="21.7109375" style="1" customWidth="1"/>
    <col min="6893" max="7137" width="9.140625" style="1"/>
    <col min="7138" max="7138" width="42.140625" style="1" customWidth="1"/>
    <col min="7139" max="7139" width="78.140625" style="1" customWidth="1"/>
    <col min="7140" max="7140" width="11" style="1" customWidth="1"/>
    <col min="7141" max="7141" width="23.28515625" style="1" customWidth="1"/>
    <col min="7142" max="7142" width="26.7109375" style="1" customWidth="1"/>
    <col min="7143" max="7143" width="27" style="1" customWidth="1"/>
    <col min="7144" max="7144" width="18.7109375" style="1" customWidth="1"/>
    <col min="7145" max="7145" width="25.28515625" style="1" customWidth="1"/>
    <col min="7146" max="7146" width="26.85546875" style="1" customWidth="1"/>
    <col min="7147" max="7147" width="22" style="1" customWidth="1"/>
    <col min="7148" max="7148" width="21.7109375" style="1" customWidth="1"/>
    <col min="7149" max="7393" width="9.140625" style="1"/>
    <col min="7394" max="7394" width="42.140625" style="1" customWidth="1"/>
    <col min="7395" max="7395" width="78.140625" style="1" customWidth="1"/>
    <col min="7396" max="7396" width="11" style="1" customWidth="1"/>
    <col min="7397" max="7397" width="23.28515625" style="1" customWidth="1"/>
    <col min="7398" max="7398" width="26.7109375" style="1" customWidth="1"/>
    <col min="7399" max="7399" width="27" style="1" customWidth="1"/>
    <col min="7400" max="7400" width="18.7109375" style="1" customWidth="1"/>
    <col min="7401" max="7401" width="25.28515625" style="1" customWidth="1"/>
    <col min="7402" max="7402" width="26.85546875" style="1" customWidth="1"/>
    <col min="7403" max="7403" width="22" style="1" customWidth="1"/>
    <col min="7404" max="7404" width="21.7109375" style="1" customWidth="1"/>
    <col min="7405" max="7649" width="9.140625" style="1"/>
    <col min="7650" max="7650" width="42.140625" style="1" customWidth="1"/>
    <col min="7651" max="7651" width="78.140625" style="1" customWidth="1"/>
    <col min="7652" max="7652" width="11" style="1" customWidth="1"/>
    <col min="7653" max="7653" width="23.28515625" style="1" customWidth="1"/>
    <col min="7654" max="7654" width="26.7109375" style="1" customWidth="1"/>
    <col min="7655" max="7655" width="27" style="1" customWidth="1"/>
    <col min="7656" max="7656" width="18.7109375" style="1" customWidth="1"/>
    <col min="7657" max="7657" width="25.28515625" style="1" customWidth="1"/>
    <col min="7658" max="7658" width="26.85546875" style="1" customWidth="1"/>
    <col min="7659" max="7659" width="22" style="1" customWidth="1"/>
    <col min="7660" max="7660" width="21.7109375" style="1" customWidth="1"/>
    <col min="7661" max="7905" width="9.140625" style="1"/>
    <col min="7906" max="7906" width="42.140625" style="1" customWidth="1"/>
    <col min="7907" max="7907" width="78.140625" style="1" customWidth="1"/>
    <col min="7908" max="7908" width="11" style="1" customWidth="1"/>
    <col min="7909" max="7909" width="23.28515625" style="1" customWidth="1"/>
    <col min="7910" max="7910" width="26.7109375" style="1" customWidth="1"/>
    <col min="7911" max="7911" width="27" style="1" customWidth="1"/>
    <col min="7912" max="7912" width="18.7109375" style="1" customWidth="1"/>
    <col min="7913" max="7913" width="25.28515625" style="1" customWidth="1"/>
    <col min="7914" max="7914" width="26.85546875" style="1" customWidth="1"/>
    <col min="7915" max="7915" width="22" style="1" customWidth="1"/>
    <col min="7916" max="7916" width="21.7109375" style="1" customWidth="1"/>
    <col min="7917" max="8161" width="9.140625" style="1"/>
    <col min="8162" max="8162" width="42.140625" style="1" customWidth="1"/>
    <col min="8163" max="8163" width="78.140625" style="1" customWidth="1"/>
    <col min="8164" max="8164" width="11" style="1" customWidth="1"/>
    <col min="8165" max="8165" width="23.28515625" style="1" customWidth="1"/>
    <col min="8166" max="8166" width="26.7109375" style="1" customWidth="1"/>
    <col min="8167" max="8167" width="27" style="1" customWidth="1"/>
    <col min="8168" max="8168" width="18.7109375" style="1" customWidth="1"/>
    <col min="8169" max="8169" width="25.28515625" style="1" customWidth="1"/>
    <col min="8170" max="8170" width="26.85546875" style="1" customWidth="1"/>
    <col min="8171" max="8171" width="22" style="1" customWidth="1"/>
    <col min="8172" max="8172" width="21.7109375" style="1" customWidth="1"/>
    <col min="8173" max="8417" width="9.140625" style="1"/>
    <col min="8418" max="8418" width="42.140625" style="1" customWidth="1"/>
    <col min="8419" max="8419" width="78.140625" style="1" customWidth="1"/>
    <col min="8420" max="8420" width="11" style="1" customWidth="1"/>
    <col min="8421" max="8421" width="23.28515625" style="1" customWidth="1"/>
    <col min="8422" max="8422" width="26.7109375" style="1" customWidth="1"/>
    <col min="8423" max="8423" width="27" style="1" customWidth="1"/>
    <col min="8424" max="8424" width="18.7109375" style="1" customWidth="1"/>
    <col min="8425" max="8425" width="25.28515625" style="1" customWidth="1"/>
    <col min="8426" max="8426" width="26.85546875" style="1" customWidth="1"/>
    <col min="8427" max="8427" width="22" style="1" customWidth="1"/>
    <col min="8428" max="8428" width="21.7109375" style="1" customWidth="1"/>
    <col min="8429" max="8673" width="9.140625" style="1"/>
    <col min="8674" max="8674" width="42.140625" style="1" customWidth="1"/>
    <col min="8675" max="8675" width="78.140625" style="1" customWidth="1"/>
    <col min="8676" max="8676" width="11" style="1" customWidth="1"/>
    <col min="8677" max="8677" width="23.28515625" style="1" customWidth="1"/>
    <col min="8678" max="8678" width="26.7109375" style="1" customWidth="1"/>
    <col min="8679" max="8679" width="27" style="1" customWidth="1"/>
    <col min="8680" max="8680" width="18.7109375" style="1" customWidth="1"/>
    <col min="8681" max="8681" width="25.28515625" style="1" customWidth="1"/>
    <col min="8682" max="8682" width="26.85546875" style="1" customWidth="1"/>
    <col min="8683" max="8683" width="22" style="1" customWidth="1"/>
    <col min="8684" max="8684" width="21.7109375" style="1" customWidth="1"/>
    <col min="8685" max="8929" width="9.140625" style="1"/>
    <col min="8930" max="8930" width="42.140625" style="1" customWidth="1"/>
    <col min="8931" max="8931" width="78.140625" style="1" customWidth="1"/>
    <col min="8932" max="8932" width="11" style="1" customWidth="1"/>
    <col min="8933" max="8933" width="23.28515625" style="1" customWidth="1"/>
    <col min="8934" max="8934" width="26.7109375" style="1" customWidth="1"/>
    <col min="8935" max="8935" width="27" style="1" customWidth="1"/>
    <col min="8936" max="8936" width="18.7109375" style="1" customWidth="1"/>
    <col min="8937" max="8937" width="25.28515625" style="1" customWidth="1"/>
    <col min="8938" max="8938" width="26.85546875" style="1" customWidth="1"/>
    <col min="8939" max="8939" width="22" style="1" customWidth="1"/>
    <col min="8940" max="8940" width="21.7109375" style="1" customWidth="1"/>
    <col min="8941" max="9185" width="9.140625" style="1"/>
    <col min="9186" max="9186" width="42.140625" style="1" customWidth="1"/>
    <col min="9187" max="9187" width="78.140625" style="1" customWidth="1"/>
    <col min="9188" max="9188" width="11" style="1" customWidth="1"/>
    <col min="9189" max="9189" width="23.28515625" style="1" customWidth="1"/>
    <col min="9190" max="9190" width="26.7109375" style="1" customWidth="1"/>
    <col min="9191" max="9191" width="27" style="1" customWidth="1"/>
    <col min="9192" max="9192" width="18.7109375" style="1" customWidth="1"/>
    <col min="9193" max="9193" width="25.28515625" style="1" customWidth="1"/>
    <col min="9194" max="9194" width="26.85546875" style="1" customWidth="1"/>
    <col min="9195" max="9195" width="22" style="1" customWidth="1"/>
    <col min="9196" max="9196" width="21.7109375" style="1" customWidth="1"/>
    <col min="9197" max="9441" width="9.140625" style="1"/>
    <col min="9442" max="9442" width="42.140625" style="1" customWidth="1"/>
    <col min="9443" max="9443" width="78.140625" style="1" customWidth="1"/>
    <col min="9444" max="9444" width="11" style="1" customWidth="1"/>
    <col min="9445" max="9445" width="23.28515625" style="1" customWidth="1"/>
    <col min="9446" max="9446" width="26.7109375" style="1" customWidth="1"/>
    <col min="9447" max="9447" width="27" style="1" customWidth="1"/>
    <col min="9448" max="9448" width="18.7109375" style="1" customWidth="1"/>
    <col min="9449" max="9449" width="25.28515625" style="1" customWidth="1"/>
    <col min="9450" max="9450" width="26.85546875" style="1" customWidth="1"/>
    <col min="9451" max="9451" width="22" style="1" customWidth="1"/>
    <col min="9452" max="9452" width="21.7109375" style="1" customWidth="1"/>
    <col min="9453" max="9697" width="9.140625" style="1"/>
    <col min="9698" max="9698" width="42.140625" style="1" customWidth="1"/>
    <col min="9699" max="9699" width="78.140625" style="1" customWidth="1"/>
    <col min="9700" max="9700" width="11" style="1" customWidth="1"/>
    <col min="9701" max="9701" width="23.28515625" style="1" customWidth="1"/>
    <col min="9702" max="9702" width="26.7109375" style="1" customWidth="1"/>
    <col min="9703" max="9703" width="27" style="1" customWidth="1"/>
    <col min="9704" max="9704" width="18.7109375" style="1" customWidth="1"/>
    <col min="9705" max="9705" width="25.28515625" style="1" customWidth="1"/>
    <col min="9706" max="9706" width="26.85546875" style="1" customWidth="1"/>
    <col min="9707" max="9707" width="22" style="1" customWidth="1"/>
    <col min="9708" max="9708" width="21.7109375" style="1" customWidth="1"/>
    <col min="9709" max="9953" width="9.140625" style="1"/>
    <col min="9954" max="9954" width="42.140625" style="1" customWidth="1"/>
    <col min="9955" max="9955" width="78.140625" style="1" customWidth="1"/>
    <col min="9956" max="9956" width="11" style="1" customWidth="1"/>
    <col min="9957" max="9957" width="23.28515625" style="1" customWidth="1"/>
    <col min="9958" max="9958" width="26.7109375" style="1" customWidth="1"/>
    <col min="9959" max="9959" width="27" style="1" customWidth="1"/>
    <col min="9960" max="9960" width="18.7109375" style="1" customWidth="1"/>
    <col min="9961" max="9961" width="25.28515625" style="1" customWidth="1"/>
    <col min="9962" max="9962" width="26.85546875" style="1" customWidth="1"/>
    <col min="9963" max="9963" width="22" style="1" customWidth="1"/>
    <col min="9964" max="9964" width="21.7109375" style="1" customWidth="1"/>
    <col min="9965" max="10209" width="9.140625" style="1"/>
    <col min="10210" max="10210" width="42.140625" style="1" customWidth="1"/>
    <col min="10211" max="10211" width="78.140625" style="1" customWidth="1"/>
    <col min="10212" max="10212" width="11" style="1" customWidth="1"/>
    <col min="10213" max="10213" width="23.28515625" style="1" customWidth="1"/>
    <col min="10214" max="10214" width="26.7109375" style="1" customWidth="1"/>
    <col min="10215" max="10215" width="27" style="1" customWidth="1"/>
    <col min="10216" max="10216" width="18.7109375" style="1" customWidth="1"/>
    <col min="10217" max="10217" width="25.28515625" style="1" customWidth="1"/>
    <col min="10218" max="10218" width="26.85546875" style="1" customWidth="1"/>
    <col min="10219" max="10219" width="22" style="1" customWidth="1"/>
    <col min="10220" max="10220" width="21.7109375" style="1" customWidth="1"/>
    <col min="10221" max="10465" width="9.140625" style="1"/>
    <col min="10466" max="10466" width="42.140625" style="1" customWidth="1"/>
    <col min="10467" max="10467" width="78.140625" style="1" customWidth="1"/>
    <col min="10468" max="10468" width="11" style="1" customWidth="1"/>
    <col min="10469" max="10469" width="23.28515625" style="1" customWidth="1"/>
    <col min="10470" max="10470" width="26.7109375" style="1" customWidth="1"/>
    <col min="10471" max="10471" width="27" style="1" customWidth="1"/>
    <col min="10472" max="10472" width="18.7109375" style="1" customWidth="1"/>
    <col min="10473" max="10473" width="25.28515625" style="1" customWidth="1"/>
    <col min="10474" max="10474" width="26.85546875" style="1" customWidth="1"/>
    <col min="10475" max="10475" width="22" style="1" customWidth="1"/>
    <col min="10476" max="10476" width="21.7109375" style="1" customWidth="1"/>
    <col min="10477" max="10721" width="9.140625" style="1"/>
    <col min="10722" max="10722" width="42.140625" style="1" customWidth="1"/>
    <col min="10723" max="10723" width="78.140625" style="1" customWidth="1"/>
    <col min="10724" max="10724" width="11" style="1" customWidth="1"/>
    <col min="10725" max="10725" width="23.28515625" style="1" customWidth="1"/>
    <col min="10726" max="10726" width="26.7109375" style="1" customWidth="1"/>
    <col min="10727" max="10727" width="27" style="1" customWidth="1"/>
    <col min="10728" max="10728" width="18.7109375" style="1" customWidth="1"/>
    <col min="10729" max="10729" width="25.28515625" style="1" customWidth="1"/>
    <col min="10730" max="10730" width="26.85546875" style="1" customWidth="1"/>
    <col min="10731" max="10731" width="22" style="1" customWidth="1"/>
    <col min="10732" max="10732" width="21.7109375" style="1" customWidth="1"/>
    <col min="10733" max="10977" width="9.140625" style="1"/>
    <col min="10978" max="10978" width="42.140625" style="1" customWidth="1"/>
    <col min="10979" max="10979" width="78.140625" style="1" customWidth="1"/>
    <col min="10980" max="10980" width="11" style="1" customWidth="1"/>
    <col min="10981" max="10981" width="23.28515625" style="1" customWidth="1"/>
    <col min="10982" max="10982" width="26.7109375" style="1" customWidth="1"/>
    <col min="10983" max="10983" width="27" style="1" customWidth="1"/>
    <col min="10984" max="10984" width="18.7109375" style="1" customWidth="1"/>
    <col min="10985" max="10985" width="25.28515625" style="1" customWidth="1"/>
    <col min="10986" max="10986" width="26.85546875" style="1" customWidth="1"/>
    <col min="10987" max="10987" width="22" style="1" customWidth="1"/>
    <col min="10988" max="10988" width="21.7109375" style="1" customWidth="1"/>
    <col min="10989" max="11233" width="9.140625" style="1"/>
    <col min="11234" max="11234" width="42.140625" style="1" customWidth="1"/>
    <col min="11235" max="11235" width="78.140625" style="1" customWidth="1"/>
    <col min="11236" max="11236" width="11" style="1" customWidth="1"/>
    <col min="11237" max="11237" width="23.28515625" style="1" customWidth="1"/>
    <col min="11238" max="11238" width="26.7109375" style="1" customWidth="1"/>
    <col min="11239" max="11239" width="27" style="1" customWidth="1"/>
    <col min="11240" max="11240" width="18.7109375" style="1" customWidth="1"/>
    <col min="11241" max="11241" width="25.28515625" style="1" customWidth="1"/>
    <col min="11242" max="11242" width="26.85546875" style="1" customWidth="1"/>
    <col min="11243" max="11243" width="22" style="1" customWidth="1"/>
    <col min="11244" max="11244" width="21.7109375" style="1" customWidth="1"/>
    <col min="11245" max="11489" width="9.140625" style="1"/>
    <col min="11490" max="11490" width="42.140625" style="1" customWidth="1"/>
    <col min="11491" max="11491" width="78.140625" style="1" customWidth="1"/>
    <col min="11492" max="11492" width="11" style="1" customWidth="1"/>
    <col min="11493" max="11493" width="23.28515625" style="1" customWidth="1"/>
    <col min="11494" max="11494" width="26.7109375" style="1" customWidth="1"/>
    <col min="11495" max="11495" width="27" style="1" customWidth="1"/>
    <col min="11496" max="11496" width="18.7109375" style="1" customWidth="1"/>
    <col min="11497" max="11497" width="25.28515625" style="1" customWidth="1"/>
    <col min="11498" max="11498" width="26.85546875" style="1" customWidth="1"/>
    <col min="11499" max="11499" width="22" style="1" customWidth="1"/>
    <col min="11500" max="11500" width="21.7109375" style="1" customWidth="1"/>
    <col min="11501" max="11745" width="9.140625" style="1"/>
    <col min="11746" max="11746" width="42.140625" style="1" customWidth="1"/>
    <col min="11747" max="11747" width="78.140625" style="1" customWidth="1"/>
    <col min="11748" max="11748" width="11" style="1" customWidth="1"/>
    <col min="11749" max="11749" width="23.28515625" style="1" customWidth="1"/>
    <col min="11750" max="11750" width="26.7109375" style="1" customWidth="1"/>
    <col min="11751" max="11751" width="27" style="1" customWidth="1"/>
    <col min="11752" max="11752" width="18.7109375" style="1" customWidth="1"/>
    <col min="11753" max="11753" width="25.28515625" style="1" customWidth="1"/>
    <col min="11754" max="11754" width="26.85546875" style="1" customWidth="1"/>
    <col min="11755" max="11755" width="22" style="1" customWidth="1"/>
    <col min="11756" max="11756" width="21.7109375" style="1" customWidth="1"/>
    <col min="11757" max="12001" width="9.140625" style="1"/>
    <col min="12002" max="12002" width="42.140625" style="1" customWidth="1"/>
    <col min="12003" max="12003" width="78.140625" style="1" customWidth="1"/>
    <col min="12004" max="12004" width="11" style="1" customWidth="1"/>
    <col min="12005" max="12005" width="23.28515625" style="1" customWidth="1"/>
    <col min="12006" max="12006" width="26.7109375" style="1" customWidth="1"/>
    <col min="12007" max="12007" width="27" style="1" customWidth="1"/>
    <col min="12008" max="12008" width="18.7109375" style="1" customWidth="1"/>
    <col min="12009" max="12009" width="25.28515625" style="1" customWidth="1"/>
    <col min="12010" max="12010" width="26.85546875" style="1" customWidth="1"/>
    <col min="12011" max="12011" width="22" style="1" customWidth="1"/>
    <col min="12012" max="12012" width="21.7109375" style="1" customWidth="1"/>
    <col min="12013" max="12257" width="9.140625" style="1"/>
    <col min="12258" max="12258" width="42.140625" style="1" customWidth="1"/>
    <col min="12259" max="12259" width="78.140625" style="1" customWidth="1"/>
    <col min="12260" max="12260" width="11" style="1" customWidth="1"/>
    <col min="12261" max="12261" width="23.28515625" style="1" customWidth="1"/>
    <col min="12262" max="12262" width="26.7109375" style="1" customWidth="1"/>
    <col min="12263" max="12263" width="27" style="1" customWidth="1"/>
    <col min="12264" max="12264" width="18.7109375" style="1" customWidth="1"/>
    <col min="12265" max="12265" width="25.28515625" style="1" customWidth="1"/>
    <col min="12266" max="12266" width="26.85546875" style="1" customWidth="1"/>
    <col min="12267" max="12267" width="22" style="1" customWidth="1"/>
    <col min="12268" max="12268" width="21.7109375" style="1" customWidth="1"/>
    <col min="12269" max="12513" width="9.140625" style="1"/>
    <col min="12514" max="12514" width="42.140625" style="1" customWidth="1"/>
    <col min="12515" max="12515" width="78.140625" style="1" customWidth="1"/>
    <col min="12516" max="12516" width="11" style="1" customWidth="1"/>
    <col min="12517" max="12517" width="23.28515625" style="1" customWidth="1"/>
    <col min="12518" max="12518" width="26.7109375" style="1" customWidth="1"/>
    <col min="12519" max="12519" width="27" style="1" customWidth="1"/>
    <col min="12520" max="12520" width="18.7109375" style="1" customWidth="1"/>
    <col min="12521" max="12521" width="25.28515625" style="1" customWidth="1"/>
    <col min="12522" max="12522" width="26.85546875" style="1" customWidth="1"/>
    <col min="12523" max="12523" width="22" style="1" customWidth="1"/>
    <col min="12524" max="12524" width="21.7109375" style="1" customWidth="1"/>
    <col min="12525" max="12769" width="9.140625" style="1"/>
    <col min="12770" max="12770" width="42.140625" style="1" customWidth="1"/>
    <col min="12771" max="12771" width="78.140625" style="1" customWidth="1"/>
    <col min="12772" max="12772" width="11" style="1" customWidth="1"/>
    <col min="12773" max="12773" width="23.28515625" style="1" customWidth="1"/>
    <col min="12774" max="12774" width="26.7109375" style="1" customWidth="1"/>
    <col min="12775" max="12775" width="27" style="1" customWidth="1"/>
    <col min="12776" max="12776" width="18.7109375" style="1" customWidth="1"/>
    <col min="12777" max="12777" width="25.28515625" style="1" customWidth="1"/>
    <col min="12778" max="12778" width="26.85546875" style="1" customWidth="1"/>
    <col min="12779" max="12779" width="22" style="1" customWidth="1"/>
    <col min="12780" max="12780" width="21.7109375" style="1" customWidth="1"/>
    <col min="12781" max="13025" width="9.140625" style="1"/>
    <col min="13026" max="13026" width="42.140625" style="1" customWidth="1"/>
    <col min="13027" max="13027" width="78.140625" style="1" customWidth="1"/>
    <col min="13028" max="13028" width="11" style="1" customWidth="1"/>
    <col min="13029" max="13029" width="23.28515625" style="1" customWidth="1"/>
    <col min="13030" max="13030" width="26.7109375" style="1" customWidth="1"/>
    <col min="13031" max="13031" width="27" style="1" customWidth="1"/>
    <col min="13032" max="13032" width="18.7109375" style="1" customWidth="1"/>
    <col min="13033" max="13033" width="25.28515625" style="1" customWidth="1"/>
    <col min="13034" max="13034" width="26.85546875" style="1" customWidth="1"/>
    <col min="13035" max="13035" width="22" style="1" customWidth="1"/>
    <col min="13036" max="13036" width="21.7109375" style="1" customWidth="1"/>
    <col min="13037" max="13281" width="9.140625" style="1"/>
    <col min="13282" max="13282" width="42.140625" style="1" customWidth="1"/>
    <col min="13283" max="13283" width="78.140625" style="1" customWidth="1"/>
    <col min="13284" max="13284" width="11" style="1" customWidth="1"/>
    <col min="13285" max="13285" width="23.28515625" style="1" customWidth="1"/>
    <col min="13286" max="13286" width="26.7109375" style="1" customWidth="1"/>
    <col min="13287" max="13287" width="27" style="1" customWidth="1"/>
    <col min="13288" max="13288" width="18.7109375" style="1" customWidth="1"/>
    <col min="13289" max="13289" width="25.28515625" style="1" customWidth="1"/>
    <col min="13290" max="13290" width="26.85546875" style="1" customWidth="1"/>
    <col min="13291" max="13291" width="22" style="1" customWidth="1"/>
    <col min="13292" max="13292" width="21.7109375" style="1" customWidth="1"/>
    <col min="13293" max="13537" width="9.140625" style="1"/>
    <col min="13538" max="13538" width="42.140625" style="1" customWidth="1"/>
    <col min="13539" max="13539" width="78.140625" style="1" customWidth="1"/>
    <col min="13540" max="13540" width="11" style="1" customWidth="1"/>
    <col min="13541" max="13541" width="23.28515625" style="1" customWidth="1"/>
    <col min="13542" max="13542" width="26.7109375" style="1" customWidth="1"/>
    <col min="13543" max="13543" width="27" style="1" customWidth="1"/>
    <col min="13544" max="13544" width="18.7109375" style="1" customWidth="1"/>
    <col min="13545" max="13545" width="25.28515625" style="1" customWidth="1"/>
    <col min="13546" max="13546" width="26.85546875" style="1" customWidth="1"/>
    <col min="13547" max="13547" width="22" style="1" customWidth="1"/>
    <col min="13548" max="13548" width="21.7109375" style="1" customWidth="1"/>
    <col min="13549" max="13793" width="9.140625" style="1"/>
    <col min="13794" max="13794" width="42.140625" style="1" customWidth="1"/>
    <col min="13795" max="13795" width="78.140625" style="1" customWidth="1"/>
    <col min="13796" max="13796" width="11" style="1" customWidth="1"/>
    <col min="13797" max="13797" width="23.28515625" style="1" customWidth="1"/>
    <col min="13798" max="13798" width="26.7109375" style="1" customWidth="1"/>
    <col min="13799" max="13799" width="27" style="1" customWidth="1"/>
    <col min="13800" max="13800" width="18.7109375" style="1" customWidth="1"/>
    <col min="13801" max="13801" width="25.28515625" style="1" customWidth="1"/>
    <col min="13802" max="13802" width="26.85546875" style="1" customWidth="1"/>
    <col min="13803" max="13803" width="22" style="1" customWidth="1"/>
    <col min="13804" max="13804" width="21.7109375" style="1" customWidth="1"/>
    <col min="13805" max="14049" width="9.140625" style="1"/>
    <col min="14050" max="14050" width="42.140625" style="1" customWidth="1"/>
    <col min="14051" max="14051" width="78.140625" style="1" customWidth="1"/>
    <col min="14052" max="14052" width="11" style="1" customWidth="1"/>
    <col min="14053" max="14053" width="23.28515625" style="1" customWidth="1"/>
    <col min="14054" max="14054" width="26.7109375" style="1" customWidth="1"/>
    <col min="14055" max="14055" width="27" style="1" customWidth="1"/>
    <col min="14056" max="14056" width="18.7109375" style="1" customWidth="1"/>
    <col min="14057" max="14057" width="25.28515625" style="1" customWidth="1"/>
    <col min="14058" max="14058" width="26.85546875" style="1" customWidth="1"/>
    <col min="14059" max="14059" width="22" style="1" customWidth="1"/>
    <col min="14060" max="14060" width="21.7109375" style="1" customWidth="1"/>
    <col min="14061" max="14305" width="9.140625" style="1"/>
    <col min="14306" max="14306" width="42.140625" style="1" customWidth="1"/>
    <col min="14307" max="14307" width="78.140625" style="1" customWidth="1"/>
    <col min="14308" max="14308" width="11" style="1" customWidth="1"/>
    <col min="14309" max="14309" width="23.28515625" style="1" customWidth="1"/>
    <col min="14310" max="14310" width="26.7109375" style="1" customWidth="1"/>
    <col min="14311" max="14311" width="27" style="1" customWidth="1"/>
    <col min="14312" max="14312" width="18.7109375" style="1" customWidth="1"/>
    <col min="14313" max="14313" width="25.28515625" style="1" customWidth="1"/>
    <col min="14314" max="14314" width="26.85546875" style="1" customWidth="1"/>
    <col min="14315" max="14315" width="22" style="1" customWidth="1"/>
    <col min="14316" max="14316" width="21.7109375" style="1" customWidth="1"/>
    <col min="14317" max="14561" width="9.140625" style="1"/>
    <col min="14562" max="14562" width="42.140625" style="1" customWidth="1"/>
    <col min="14563" max="14563" width="78.140625" style="1" customWidth="1"/>
    <col min="14564" max="14564" width="11" style="1" customWidth="1"/>
    <col min="14565" max="14565" width="23.28515625" style="1" customWidth="1"/>
    <col min="14566" max="14566" width="26.7109375" style="1" customWidth="1"/>
    <col min="14567" max="14567" width="27" style="1" customWidth="1"/>
    <col min="14568" max="14568" width="18.7109375" style="1" customWidth="1"/>
    <col min="14569" max="14569" width="25.28515625" style="1" customWidth="1"/>
    <col min="14570" max="14570" width="26.85546875" style="1" customWidth="1"/>
    <col min="14571" max="14571" width="22" style="1" customWidth="1"/>
    <col min="14572" max="14572" width="21.7109375" style="1" customWidth="1"/>
    <col min="14573" max="14817" width="9.140625" style="1"/>
    <col min="14818" max="14818" width="42.140625" style="1" customWidth="1"/>
    <col min="14819" max="14819" width="78.140625" style="1" customWidth="1"/>
    <col min="14820" max="14820" width="11" style="1" customWidth="1"/>
    <col min="14821" max="14821" width="23.28515625" style="1" customWidth="1"/>
    <col min="14822" max="14822" width="26.7109375" style="1" customWidth="1"/>
    <col min="14823" max="14823" width="27" style="1" customWidth="1"/>
    <col min="14824" max="14824" width="18.7109375" style="1" customWidth="1"/>
    <col min="14825" max="14825" width="25.28515625" style="1" customWidth="1"/>
    <col min="14826" max="14826" width="26.85546875" style="1" customWidth="1"/>
    <col min="14827" max="14827" width="22" style="1" customWidth="1"/>
    <col min="14828" max="14828" width="21.7109375" style="1" customWidth="1"/>
    <col min="14829" max="15073" width="9.140625" style="1"/>
    <col min="15074" max="15074" width="42.140625" style="1" customWidth="1"/>
    <col min="15075" max="15075" width="78.140625" style="1" customWidth="1"/>
    <col min="15076" max="15076" width="11" style="1" customWidth="1"/>
    <col min="15077" max="15077" width="23.28515625" style="1" customWidth="1"/>
    <col min="15078" max="15078" width="26.7109375" style="1" customWidth="1"/>
    <col min="15079" max="15079" width="27" style="1" customWidth="1"/>
    <col min="15080" max="15080" width="18.7109375" style="1" customWidth="1"/>
    <col min="15081" max="15081" width="25.28515625" style="1" customWidth="1"/>
    <col min="15082" max="15082" width="26.85546875" style="1" customWidth="1"/>
    <col min="15083" max="15083" width="22" style="1" customWidth="1"/>
    <col min="15084" max="15084" width="21.7109375" style="1" customWidth="1"/>
    <col min="15085" max="15329" width="9.140625" style="1"/>
    <col min="15330" max="15330" width="42.140625" style="1" customWidth="1"/>
    <col min="15331" max="15331" width="78.140625" style="1" customWidth="1"/>
    <col min="15332" max="15332" width="11" style="1" customWidth="1"/>
    <col min="15333" max="15333" width="23.28515625" style="1" customWidth="1"/>
    <col min="15334" max="15334" width="26.7109375" style="1" customWidth="1"/>
    <col min="15335" max="15335" width="27" style="1" customWidth="1"/>
    <col min="15336" max="15336" width="18.7109375" style="1" customWidth="1"/>
    <col min="15337" max="15337" width="25.28515625" style="1" customWidth="1"/>
    <col min="15338" max="15338" width="26.85546875" style="1" customWidth="1"/>
    <col min="15339" max="15339" width="22" style="1" customWidth="1"/>
    <col min="15340" max="15340" width="21.7109375" style="1" customWidth="1"/>
    <col min="15341" max="15585" width="9.140625" style="1"/>
    <col min="15586" max="15586" width="42.140625" style="1" customWidth="1"/>
    <col min="15587" max="15587" width="78.140625" style="1" customWidth="1"/>
    <col min="15588" max="15588" width="11" style="1" customWidth="1"/>
    <col min="15589" max="15589" width="23.28515625" style="1" customWidth="1"/>
    <col min="15590" max="15590" width="26.7109375" style="1" customWidth="1"/>
    <col min="15591" max="15591" width="27" style="1" customWidth="1"/>
    <col min="15592" max="15592" width="18.7109375" style="1" customWidth="1"/>
    <col min="15593" max="15593" width="25.28515625" style="1" customWidth="1"/>
    <col min="15594" max="15594" width="26.85546875" style="1" customWidth="1"/>
    <col min="15595" max="15595" width="22" style="1" customWidth="1"/>
    <col min="15596" max="15596" width="21.7109375" style="1" customWidth="1"/>
    <col min="15597" max="15841" width="9.140625" style="1"/>
    <col min="15842" max="15842" width="42.140625" style="1" customWidth="1"/>
    <col min="15843" max="15843" width="78.140625" style="1" customWidth="1"/>
    <col min="15844" max="15844" width="11" style="1" customWidth="1"/>
    <col min="15845" max="15845" width="23.28515625" style="1" customWidth="1"/>
    <col min="15846" max="15846" width="26.7109375" style="1" customWidth="1"/>
    <col min="15847" max="15847" width="27" style="1" customWidth="1"/>
    <col min="15848" max="15848" width="18.7109375" style="1" customWidth="1"/>
    <col min="15849" max="15849" width="25.28515625" style="1" customWidth="1"/>
    <col min="15850" max="15850" width="26.85546875" style="1" customWidth="1"/>
    <col min="15851" max="15851" width="22" style="1" customWidth="1"/>
    <col min="15852" max="15852" width="21.7109375" style="1" customWidth="1"/>
    <col min="15853" max="16097" width="9.140625" style="1"/>
    <col min="16098" max="16098" width="42.140625" style="1" customWidth="1"/>
    <col min="16099" max="16099" width="78.140625" style="1" customWidth="1"/>
    <col min="16100" max="16100" width="11" style="1" customWidth="1"/>
    <col min="16101" max="16101" width="23.28515625" style="1" customWidth="1"/>
    <col min="16102" max="16102" width="26.7109375" style="1" customWidth="1"/>
    <col min="16103" max="16103" width="27" style="1" customWidth="1"/>
    <col min="16104" max="16104" width="18.7109375" style="1" customWidth="1"/>
    <col min="16105" max="16105" width="25.28515625" style="1" customWidth="1"/>
    <col min="16106" max="16106" width="26.85546875" style="1" customWidth="1"/>
    <col min="16107" max="16107" width="22" style="1" customWidth="1"/>
    <col min="16108" max="16108" width="21.7109375" style="1" customWidth="1"/>
    <col min="16109" max="16384" width="9.140625" style="1"/>
  </cols>
  <sheetData>
    <row r="1" spans="1:15" ht="39.6" customHeight="1" thickBot="1" x14ac:dyDescent="0.3">
      <c r="A1" s="517" t="s">
        <v>2116</v>
      </c>
      <c r="B1" s="518"/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8"/>
      <c r="N1" s="518"/>
      <c r="O1" s="213">
        <f ca="1">TODAY()</f>
        <v>46266</v>
      </c>
    </row>
    <row r="2" spans="1:15" ht="32.25" thickBot="1" x14ac:dyDescent="0.3">
      <c r="A2" s="214"/>
      <c r="B2" s="519" t="s">
        <v>414</v>
      </c>
      <c r="C2" s="519"/>
      <c r="D2" s="519"/>
      <c r="E2" s="519"/>
      <c r="F2" s="519"/>
      <c r="G2" s="519"/>
      <c r="H2" s="519"/>
      <c r="I2" s="519"/>
      <c r="J2" s="519"/>
      <c r="K2" s="215"/>
      <c r="L2" s="215"/>
      <c r="M2" s="520" t="s">
        <v>415</v>
      </c>
      <c r="N2" s="520"/>
      <c r="O2" s="520"/>
    </row>
    <row r="3" spans="1:15" s="210" customFormat="1" ht="63.75" thickBot="1" x14ac:dyDescent="0.3">
      <c r="A3" s="216" t="s">
        <v>2117</v>
      </c>
      <c r="B3" s="217" t="s">
        <v>416</v>
      </c>
      <c r="C3" s="218" t="s">
        <v>5</v>
      </c>
      <c r="D3" s="219" t="s">
        <v>18</v>
      </c>
      <c r="E3" s="220" t="s">
        <v>3</v>
      </c>
      <c r="F3" s="221" t="s">
        <v>14</v>
      </c>
      <c r="G3" s="222" t="s">
        <v>13</v>
      </c>
      <c r="H3" s="223" t="s">
        <v>5469</v>
      </c>
      <c r="I3" s="224" t="s">
        <v>417</v>
      </c>
      <c r="J3" s="225" t="s">
        <v>418</v>
      </c>
      <c r="K3" s="226" t="s">
        <v>5468</v>
      </c>
      <c r="L3" s="226" t="s">
        <v>508</v>
      </c>
      <c r="M3" s="227" t="s">
        <v>419</v>
      </c>
      <c r="N3" s="228" t="s">
        <v>5475</v>
      </c>
      <c r="O3" s="229" t="s">
        <v>5495</v>
      </c>
    </row>
    <row r="4" spans="1:15" s="211" customFormat="1" ht="42" customHeight="1" thickBot="1" x14ac:dyDescent="0.3">
      <c r="A4" s="230" t="s">
        <v>2118</v>
      </c>
      <c r="B4" s="230">
        <f>'CIV - MAT'!G6</f>
        <v>1</v>
      </c>
      <c r="C4" s="231">
        <f>'CIV - MAT'!B6</f>
        <v>49</v>
      </c>
      <c r="D4" s="231">
        <f>'CIV - MAT'!C6</f>
        <v>8</v>
      </c>
      <c r="E4" s="231">
        <f>'CIV - MAT'!D6</f>
        <v>0</v>
      </c>
      <c r="F4" s="231">
        <f>'CIV - MAT'!E6</f>
        <v>1</v>
      </c>
      <c r="G4" s="231">
        <f>'CIV - MAT'!F6</f>
        <v>0</v>
      </c>
      <c r="H4" s="231">
        <f>'CIV - MAT'!H6</f>
        <v>0</v>
      </c>
      <c r="I4" s="230"/>
      <c r="J4" s="230"/>
      <c r="K4" s="230">
        <f>'CIV - MAT'!I6</f>
        <v>0</v>
      </c>
      <c r="L4" s="230">
        <f>'CIV - MAT'!J6</f>
        <v>31</v>
      </c>
      <c r="M4" s="231">
        <f t="shared" ref="M4:M13" si="0">SUM(B4:J4)</f>
        <v>59</v>
      </c>
      <c r="N4" s="230">
        <f>SUM(B4:L4)</f>
        <v>90</v>
      </c>
      <c r="O4" s="232">
        <f>(C4+D4+G4)/M4</f>
        <v>0.96610169491525422</v>
      </c>
    </row>
    <row r="5" spans="1:15" s="211" customFormat="1" ht="42" customHeight="1" thickBot="1" x14ac:dyDescent="0.3">
      <c r="A5" s="230" t="s">
        <v>5470</v>
      </c>
      <c r="B5" s="230">
        <f>'STR - MAT'!G6</f>
        <v>0</v>
      </c>
      <c r="C5" s="231">
        <f>'STR - MAT'!B6</f>
        <v>13</v>
      </c>
      <c r="D5" s="231">
        <f>'STR - MAT'!C6</f>
        <v>5</v>
      </c>
      <c r="E5" s="231">
        <f>'STR - MAT'!D6</f>
        <v>1</v>
      </c>
      <c r="F5" s="231">
        <f>'STR - MAT'!E6</f>
        <v>0</v>
      </c>
      <c r="G5" s="231">
        <f>'STR - MAT'!F6</f>
        <v>0</v>
      </c>
      <c r="H5" s="231">
        <f>'STR - MAT'!H6</f>
        <v>0</v>
      </c>
      <c r="I5" s="230"/>
      <c r="J5" s="230"/>
      <c r="K5" s="230">
        <f>'STR - MAT'!I6</f>
        <v>0</v>
      </c>
      <c r="L5" s="230">
        <f>'STR - MAT'!J6</f>
        <v>3</v>
      </c>
      <c r="M5" s="231">
        <f t="shared" si="0"/>
        <v>19</v>
      </c>
      <c r="N5" s="230">
        <f t="shared" ref="N5:N11" si="1">SUM(B5:L5)</f>
        <v>22</v>
      </c>
      <c r="O5" s="232">
        <f t="shared" ref="O5:O13" si="2">(C5+D5+G5)/M5</f>
        <v>0.94736842105263153</v>
      </c>
    </row>
    <row r="6" spans="1:15" s="211" customFormat="1" ht="42" customHeight="1" thickBot="1" x14ac:dyDescent="0.3">
      <c r="A6" s="230" t="s">
        <v>5471</v>
      </c>
      <c r="B6" s="230">
        <f>'ELE - MAT'!G6</f>
        <v>1</v>
      </c>
      <c r="C6" s="231">
        <f>'ELE - MAT'!B6</f>
        <v>34</v>
      </c>
      <c r="D6" s="231">
        <f>'ELE - MAT'!C6</f>
        <v>2</v>
      </c>
      <c r="E6" s="231">
        <f>'ELE - MAT'!D6</f>
        <v>2</v>
      </c>
      <c r="F6" s="231">
        <f>'ELE - MAT'!E6</f>
        <v>0</v>
      </c>
      <c r="G6" s="231">
        <f>'ELE - MAT'!F6</f>
        <v>0</v>
      </c>
      <c r="H6" s="231">
        <f>'ELE - MAT'!H6</f>
        <v>1</v>
      </c>
      <c r="I6" s="230"/>
      <c r="J6" s="230"/>
      <c r="K6" s="230">
        <f>'ELE - MAT'!I6</f>
        <v>0</v>
      </c>
      <c r="L6" s="230">
        <f>'ELE - MAT'!J6</f>
        <v>21</v>
      </c>
      <c r="M6" s="231">
        <f t="shared" si="0"/>
        <v>40</v>
      </c>
      <c r="N6" s="230">
        <f t="shared" si="1"/>
        <v>61</v>
      </c>
      <c r="O6" s="232">
        <f t="shared" si="2"/>
        <v>0.9</v>
      </c>
    </row>
    <row r="7" spans="1:15" s="211" customFormat="1" ht="42" customHeight="1" thickBot="1" x14ac:dyDescent="0.3">
      <c r="A7" s="230" t="s">
        <v>5472</v>
      </c>
      <c r="B7" s="230">
        <f>'ARC - MAT'!G6</f>
        <v>6</v>
      </c>
      <c r="C7" s="231">
        <f>'ARC - MAT'!B6</f>
        <v>70</v>
      </c>
      <c r="D7" s="231">
        <f>'ARC - MAT'!C6</f>
        <v>5</v>
      </c>
      <c r="E7" s="231">
        <f>'ARC - MAT'!D6</f>
        <v>8</v>
      </c>
      <c r="F7" s="231">
        <f>'ARC - MAT'!E6</f>
        <v>0</v>
      </c>
      <c r="G7" s="231">
        <f>'ARC - MAT'!F6</f>
        <v>0</v>
      </c>
      <c r="H7" s="231">
        <f>'ARC - MAT'!H6</f>
        <v>0</v>
      </c>
      <c r="I7" s="230"/>
      <c r="J7" s="230"/>
      <c r="K7" s="230">
        <f>'ARC - MAT'!I6</f>
        <v>0</v>
      </c>
      <c r="L7" s="230">
        <f>'ARC - MAT'!J6</f>
        <v>44</v>
      </c>
      <c r="M7" s="231">
        <f t="shared" si="0"/>
        <v>89</v>
      </c>
      <c r="N7" s="230">
        <f>SUM(B7:L7)</f>
        <v>133</v>
      </c>
      <c r="O7" s="232">
        <f t="shared" si="2"/>
        <v>0.84269662921348309</v>
      </c>
    </row>
    <row r="8" spans="1:15" s="211" customFormat="1" ht="42" customHeight="1" thickBot="1" x14ac:dyDescent="0.3">
      <c r="A8" s="230" t="s">
        <v>5473</v>
      </c>
      <c r="B8" s="230">
        <f>'MEC- MAT'!G6</f>
        <v>10</v>
      </c>
      <c r="C8" s="231">
        <f>'MEC- MAT'!B6</f>
        <v>86</v>
      </c>
      <c r="D8" s="231">
        <f>'MEC- MAT'!C6</f>
        <v>13</v>
      </c>
      <c r="E8" s="231">
        <f>'MEC- MAT'!D6</f>
        <v>5</v>
      </c>
      <c r="F8" s="231">
        <f>'MEC- MAT'!E6</f>
        <v>0</v>
      </c>
      <c r="G8" s="231">
        <f>'MEC- MAT'!F6</f>
        <v>0</v>
      </c>
      <c r="H8" s="231">
        <f>'MEC- MAT'!H6</f>
        <v>0</v>
      </c>
      <c r="I8" s="230"/>
      <c r="J8" s="230"/>
      <c r="K8" s="230">
        <f>'MEC- MAT'!I6</f>
        <v>0</v>
      </c>
      <c r="L8" s="230">
        <f>'MEC- MAT'!J6</f>
        <v>21</v>
      </c>
      <c r="M8" s="231">
        <f t="shared" si="0"/>
        <v>114</v>
      </c>
      <c r="N8" s="230">
        <f t="shared" si="1"/>
        <v>135</v>
      </c>
      <c r="O8" s="232">
        <f t="shared" si="2"/>
        <v>0.86842105263157898</v>
      </c>
    </row>
    <row r="9" spans="1:15" s="211" customFormat="1" ht="42" customHeight="1" thickBot="1" x14ac:dyDescent="0.3">
      <c r="A9" s="230" t="s">
        <v>5474</v>
      </c>
      <c r="B9" s="230">
        <f>'SEC- MAT'!G6</f>
        <v>0</v>
      </c>
      <c r="C9" s="231">
        <f>'SEC- MAT'!B6</f>
        <v>1</v>
      </c>
      <c r="D9" s="231">
        <f>'SEC- MAT'!C6</f>
        <v>1</v>
      </c>
      <c r="E9" s="231">
        <f>'SEC- MAT'!D6</f>
        <v>0</v>
      </c>
      <c r="F9" s="231">
        <f>'SEC- MAT'!E6</f>
        <v>0</v>
      </c>
      <c r="G9" s="231">
        <f>'SEC- MAT'!F6</f>
        <v>0</v>
      </c>
      <c r="H9" s="231">
        <f>'SEC- MAT'!H6</f>
        <v>0</v>
      </c>
      <c r="I9" s="230"/>
      <c r="J9" s="230"/>
      <c r="K9" s="230">
        <f>'SEC- MAT'!I6</f>
        <v>0</v>
      </c>
      <c r="L9" s="230">
        <f>'SEC- MAT'!J6</f>
        <v>2</v>
      </c>
      <c r="M9" s="231">
        <f t="shared" si="0"/>
        <v>2</v>
      </c>
      <c r="N9" s="230">
        <f t="shared" si="1"/>
        <v>4</v>
      </c>
      <c r="O9" s="232">
        <f t="shared" si="2"/>
        <v>1</v>
      </c>
    </row>
    <row r="10" spans="1:15" s="211" customFormat="1" ht="42" customHeight="1" thickBot="1" x14ac:dyDescent="0.3">
      <c r="A10" s="230" t="s">
        <v>5488</v>
      </c>
      <c r="B10" s="230">
        <f>'FPR - MAT'!G6</f>
        <v>1</v>
      </c>
      <c r="C10" s="231">
        <f>'FPR - MAT'!B6</f>
        <v>1</v>
      </c>
      <c r="D10" s="231">
        <f>'FPR - MAT'!C6</f>
        <v>0</v>
      </c>
      <c r="E10" s="231">
        <f>'FPR - MAT'!D6</f>
        <v>0</v>
      </c>
      <c r="F10" s="231">
        <f>'FPR - MAT'!E6</f>
        <v>0</v>
      </c>
      <c r="G10" s="231">
        <f>'FPR - MAT'!F6</f>
        <v>0</v>
      </c>
      <c r="H10" s="231">
        <f>'FPR - MAT'!H6</f>
        <v>0</v>
      </c>
      <c r="I10" s="230"/>
      <c r="J10" s="230"/>
      <c r="K10" s="230">
        <f>'FPR - MAT'!I6</f>
        <v>0</v>
      </c>
      <c r="L10" s="230">
        <f>'FPR - MAT'!J6</f>
        <v>0</v>
      </c>
      <c r="M10" s="231">
        <f t="shared" si="0"/>
        <v>2</v>
      </c>
      <c r="N10" s="230">
        <f t="shared" si="1"/>
        <v>2</v>
      </c>
      <c r="O10" s="232">
        <f t="shared" si="2"/>
        <v>0.5</v>
      </c>
    </row>
    <row r="11" spans="1:15" s="211" customFormat="1" ht="42" customHeight="1" thickBot="1" x14ac:dyDescent="0.3">
      <c r="A11" s="230" t="s">
        <v>5489</v>
      </c>
      <c r="B11" s="230">
        <f>'ICT - MAT'!G6</f>
        <v>1</v>
      </c>
      <c r="C11" s="231">
        <f>'ICT - MAT'!B6</f>
        <v>2</v>
      </c>
      <c r="D11" s="231">
        <f>'ICT - MAT'!C6</f>
        <v>1</v>
      </c>
      <c r="E11" s="231">
        <f>'ICT - MAT'!D6</f>
        <v>0</v>
      </c>
      <c r="F11" s="231">
        <f>'ICT - MAT'!E6</f>
        <v>0</v>
      </c>
      <c r="G11" s="231">
        <f>'ICT - MAT'!F6</f>
        <v>0</v>
      </c>
      <c r="H11" s="231">
        <f>'ICT - MAT'!H6</f>
        <v>0</v>
      </c>
      <c r="I11" s="230"/>
      <c r="J11" s="230"/>
      <c r="K11" s="230">
        <f>'ICT - MAT'!I6</f>
        <v>0</v>
      </c>
      <c r="L11" s="230">
        <f>'ICT - MAT'!J6</f>
        <v>0</v>
      </c>
      <c r="M11" s="231">
        <f t="shared" si="0"/>
        <v>4</v>
      </c>
      <c r="N11" s="230">
        <f t="shared" si="1"/>
        <v>4</v>
      </c>
      <c r="O11" s="232">
        <f t="shared" si="2"/>
        <v>0.75</v>
      </c>
    </row>
    <row r="12" spans="1:15" s="211" customFormat="1" ht="42" customHeight="1" thickBot="1" x14ac:dyDescent="0.3">
      <c r="A12" s="230" t="s">
        <v>5490</v>
      </c>
      <c r="B12" s="230">
        <f>'LAN - MAT'!G6</f>
        <v>0</v>
      </c>
      <c r="C12" s="231">
        <f>'LAN - MAT'!B6</f>
        <v>6</v>
      </c>
      <c r="D12" s="231">
        <f>'LAN - MAT'!C6</f>
        <v>5</v>
      </c>
      <c r="E12" s="231">
        <f>'LAN - MAT'!D6</f>
        <v>0</v>
      </c>
      <c r="F12" s="231">
        <f>'LAN - MAT'!E6</f>
        <v>0</v>
      </c>
      <c r="G12" s="231">
        <f>'LAN - MAT'!F6</f>
        <v>0</v>
      </c>
      <c r="H12" s="231">
        <f>'LAN - MAT'!H6</f>
        <v>0</v>
      </c>
      <c r="I12" s="230"/>
      <c r="J12" s="230"/>
      <c r="K12" s="230">
        <f>'LAN - MAT'!I6</f>
        <v>0</v>
      </c>
      <c r="L12" s="230">
        <f>'LAN - MAT'!J6</f>
        <v>2</v>
      </c>
      <c r="M12" s="231">
        <f t="shared" si="0"/>
        <v>11</v>
      </c>
      <c r="N12" s="230">
        <f>SUM(B12:L12)</f>
        <v>13</v>
      </c>
      <c r="O12" s="232">
        <f t="shared" si="2"/>
        <v>1</v>
      </c>
    </row>
    <row r="13" spans="1:15" s="211" customFormat="1" ht="42" customHeight="1" thickBot="1" x14ac:dyDescent="0.3">
      <c r="A13" s="230" t="s">
        <v>5491</v>
      </c>
      <c r="B13" s="230">
        <f>'ELV - MAT'!G6</f>
        <v>0</v>
      </c>
      <c r="C13" s="231">
        <f>'ELV - MAT'!B6</f>
        <v>9</v>
      </c>
      <c r="D13" s="231">
        <f>'ELV - MAT'!C6</f>
        <v>2</v>
      </c>
      <c r="E13" s="231">
        <f>'ELV - MAT'!D6</f>
        <v>0</v>
      </c>
      <c r="F13" s="231">
        <f>'ELV - MAT'!E6</f>
        <v>0</v>
      </c>
      <c r="G13" s="231">
        <f>'ELV - MAT'!F6</f>
        <v>0</v>
      </c>
      <c r="H13" s="231">
        <f>'ELV - MAT'!H6</f>
        <v>0</v>
      </c>
      <c r="I13" s="230"/>
      <c r="J13" s="230"/>
      <c r="K13" s="230">
        <f>'ELV - MAT'!I6</f>
        <v>0</v>
      </c>
      <c r="L13" s="230">
        <f>'ELV - MAT'!J6</f>
        <v>2</v>
      </c>
      <c r="M13" s="231">
        <f t="shared" si="0"/>
        <v>11</v>
      </c>
      <c r="N13" s="230">
        <f t="shared" ref="N13:N29" si="3">SUM(B13:L13)</f>
        <v>13</v>
      </c>
      <c r="O13" s="232">
        <f t="shared" si="2"/>
        <v>1</v>
      </c>
    </row>
    <row r="14" spans="1:15" s="212" customFormat="1" ht="42" customHeight="1" thickBot="1" x14ac:dyDescent="0.3">
      <c r="A14" s="233" t="s">
        <v>5582</v>
      </c>
      <c r="B14" s="233">
        <f t="shared" ref="B14:H14" si="4">SUM(B4:B13)</f>
        <v>20</v>
      </c>
      <c r="C14" s="234">
        <f t="shared" si="4"/>
        <v>271</v>
      </c>
      <c r="D14" s="234">
        <f t="shared" si="4"/>
        <v>42</v>
      </c>
      <c r="E14" s="234">
        <f t="shared" si="4"/>
        <v>16</v>
      </c>
      <c r="F14" s="234">
        <f t="shared" si="4"/>
        <v>1</v>
      </c>
      <c r="G14" s="234">
        <f t="shared" si="4"/>
        <v>0</v>
      </c>
      <c r="H14" s="234">
        <f t="shared" si="4"/>
        <v>1</v>
      </c>
      <c r="I14" s="233"/>
      <c r="J14" s="233"/>
      <c r="K14" s="233">
        <f>SUM(K4:K13)</f>
        <v>0</v>
      </c>
      <c r="L14" s="233">
        <f>SUM(L4:L13)</f>
        <v>126</v>
      </c>
      <c r="M14" s="234">
        <f>SUM(M4:M13)</f>
        <v>351</v>
      </c>
      <c r="N14" s="233">
        <f>SUM(N4:N13)</f>
        <v>477</v>
      </c>
      <c r="O14" s="235">
        <f t="shared" ref="O14:O30" si="5">(C14+D14+G14)/M14</f>
        <v>0.89173789173789175</v>
      </c>
    </row>
    <row r="15" spans="1:15" s="211" customFormat="1" ht="42" customHeight="1" thickBot="1" x14ac:dyDescent="0.3">
      <c r="A15" s="230" t="s">
        <v>5492</v>
      </c>
      <c r="B15" s="230">
        <f>'CIV - PQD'!G6</f>
        <v>1</v>
      </c>
      <c r="C15" s="231">
        <f>'CIV - PQD'!B6</f>
        <v>21</v>
      </c>
      <c r="D15" s="231">
        <f>'CIV - PQD'!C6</f>
        <v>0</v>
      </c>
      <c r="E15" s="231">
        <f>'CIV - PQD'!D6</f>
        <v>0</v>
      </c>
      <c r="F15" s="231">
        <f>'CIV - PQD'!E6</f>
        <v>0</v>
      </c>
      <c r="G15" s="231">
        <f>'CIV - PQD'!F6</f>
        <v>0</v>
      </c>
      <c r="H15" s="231">
        <f>'CIV - PQD'!H6</f>
        <v>0</v>
      </c>
      <c r="I15" s="230"/>
      <c r="J15" s="230"/>
      <c r="K15" s="230">
        <f>'CIV - PQD'!I6</f>
        <v>0</v>
      </c>
      <c r="L15" s="230">
        <f>'CIV - PQD'!J6</f>
        <v>2</v>
      </c>
      <c r="M15" s="231">
        <f t="shared" ref="M15:M21" si="6">SUM(B15:J15)</f>
        <v>22</v>
      </c>
      <c r="N15" s="230">
        <f t="shared" si="3"/>
        <v>24</v>
      </c>
      <c r="O15" s="232">
        <f t="shared" si="5"/>
        <v>0.95454545454545459</v>
      </c>
    </row>
    <row r="16" spans="1:15" s="211" customFormat="1" ht="42" customHeight="1" thickBot="1" x14ac:dyDescent="0.3">
      <c r="A16" s="230" t="s">
        <v>5493</v>
      </c>
      <c r="B16" s="230">
        <f>'ELE - PQD'!G6</f>
        <v>0</v>
      </c>
      <c r="C16" s="231">
        <f>'ELE - PQD'!B6</f>
        <v>32</v>
      </c>
      <c r="D16" s="231">
        <f>'ELE - PQD'!C6</f>
        <v>2</v>
      </c>
      <c r="E16" s="231">
        <f>'ELE - PQD'!D6</f>
        <v>0</v>
      </c>
      <c r="F16" s="231">
        <f>'ELE - PQD'!E6</f>
        <v>0</v>
      </c>
      <c r="G16" s="231">
        <f>'ELE - PQD'!F6</f>
        <v>1</v>
      </c>
      <c r="H16" s="231">
        <f>'ELE - PQD'!H6</f>
        <v>0</v>
      </c>
      <c r="I16" s="230"/>
      <c r="J16" s="230"/>
      <c r="K16" s="230">
        <f>'ELE - PQD'!I6</f>
        <v>0</v>
      </c>
      <c r="L16" s="230">
        <f>'ELE - PQD'!J6</f>
        <v>4</v>
      </c>
      <c r="M16" s="231">
        <f t="shared" si="6"/>
        <v>35</v>
      </c>
      <c r="N16" s="230">
        <f t="shared" si="3"/>
        <v>39</v>
      </c>
      <c r="O16" s="232">
        <f t="shared" si="5"/>
        <v>1</v>
      </c>
    </row>
    <row r="17" spans="1:15" s="211" customFormat="1" ht="42" customHeight="1" thickBot="1" x14ac:dyDescent="0.3">
      <c r="A17" s="230" t="s">
        <v>5494</v>
      </c>
      <c r="B17" s="230">
        <f>'MEC - PQD'!G6</f>
        <v>1</v>
      </c>
      <c r="C17" s="231">
        <f>'MEC - PQD'!B6</f>
        <v>81</v>
      </c>
      <c r="D17" s="231">
        <f>'MEC - PQD'!C6</f>
        <v>5</v>
      </c>
      <c r="E17" s="231">
        <f>'MEC - PQD'!D6</f>
        <v>0</v>
      </c>
      <c r="F17" s="231">
        <f>'MEC - PQD'!E6</f>
        <v>1</v>
      </c>
      <c r="G17" s="231">
        <f>'MEC - PQD'!F6</f>
        <v>3</v>
      </c>
      <c r="H17" s="231">
        <f>'MEC - PQD'!H6</f>
        <v>0</v>
      </c>
      <c r="I17" s="230"/>
      <c r="J17" s="230"/>
      <c r="K17" s="230">
        <f>'MEC - PQD'!I6</f>
        <v>0</v>
      </c>
      <c r="L17" s="230">
        <f>'MEC - PQD'!J6</f>
        <v>8</v>
      </c>
      <c r="M17" s="231">
        <f t="shared" si="6"/>
        <v>91</v>
      </c>
      <c r="N17" s="230">
        <f t="shared" si="3"/>
        <v>99</v>
      </c>
      <c r="O17" s="232">
        <f t="shared" si="5"/>
        <v>0.97802197802197799</v>
      </c>
    </row>
    <row r="18" spans="1:15" s="211" customFormat="1" ht="42" customHeight="1" thickBot="1" x14ac:dyDescent="0.3">
      <c r="A18" s="230" t="s">
        <v>5497</v>
      </c>
      <c r="B18" s="230">
        <f>'STR - PQD'!G6</f>
        <v>0</v>
      </c>
      <c r="C18" s="231">
        <f>'STR - PQD'!B6</f>
        <v>2</v>
      </c>
      <c r="D18" s="231">
        <f>'STR - PQD'!C6</f>
        <v>0</v>
      </c>
      <c r="E18" s="231">
        <f>'STR - PQD'!D6</f>
        <v>0</v>
      </c>
      <c r="F18" s="231">
        <f>'STR - PQD'!E6</f>
        <v>0</v>
      </c>
      <c r="G18" s="231">
        <f>'STR - PQD'!F6</f>
        <v>0</v>
      </c>
      <c r="H18" s="231">
        <f>'STR - PQD'!H6</f>
        <v>0</v>
      </c>
      <c r="I18" s="230"/>
      <c r="J18" s="230"/>
      <c r="K18" s="230">
        <f>'STR - PQD'!I6</f>
        <v>0</v>
      </c>
      <c r="L18" s="230">
        <f>'STR - PQD'!J6</f>
        <v>0</v>
      </c>
      <c r="M18" s="231">
        <f t="shared" si="6"/>
        <v>2</v>
      </c>
      <c r="N18" s="230">
        <f t="shared" si="3"/>
        <v>2</v>
      </c>
      <c r="O18" s="232">
        <f t="shared" si="5"/>
        <v>1</v>
      </c>
    </row>
    <row r="19" spans="1:15" s="211" customFormat="1" ht="42" customHeight="1" thickBot="1" x14ac:dyDescent="0.3">
      <c r="A19" s="230" t="s">
        <v>5498</v>
      </c>
      <c r="B19" s="230">
        <f>'ARC - PQD'!G6</f>
        <v>0</v>
      </c>
      <c r="C19" s="231">
        <f>'ARC - PQD'!B6</f>
        <v>27</v>
      </c>
      <c r="D19" s="231">
        <f>'ARC - PQD'!C6</f>
        <v>1</v>
      </c>
      <c r="E19" s="231">
        <f>'ARC - PQD'!D6</f>
        <v>0</v>
      </c>
      <c r="F19" s="231">
        <f>'ARC - PQD'!E6</f>
        <v>0</v>
      </c>
      <c r="G19" s="231">
        <f>'ARC - PQD'!F6</f>
        <v>0</v>
      </c>
      <c r="H19" s="231">
        <f>'ARC - PQD'!F6</f>
        <v>0</v>
      </c>
      <c r="I19" s="230"/>
      <c r="J19" s="230"/>
      <c r="K19" s="230">
        <f>'ARC - PQD'!I6</f>
        <v>0</v>
      </c>
      <c r="L19" s="230">
        <f>'ARC - PQD'!J6</f>
        <v>1</v>
      </c>
      <c r="M19" s="231">
        <f t="shared" si="6"/>
        <v>28</v>
      </c>
      <c r="N19" s="230">
        <f t="shared" si="3"/>
        <v>29</v>
      </c>
      <c r="O19" s="232">
        <f t="shared" si="5"/>
        <v>1</v>
      </c>
    </row>
    <row r="20" spans="1:15" s="211" customFormat="1" ht="42" customHeight="1" thickBot="1" x14ac:dyDescent="0.3">
      <c r="A20" s="230" t="s">
        <v>5499</v>
      </c>
      <c r="B20" s="230">
        <f>'FLS - PQD'!G6</f>
        <v>0</v>
      </c>
      <c r="C20" s="231">
        <f>'FLS - PQD'!B6</f>
        <v>1</v>
      </c>
      <c r="D20" s="231">
        <f>'FLS - PQD'!C6</f>
        <v>1</v>
      </c>
      <c r="E20" s="231">
        <f>'FLS - PQD'!D6</f>
        <v>0</v>
      </c>
      <c r="F20" s="231">
        <f>'FLS - PQD'!E6</f>
        <v>0</v>
      </c>
      <c r="G20" s="231">
        <f>'FLS - PQD'!F6</f>
        <v>0</v>
      </c>
      <c r="H20" s="231">
        <f>'FLS - PQD'!H6</f>
        <v>0</v>
      </c>
      <c r="I20" s="230"/>
      <c r="J20" s="230"/>
      <c r="K20" s="230">
        <f>'FLS - PQD'!I6</f>
        <v>0</v>
      </c>
      <c r="L20" s="230">
        <f>'FLS - PQD'!J6</f>
        <v>1</v>
      </c>
      <c r="M20" s="231">
        <f t="shared" si="6"/>
        <v>2</v>
      </c>
      <c r="N20" s="230">
        <f t="shared" si="3"/>
        <v>3</v>
      </c>
      <c r="O20" s="232">
        <f t="shared" si="5"/>
        <v>1</v>
      </c>
    </row>
    <row r="21" spans="1:15" s="211" customFormat="1" ht="42" customHeight="1" thickBot="1" x14ac:dyDescent="0.3">
      <c r="A21" s="230" t="s">
        <v>5500</v>
      </c>
      <c r="B21" s="230">
        <f>'SEC - PQD'!G6</f>
        <v>0</v>
      </c>
      <c r="C21" s="231">
        <f>'SEC - PQD'!B6</f>
        <v>3</v>
      </c>
      <c r="D21" s="231">
        <f>'SEC - PQD'!C6</f>
        <v>0</v>
      </c>
      <c r="E21" s="231">
        <f>'SEC - PQD'!D6</f>
        <v>0</v>
      </c>
      <c r="F21" s="231">
        <f>'SEC - PQD'!E6</f>
        <v>0</v>
      </c>
      <c r="G21" s="231">
        <f>'SEC - PQD'!F6</f>
        <v>1</v>
      </c>
      <c r="H21" s="231">
        <f>'SEC - PQD'!H6</f>
        <v>0</v>
      </c>
      <c r="I21" s="230"/>
      <c r="J21" s="230"/>
      <c r="K21" s="230">
        <f>'SEC - PQD'!I6</f>
        <v>0</v>
      </c>
      <c r="L21" s="230">
        <f>'SEC - PQD'!J6</f>
        <v>1</v>
      </c>
      <c r="M21" s="231">
        <f t="shared" si="6"/>
        <v>4</v>
      </c>
      <c r="N21" s="230">
        <f t="shared" si="3"/>
        <v>5</v>
      </c>
      <c r="O21" s="232">
        <f t="shared" si="5"/>
        <v>1</v>
      </c>
    </row>
    <row r="22" spans="1:15" s="211" customFormat="1" ht="42" customHeight="1" thickBot="1" x14ac:dyDescent="0.3">
      <c r="A22" s="230" t="s">
        <v>5501</v>
      </c>
      <c r="B22" s="230">
        <f>'SUS - PQD'!G6</f>
        <v>0</v>
      </c>
      <c r="C22" s="231">
        <f>'SUS - PQD'!B6</f>
        <v>1</v>
      </c>
      <c r="D22" s="231">
        <f>'SUS - PQD'!C6</f>
        <v>0</v>
      </c>
      <c r="E22" s="231">
        <f>'SUS - PQD'!D6</f>
        <v>0</v>
      </c>
      <c r="F22" s="231">
        <f>'SUS - PQD'!E6</f>
        <v>0</v>
      </c>
      <c r="G22" s="231">
        <f>'SUS - PQD'!F6</f>
        <v>0</v>
      </c>
      <c r="H22" s="231">
        <f>'SUS - PQD'!H6</f>
        <v>0</v>
      </c>
      <c r="I22" s="230"/>
      <c r="J22" s="230"/>
      <c r="K22" s="230">
        <f>'SUS - PQD'!I6</f>
        <v>0</v>
      </c>
      <c r="L22" s="230">
        <f>'SUS - PQD'!J6</f>
        <v>2</v>
      </c>
      <c r="M22" s="231">
        <f>SUM(B22:J22)</f>
        <v>1</v>
      </c>
      <c r="N22" s="230">
        <f t="shared" si="3"/>
        <v>3</v>
      </c>
      <c r="O22" s="232">
        <f t="shared" si="5"/>
        <v>1</v>
      </c>
    </row>
    <row r="23" spans="1:15" s="212" customFormat="1" ht="42" customHeight="1" thickBot="1" x14ac:dyDescent="0.3">
      <c r="A23" s="233" t="s">
        <v>5581</v>
      </c>
      <c r="B23" s="233">
        <f t="shared" ref="B23:H23" si="7">SUM(B15:B22)</f>
        <v>2</v>
      </c>
      <c r="C23" s="234">
        <f t="shared" si="7"/>
        <v>168</v>
      </c>
      <c r="D23" s="234">
        <f t="shared" si="7"/>
        <v>9</v>
      </c>
      <c r="E23" s="234">
        <f t="shared" si="7"/>
        <v>0</v>
      </c>
      <c r="F23" s="234">
        <f t="shared" si="7"/>
        <v>1</v>
      </c>
      <c r="G23" s="234">
        <f t="shared" si="7"/>
        <v>5</v>
      </c>
      <c r="H23" s="234">
        <f t="shared" si="7"/>
        <v>0</v>
      </c>
      <c r="I23" s="233"/>
      <c r="J23" s="233"/>
      <c r="K23" s="233">
        <f>SUM(K15:K22)</f>
        <v>0</v>
      </c>
      <c r="L23" s="233">
        <f>SUM(L15:L22)</f>
        <v>19</v>
      </c>
      <c r="M23" s="234">
        <f>SUM(M15:M22)</f>
        <v>185</v>
      </c>
      <c r="N23" s="233">
        <f>SUM(N15:N22)</f>
        <v>204</v>
      </c>
      <c r="O23" s="235">
        <f>(C23+D23+G23)/M23</f>
        <v>0.98378378378378384</v>
      </c>
    </row>
    <row r="24" spans="1:15" s="211" customFormat="1" ht="42" customHeight="1" thickBot="1" x14ac:dyDescent="0.3">
      <c r="A24" s="230" t="s">
        <v>5503</v>
      </c>
      <c r="B24" s="230">
        <f>'CIV - MST'!G6</f>
        <v>1</v>
      </c>
      <c r="C24" s="231">
        <f>'CIV - MST'!B6</f>
        <v>32</v>
      </c>
      <c r="D24" s="231">
        <f>'CIV - MST'!C6</f>
        <v>0</v>
      </c>
      <c r="E24" s="231">
        <f>'CIV - MST'!D6</f>
        <v>0</v>
      </c>
      <c r="F24" s="231">
        <f>'CIV - MST'!E6</f>
        <v>0</v>
      </c>
      <c r="G24" s="231">
        <f>'CIV - MST'!F6</f>
        <v>0</v>
      </c>
      <c r="H24" s="231">
        <f>'CIV - MST'!H6</f>
        <v>0</v>
      </c>
      <c r="I24" s="230"/>
      <c r="J24" s="230"/>
      <c r="K24" s="230">
        <f>'CIV - MST'!I6</f>
        <v>0</v>
      </c>
      <c r="L24" s="230">
        <f>'CIV - MST'!J6</f>
        <v>10</v>
      </c>
      <c r="M24" s="231">
        <f t="shared" ref="M24:M34" si="8">SUM(B24:J24)</f>
        <v>33</v>
      </c>
      <c r="N24" s="230">
        <f t="shared" si="3"/>
        <v>43</v>
      </c>
      <c r="O24" s="232">
        <f t="shared" si="5"/>
        <v>0.96969696969696972</v>
      </c>
    </row>
    <row r="25" spans="1:15" s="211" customFormat="1" ht="42" customHeight="1" thickBot="1" x14ac:dyDescent="0.3">
      <c r="A25" s="230" t="s">
        <v>5519</v>
      </c>
      <c r="B25" s="230">
        <f>'STR - MST'!G6</f>
        <v>0</v>
      </c>
      <c r="C25" s="231">
        <f>'STR - MST'!B6</f>
        <v>9</v>
      </c>
      <c r="D25" s="231">
        <f>'STR - MST'!C6</f>
        <v>0</v>
      </c>
      <c r="E25" s="231">
        <f>'STR - MST'!D6</f>
        <v>0</v>
      </c>
      <c r="F25" s="231">
        <f>'STR - MST'!E6</f>
        <v>0</v>
      </c>
      <c r="G25" s="231">
        <f>'STR - MST'!F6</f>
        <v>0</v>
      </c>
      <c r="H25" s="231">
        <f>'STR - MST'!H6</f>
        <v>0</v>
      </c>
      <c r="I25" s="230"/>
      <c r="J25" s="230"/>
      <c r="K25" s="230">
        <f>'STR - MST'!I6</f>
        <v>0</v>
      </c>
      <c r="L25" s="230">
        <f>'STR - MST'!J6</f>
        <v>0</v>
      </c>
      <c r="M25" s="231">
        <f>SUM(B25:J25)</f>
        <v>9</v>
      </c>
      <c r="N25" s="230">
        <f>SUM(B25:L25)</f>
        <v>9</v>
      </c>
      <c r="O25" s="232">
        <f>(C25+D25+G25)/M25</f>
        <v>1</v>
      </c>
    </row>
    <row r="26" spans="1:15" s="211" customFormat="1" ht="42" customHeight="1" thickBot="1" x14ac:dyDescent="0.3">
      <c r="A26" s="230" t="s">
        <v>5514</v>
      </c>
      <c r="B26" s="230">
        <f>'ARC- MST'!G6</f>
        <v>0</v>
      </c>
      <c r="C26" s="231">
        <f>'ARC- MST'!B6</f>
        <v>18</v>
      </c>
      <c r="D26" s="231">
        <f>'ARC- MST'!C6</f>
        <v>1</v>
      </c>
      <c r="E26" s="231">
        <f>'ARC- MST'!D6</f>
        <v>0</v>
      </c>
      <c r="F26" s="231">
        <f>'ARC- MST'!E6</f>
        <v>0</v>
      </c>
      <c r="G26" s="231">
        <f>'ARC- MST'!F6</f>
        <v>0</v>
      </c>
      <c r="H26" s="231">
        <f>'ARC- MST'!H6</f>
        <v>0</v>
      </c>
      <c r="I26" s="230"/>
      <c r="J26" s="230"/>
      <c r="K26" s="230">
        <f>'ARC- MST'!I6</f>
        <v>0</v>
      </c>
      <c r="L26" s="230">
        <f>'ARC- MST'!J6</f>
        <v>1</v>
      </c>
      <c r="M26" s="231">
        <f>SUM(B26:J26)</f>
        <v>19</v>
      </c>
      <c r="N26" s="230">
        <f>SUM(B26:L26)</f>
        <v>20</v>
      </c>
      <c r="O26" s="232">
        <f>(C26+D26+G26)/M26</f>
        <v>1</v>
      </c>
    </row>
    <row r="27" spans="1:15" s="211" customFormat="1" ht="42" customHeight="1" thickBot="1" x14ac:dyDescent="0.3">
      <c r="A27" s="230" t="s">
        <v>5513</v>
      </c>
      <c r="B27" s="230">
        <f>'SRV - MST'!G6</f>
        <v>0</v>
      </c>
      <c r="C27" s="231">
        <f>'SRV - MST'!B6</f>
        <v>1</v>
      </c>
      <c r="D27" s="231">
        <f>'SRV - MST'!C6</f>
        <v>0</v>
      </c>
      <c r="E27" s="231">
        <f>'SRV - MST'!D6</f>
        <v>0</v>
      </c>
      <c r="F27" s="231">
        <f>'SRV - MST'!E6</f>
        <v>0</v>
      </c>
      <c r="G27" s="231">
        <f>'SRV - MST'!F6</f>
        <v>0</v>
      </c>
      <c r="H27" s="231">
        <f>'SRV - MST'!H6</f>
        <v>0</v>
      </c>
      <c r="I27" s="230"/>
      <c r="J27" s="230"/>
      <c r="K27" s="230">
        <f>'SRV - MST'!I6</f>
        <v>0</v>
      </c>
      <c r="L27" s="230">
        <f>'SRV - MST'!J6</f>
        <v>1</v>
      </c>
      <c r="M27" s="231">
        <f t="shared" si="8"/>
        <v>1</v>
      </c>
      <c r="N27" s="230">
        <f t="shared" si="3"/>
        <v>2</v>
      </c>
      <c r="O27" s="232">
        <f t="shared" si="5"/>
        <v>1</v>
      </c>
    </row>
    <row r="28" spans="1:15" s="211" customFormat="1" ht="42" customHeight="1" thickBot="1" x14ac:dyDescent="0.3">
      <c r="A28" s="230" t="s">
        <v>5515</v>
      </c>
      <c r="B28" s="230">
        <f>'MEC - MST'!G6</f>
        <v>0</v>
      </c>
      <c r="C28" s="231">
        <f>'MEC - MST'!B6</f>
        <v>18</v>
      </c>
      <c r="D28" s="231">
        <f>'MEC - MST'!C6</f>
        <v>1</v>
      </c>
      <c r="E28" s="231">
        <f>'MEC - MST'!D6</f>
        <v>1</v>
      </c>
      <c r="F28" s="231">
        <f>'MEC - MST'!E6</f>
        <v>0</v>
      </c>
      <c r="G28" s="231">
        <f>'MEC - MST'!F6</f>
        <v>0</v>
      </c>
      <c r="H28" s="231">
        <f>'MEC - MST'!H6</f>
        <v>1</v>
      </c>
      <c r="I28" s="230"/>
      <c r="J28" s="230"/>
      <c r="K28" s="230">
        <f>'MEC - MST'!I6</f>
        <v>0</v>
      </c>
      <c r="L28" s="230">
        <f>'MEC - MST'!J6</f>
        <v>2</v>
      </c>
      <c r="M28" s="231">
        <f t="shared" si="8"/>
        <v>21</v>
      </c>
      <c r="N28" s="230">
        <f t="shared" si="3"/>
        <v>23</v>
      </c>
      <c r="O28" s="232">
        <f t="shared" si="5"/>
        <v>0.90476190476190477</v>
      </c>
    </row>
    <row r="29" spans="1:15" s="211" customFormat="1" ht="42" customHeight="1" thickBot="1" x14ac:dyDescent="0.3">
      <c r="A29" s="230" t="s">
        <v>5516</v>
      </c>
      <c r="B29" s="230">
        <f>'ELE - MST'!G6</f>
        <v>0</v>
      </c>
      <c r="C29" s="231">
        <f>'ELE - MST'!B6</f>
        <v>14</v>
      </c>
      <c r="D29" s="231">
        <f>'ELE - MST'!C6</f>
        <v>1</v>
      </c>
      <c r="E29" s="231">
        <f>'ELE - MST'!D6</f>
        <v>0</v>
      </c>
      <c r="F29" s="231">
        <f>'ELE - MST'!E6</f>
        <v>0</v>
      </c>
      <c r="G29" s="231">
        <f>'ELE - MST'!F6</f>
        <v>0</v>
      </c>
      <c r="H29" s="231">
        <f>'ELE - MST'!H6</f>
        <v>0</v>
      </c>
      <c r="I29" s="230"/>
      <c r="J29" s="230"/>
      <c r="K29" s="230">
        <f>'ELE - MST'!I6</f>
        <v>0</v>
      </c>
      <c r="L29" s="230">
        <f>'ELE - MST'!J6</f>
        <v>2</v>
      </c>
      <c r="M29" s="231">
        <f t="shared" si="8"/>
        <v>15</v>
      </c>
      <c r="N29" s="230">
        <f t="shared" si="3"/>
        <v>17</v>
      </c>
      <c r="O29" s="232">
        <f t="shared" si="5"/>
        <v>1</v>
      </c>
    </row>
    <row r="30" spans="1:15" s="211" customFormat="1" ht="42" customHeight="1" thickBot="1" x14ac:dyDescent="0.3">
      <c r="A30" s="230" t="s">
        <v>5517</v>
      </c>
      <c r="B30" s="230">
        <f>'ELV - MST'!G6</f>
        <v>0</v>
      </c>
      <c r="C30" s="231">
        <f>'ELV - MST'!B6</f>
        <v>8</v>
      </c>
      <c r="D30" s="231">
        <f>'ELV - MST'!C6</f>
        <v>0</v>
      </c>
      <c r="E30" s="231">
        <f>'ELV - MST'!D6</f>
        <v>0</v>
      </c>
      <c r="F30" s="231">
        <f>'ELV - MST'!E6</f>
        <v>0</v>
      </c>
      <c r="G30" s="231">
        <f>'ELV - MST'!F6</f>
        <v>0</v>
      </c>
      <c r="H30" s="231">
        <f>'ELV - MST'!H6</f>
        <v>0</v>
      </c>
      <c r="I30" s="230"/>
      <c r="J30" s="230"/>
      <c r="K30" s="230">
        <f>'ELV - MST'!I6</f>
        <v>0</v>
      </c>
      <c r="L30" s="230">
        <f>'ELV - MST'!J6</f>
        <v>0</v>
      </c>
      <c r="M30" s="231">
        <f t="shared" si="8"/>
        <v>8</v>
      </c>
      <c r="N30" s="230">
        <f>SUM(B30:L30)</f>
        <v>8</v>
      </c>
      <c r="O30" s="232">
        <f t="shared" si="5"/>
        <v>1</v>
      </c>
    </row>
    <row r="31" spans="1:15" s="211" customFormat="1" ht="42" customHeight="1" thickBot="1" x14ac:dyDescent="0.3">
      <c r="A31" s="230" t="s">
        <v>5518</v>
      </c>
      <c r="B31" s="230">
        <f>'INF - MST '!G6</f>
        <v>2</v>
      </c>
      <c r="C31" s="231">
        <f>'INF - MST '!B6</f>
        <v>2</v>
      </c>
      <c r="D31" s="231">
        <f>'INF - MST '!C6</f>
        <v>0</v>
      </c>
      <c r="E31" s="231">
        <f>'INF - MST '!D6</f>
        <v>1</v>
      </c>
      <c r="F31" s="231">
        <f>'INF - MST '!E6</f>
        <v>0</v>
      </c>
      <c r="G31" s="231">
        <f>'INF - MST '!F6</f>
        <v>0</v>
      </c>
      <c r="H31" s="231">
        <f>'INF - MST '!H6</f>
        <v>0</v>
      </c>
      <c r="I31" s="230"/>
      <c r="J31" s="230"/>
      <c r="K31" s="230">
        <f>'INF - MST '!I6</f>
        <v>0</v>
      </c>
      <c r="L31" s="230">
        <f>'INF - MST '!J6</f>
        <v>0</v>
      </c>
      <c r="M31" s="231">
        <f t="shared" si="8"/>
        <v>5</v>
      </c>
      <c r="N31" s="230">
        <f>SUM(B31:L31)</f>
        <v>5</v>
      </c>
      <c r="O31" s="232">
        <f>(C31+D31+G31)/M31</f>
        <v>0.4</v>
      </c>
    </row>
    <row r="32" spans="1:15" s="211" customFormat="1" ht="42" customHeight="1" thickBot="1" x14ac:dyDescent="0.3">
      <c r="A32" s="230" t="s">
        <v>5520</v>
      </c>
      <c r="B32" s="231">
        <f>'GEO - MST'!G6</f>
        <v>0</v>
      </c>
      <c r="C32" s="231">
        <f>'GEO - MST'!B6</f>
        <v>0</v>
      </c>
      <c r="D32" s="231">
        <f>'GEO - MST'!C6</f>
        <v>0</v>
      </c>
      <c r="E32" s="231">
        <f>'GEO - MST'!D6</f>
        <v>0</v>
      </c>
      <c r="F32" s="231">
        <f>'GEO - MST'!E6</f>
        <v>0</v>
      </c>
      <c r="G32" s="231">
        <f>'GEO - MST'!F6</f>
        <v>0</v>
      </c>
      <c r="H32" s="231">
        <f>'GEO - MST'!H6</f>
        <v>0</v>
      </c>
      <c r="I32" s="230"/>
      <c r="J32" s="230"/>
      <c r="K32" s="230">
        <f>'GEO - MST'!I6</f>
        <v>0</v>
      </c>
      <c r="L32" s="230">
        <f>'GEO - MST'!J6</f>
        <v>1</v>
      </c>
      <c r="M32" s="231">
        <f t="shared" si="8"/>
        <v>0</v>
      </c>
      <c r="N32" s="230">
        <f>SUM(B32:L32)</f>
        <v>1</v>
      </c>
      <c r="O32" s="232" t="e">
        <f>(C32+D32+G32)/M32</f>
        <v>#DIV/0!</v>
      </c>
    </row>
    <row r="33" spans="1:15" s="211" customFormat="1" ht="42" customHeight="1" thickBot="1" x14ac:dyDescent="0.3">
      <c r="A33" s="230" t="s">
        <v>5521</v>
      </c>
      <c r="B33" s="230">
        <f>'CON - MST'!G6</f>
        <v>0</v>
      </c>
      <c r="C33" s="231">
        <f>'CON - MST'!B6</f>
        <v>0</v>
      </c>
      <c r="D33" s="231">
        <f>'CON - MST'!C6</f>
        <v>0</v>
      </c>
      <c r="E33" s="231">
        <f>'CON - MST'!D6</f>
        <v>0</v>
      </c>
      <c r="F33" s="231">
        <f>'CON - MST'!E6</f>
        <v>0</v>
      </c>
      <c r="G33" s="231">
        <f>'CON - MST'!F6</f>
        <v>0</v>
      </c>
      <c r="H33" s="231">
        <f>'CON - MST'!H6</f>
        <v>0</v>
      </c>
      <c r="I33" s="230"/>
      <c r="J33" s="230"/>
      <c r="K33" s="230">
        <f>'CON - MST'!I6</f>
        <v>0</v>
      </c>
      <c r="L33" s="230">
        <f>'CON - MST'!J6</f>
        <v>1</v>
      </c>
      <c r="M33" s="231">
        <f t="shared" si="8"/>
        <v>0</v>
      </c>
      <c r="N33" s="230">
        <f>SUM(B33:L33)</f>
        <v>1</v>
      </c>
      <c r="O33" s="232" t="e">
        <f>(C33+D33+G33)/M33</f>
        <v>#DIV/0!</v>
      </c>
    </row>
    <row r="34" spans="1:15" s="211" customFormat="1" ht="42" customHeight="1" thickBot="1" x14ac:dyDescent="0.3">
      <c r="A34" s="230" t="s">
        <v>5522</v>
      </c>
      <c r="B34" s="230">
        <f>'HSE - MST'!G6</f>
        <v>0</v>
      </c>
      <c r="C34" s="231">
        <f>'HSE - MST'!B6</f>
        <v>6</v>
      </c>
      <c r="D34" s="231">
        <f>'HSE - MST'!C6</f>
        <v>0</v>
      </c>
      <c r="E34" s="231">
        <f>'HSE - MST'!D6</f>
        <v>0</v>
      </c>
      <c r="F34" s="231">
        <f>'HSE - MST'!E6</f>
        <v>0</v>
      </c>
      <c r="G34" s="231">
        <f>'HSE - MST'!F6</f>
        <v>0</v>
      </c>
      <c r="H34" s="231">
        <f>'HSE - MST'!H6</f>
        <v>0</v>
      </c>
      <c r="I34" s="230"/>
      <c r="J34" s="230"/>
      <c r="K34" s="230">
        <f>'HSE - MST'!I6</f>
        <v>0</v>
      </c>
      <c r="L34" s="230">
        <f>'HSE - MST'!J6</f>
        <v>1</v>
      </c>
      <c r="M34" s="231">
        <f t="shared" si="8"/>
        <v>6</v>
      </c>
      <c r="N34" s="230">
        <f>SUM(B34:L34)</f>
        <v>7</v>
      </c>
      <c r="O34" s="232">
        <f>(C34+D34+G34)/M34</f>
        <v>1</v>
      </c>
    </row>
    <row r="35" spans="1:15" s="212" customFormat="1" ht="42" customHeight="1" thickBot="1" x14ac:dyDescent="0.3">
      <c r="A35" s="233" t="s">
        <v>5580</v>
      </c>
      <c r="B35" s="233">
        <f t="shared" ref="B35:H35" si="9">SUM(B24:B34)</f>
        <v>3</v>
      </c>
      <c r="C35" s="234">
        <f t="shared" si="9"/>
        <v>108</v>
      </c>
      <c r="D35" s="234">
        <f t="shared" si="9"/>
        <v>3</v>
      </c>
      <c r="E35" s="234">
        <f t="shared" si="9"/>
        <v>2</v>
      </c>
      <c r="F35" s="234">
        <f t="shared" si="9"/>
        <v>0</v>
      </c>
      <c r="G35" s="234">
        <f>SUM(G24:G34)</f>
        <v>0</v>
      </c>
      <c r="H35" s="234">
        <f t="shared" si="9"/>
        <v>1</v>
      </c>
      <c r="I35" s="233"/>
      <c r="J35" s="233"/>
      <c r="K35" s="233">
        <f>SUM(K24:K34)</f>
        <v>0</v>
      </c>
      <c r="L35" s="233">
        <f>SUM(L24:L34)</f>
        <v>19</v>
      </c>
      <c r="M35" s="234">
        <f>SUM(M24:M34)</f>
        <v>117</v>
      </c>
      <c r="N35" s="233">
        <f>SUM(N24:N34)</f>
        <v>136</v>
      </c>
      <c r="O35" s="235">
        <f>(C35+D35+G35)/M35</f>
        <v>0.94871794871794868</v>
      </c>
    </row>
    <row r="36" spans="1:15" s="211" customFormat="1" ht="42" customHeight="1" thickBot="1" x14ac:dyDescent="0.3">
      <c r="A36" s="230" t="s">
        <v>5531</v>
      </c>
      <c r="B36" s="230">
        <f>'CIV - ITP'!G6</f>
        <v>0</v>
      </c>
      <c r="C36" s="231">
        <f>'CIV - ITP'!B6</f>
        <v>12</v>
      </c>
      <c r="D36" s="231">
        <f>'CIV - ITP'!C6</f>
        <v>0</v>
      </c>
      <c r="E36" s="231">
        <f>'CIV - ITP'!D6</f>
        <v>0</v>
      </c>
      <c r="F36" s="231">
        <f>'CIV - ITP'!E6</f>
        <v>0</v>
      </c>
      <c r="G36" s="231">
        <f>'CIV - ITP'!F6</f>
        <v>0</v>
      </c>
      <c r="H36" s="231">
        <f>'CIV - ITP'!H6</f>
        <v>0</v>
      </c>
      <c r="I36" s="230"/>
      <c r="J36" s="230"/>
      <c r="K36" s="230">
        <f>'CIV - ITP'!I6</f>
        <v>0</v>
      </c>
      <c r="L36" s="230">
        <f>'CIV - ITP'!J6</f>
        <v>7</v>
      </c>
      <c r="M36" s="231">
        <f t="shared" ref="M36:M44" si="10">SUM(B36:J36)</f>
        <v>12</v>
      </c>
      <c r="N36" s="230">
        <f t="shared" ref="N36:N44" si="11">SUM(B36:L36)</f>
        <v>19</v>
      </c>
      <c r="O36" s="232">
        <f t="shared" ref="O36:O41" si="12">(C36+D36+G36)/M36</f>
        <v>1</v>
      </c>
    </row>
    <row r="37" spans="1:15" s="211" customFormat="1" ht="42" customHeight="1" thickBot="1" x14ac:dyDescent="0.3">
      <c r="A37" s="230" t="s">
        <v>5532</v>
      </c>
      <c r="B37" s="230">
        <f>'STR - ITP'!G6</f>
        <v>0</v>
      </c>
      <c r="C37" s="231">
        <f>'STR - ITP'!B6</f>
        <v>4</v>
      </c>
      <c r="D37" s="231">
        <f>'STR - ITP'!C6</f>
        <v>0</v>
      </c>
      <c r="E37" s="231">
        <f>'STR - ITP'!D6</f>
        <v>0</v>
      </c>
      <c r="F37" s="231">
        <f>'STR - ITP'!E6</f>
        <v>0</v>
      </c>
      <c r="G37" s="231">
        <f>'STR - ITP'!F6</f>
        <v>0</v>
      </c>
      <c r="H37" s="231">
        <f>'STR - ITP'!H6</f>
        <v>0</v>
      </c>
      <c r="I37" s="230"/>
      <c r="J37" s="230"/>
      <c r="K37" s="230">
        <f>'STR - ITP'!I6</f>
        <v>0</v>
      </c>
      <c r="L37" s="230">
        <f>'STR - ITP'!J6</f>
        <v>0</v>
      </c>
      <c r="M37" s="231">
        <f t="shared" si="10"/>
        <v>4</v>
      </c>
      <c r="N37" s="230">
        <f t="shared" si="11"/>
        <v>4</v>
      </c>
      <c r="O37" s="232">
        <f t="shared" si="12"/>
        <v>1</v>
      </c>
    </row>
    <row r="38" spans="1:15" s="211" customFormat="1" ht="42" customHeight="1" thickBot="1" x14ac:dyDescent="0.3">
      <c r="A38" s="230" t="s">
        <v>5533</v>
      </c>
      <c r="B38" s="230">
        <f>'ARC - ITP '!G6</f>
        <v>0</v>
      </c>
      <c r="C38" s="231">
        <f>'ARC - ITP '!B6</f>
        <v>17</v>
      </c>
      <c r="D38" s="231">
        <f>'ARC - ITP '!C6</f>
        <v>0</v>
      </c>
      <c r="E38" s="231">
        <f>'ARC - ITP '!D6</f>
        <v>0</v>
      </c>
      <c r="F38" s="231">
        <f>'ARC - ITP '!E6</f>
        <v>0</v>
      </c>
      <c r="G38" s="231">
        <f>'ARC - ITP '!F6</f>
        <v>0</v>
      </c>
      <c r="H38" s="231">
        <f>'ARC - ITP '!H6</f>
        <v>0</v>
      </c>
      <c r="I38" s="230"/>
      <c r="J38" s="230"/>
      <c r="K38" s="230">
        <f>'ARC - ITP '!I6</f>
        <v>0</v>
      </c>
      <c r="L38" s="230">
        <f>'ARC - ITP '!J6</f>
        <v>0</v>
      </c>
      <c r="M38" s="231">
        <f t="shared" si="10"/>
        <v>17</v>
      </c>
      <c r="N38" s="230">
        <f t="shared" si="11"/>
        <v>17</v>
      </c>
      <c r="O38" s="232">
        <f t="shared" si="12"/>
        <v>1</v>
      </c>
    </row>
    <row r="39" spans="1:15" s="211" customFormat="1" ht="42" customHeight="1" thickBot="1" x14ac:dyDescent="0.3">
      <c r="A39" s="230" t="s">
        <v>5534</v>
      </c>
      <c r="B39" s="230">
        <f>'SRV - ITP'!G6</f>
        <v>0</v>
      </c>
      <c r="C39" s="231">
        <f>'SRV - ITP'!B6</f>
        <v>0</v>
      </c>
      <c r="D39" s="231">
        <f>'SRV - ITP'!C6</f>
        <v>0</v>
      </c>
      <c r="E39" s="231">
        <f>'SRV - ITP'!D6</f>
        <v>0</v>
      </c>
      <c r="F39" s="231">
        <f>'SRV - ITP'!E6</f>
        <v>0</v>
      </c>
      <c r="G39" s="231">
        <f>'SRV - ITP'!F6</f>
        <v>1</v>
      </c>
      <c r="H39" s="231">
        <f>'SRV - ITP'!H6</f>
        <v>0</v>
      </c>
      <c r="I39" s="230"/>
      <c r="J39" s="230"/>
      <c r="K39" s="230">
        <f>'SRV - ITP'!I6</f>
        <v>0</v>
      </c>
      <c r="L39" s="230">
        <f>'SRV - ITP'!J6</f>
        <v>0</v>
      </c>
      <c r="M39" s="231">
        <f t="shared" si="10"/>
        <v>1</v>
      </c>
      <c r="N39" s="230">
        <f t="shared" si="11"/>
        <v>1</v>
      </c>
      <c r="O39" s="232">
        <f t="shared" si="12"/>
        <v>1</v>
      </c>
    </row>
    <row r="40" spans="1:15" s="211" customFormat="1" ht="42" customHeight="1" thickBot="1" x14ac:dyDescent="0.3">
      <c r="A40" s="230" t="s">
        <v>5535</v>
      </c>
      <c r="B40" s="230">
        <f>'INF - ITP'!G6</f>
        <v>0</v>
      </c>
      <c r="C40" s="231">
        <f>'INF - ITP'!B6</f>
        <v>1</v>
      </c>
      <c r="D40" s="231">
        <f>'INF - ITP'!C6</f>
        <v>0</v>
      </c>
      <c r="E40" s="231">
        <f>'INF - ITP'!D6</f>
        <v>0</v>
      </c>
      <c r="F40" s="231">
        <f>'INF - ITP'!E6</f>
        <v>0</v>
      </c>
      <c r="G40" s="231">
        <f>'INF - ITP'!F6</f>
        <v>0</v>
      </c>
      <c r="H40" s="231">
        <f>'INF - ITP'!H6</f>
        <v>0</v>
      </c>
      <c r="I40" s="230"/>
      <c r="J40" s="230"/>
      <c r="K40" s="230">
        <f>'INF - ITP'!I6</f>
        <v>0</v>
      </c>
      <c r="L40" s="230">
        <f>'INF - ITP'!J6</f>
        <v>0</v>
      </c>
      <c r="M40" s="231">
        <f t="shared" si="10"/>
        <v>1</v>
      </c>
      <c r="N40" s="230">
        <f t="shared" si="11"/>
        <v>1</v>
      </c>
      <c r="O40" s="232">
        <f t="shared" si="12"/>
        <v>1</v>
      </c>
    </row>
    <row r="41" spans="1:15" s="211" customFormat="1" ht="42" customHeight="1" thickBot="1" x14ac:dyDescent="0.3">
      <c r="A41" s="230" t="s">
        <v>5536</v>
      </c>
      <c r="B41" s="230">
        <f>'MEC - ITP'!G6</f>
        <v>0</v>
      </c>
      <c r="C41" s="231">
        <f>'MEC - ITP'!B6</f>
        <v>34</v>
      </c>
      <c r="D41" s="231">
        <f>'MEC - ITP'!C6</f>
        <v>2</v>
      </c>
      <c r="E41" s="231">
        <f>'MEC - ITP'!D6</f>
        <v>1</v>
      </c>
      <c r="F41" s="231">
        <f>'MEC - ITP'!E6</f>
        <v>0</v>
      </c>
      <c r="G41" s="231">
        <f>'MEC - ITP'!F6</f>
        <v>0</v>
      </c>
      <c r="H41" s="231">
        <f>'MEC - ITP'!H6</f>
        <v>0</v>
      </c>
      <c r="I41" s="230"/>
      <c r="J41" s="230"/>
      <c r="K41" s="230">
        <f>'MEC - ITP'!I6</f>
        <v>0</v>
      </c>
      <c r="L41" s="230">
        <f>'MEC - ITP'!J6</f>
        <v>4</v>
      </c>
      <c r="M41" s="231">
        <f t="shared" si="10"/>
        <v>37</v>
      </c>
      <c r="N41" s="230">
        <f t="shared" si="11"/>
        <v>41</v>
      </c>
      <c r="O41" s="232">
        <f t="shared" si="12"/>
        <v>0.97297297297297303</v>
      </c>
    </row>
    <row r="42" spans="1:15" s="211" customFormat="1" ht="42" customHeight="1" thickBot="1" x14ac:dyDescent="0.3">
      <c r="A42" s="230" t="s">
        <v>5537</v>
      </c>
      <c r="B42" s="230">
        <f>'ELE - ITP'!G6</f>
        <v>0</v>
      </c>
      <c r="C42" s="231">
        <f>'ELE - ITP'!B6</f>
        <v>26</v>
      </c>
      <c r="D42" s="231">
        <f>'ELE - ITP'!C6</f>
        <v>0</v>
      </c>
      <c r="E42" s="231">
        <f>'ELE - ITP'!D6</f>
        <v>0</v>
      </c>
      <c r="F42" s="231">
        <f>'ELE - ITP'!E6</f>
        <v>0</v>
      </c>
      <c r="G42" s="231">
        <f>'ELE - ITP'!F6</f>
        <v>0</v>
      </c>
      <c r="H42" s="231">
        <f>'ELE - ITP'!H6</f>
        <v>0</v>
      </c>
      <c r="I42" s="230"/>
      <c r="J42" s="230"/>
      <c r="K42" s="230">
        <f>'ELE - ITP'!I6</f>
        <v>0</v>
      </c>
      <c r="L42" s="230">
        <f>'ELE - ITP'!J6</f>
        <v>0</v>
      </c>
      <c r="M42" s="231">
        <f t="shared" si="10"/>
        <v>26</v>
      </c>
      <c r="N42" s="230">
        <f t="shared" si="11"/>
        <v>26</v>
      </c>
      <c r="O42" s="232">
        <f>(C42+D42+G42)/M42</f>
        <v>1</v>
      </c>
    </row>
    <row r="43" spans="1:15" s="211" customFormat="1" ht="42" customHeight="1" thickBot="1" x14ac:dyDescent="0.3">
      <c r="A43" s="230" t="s">
        <v>5538</v>
      </c>
      <c r="B43" s="230">
        <f>'ELV - ITP'!G6</f>
        <v>0</v>
      </c>
      <c r="C43" s="231">
        <f>'ELV - ITP'!B6</f>
        <v>7</v>
      </c>
      <c r="D43" s="231">
        <f>'ELV - ITP'!C6</f>
        <v>0</v>
      </c>
      <c r="E43" s="231">
        <f>'ELV - ITP'!D6</f>
        <v>0</v>
      </c>
      <c r="F43" s="231">
        <f>'ELV - ITP'!E6</f>
        <v>0</v>
      </c>
      <c r="G43" s="231">
        <f>'ELV - ITP'!F6</f>
        <v>0</v>
      </c>
      <c r="H43" s="231">
        <f>'ELV - ITP'!H6</f>
        <v>0</v>
      </c>
      <c r="I43" s="230"/>
      <c r="J43" s="230"/>
      <c r="K43" s="230">
        <f>'ELV - ITP'!I6</f>
        <v>0</v>
      </c>
      <c r="L43" s="230">
        <f>'ELV - ITP'!J6</f>
        <v>0</v>
      </c>
      <c r="M43" s="231">
        <f t="shared" si="10"/>
        <v>7</v>
      </c>
      <c r="N43" s="230">
        <f t="shared" si="11"/>
        <v>7</v>
      </c>
      <c r="O43" s="232">
        <f>(C43+D43+G43)/M43</f>
        <v>1</v>
      </c>
    </row>
    <row r="44" spans="1:15" s="211" customFormat="1" ht="42" customHeight="1" thickBot="1" x14ac:dyDescent="0.3">
      <c r="A44" s="230" t="s">
        <v>5539</v>
      </c>
      <c r="B44" s="230">
        <f>'FAS - ITP'!G6</f>
        <v>0</v>
      </c>
      <c r="C44" s="231">
        <f>'FAS - ITP'!B6</f>
        <v>0</v>
      </c>
      <c r="D44" s="231">
        <f>'FAS - ITP'!C6</f>
        <v>0</v>
      </c>
      <c r="E44" s="231">
        <f>'FAS - ITP'!D6</f>
        <v>0</v>
      </c>
      <c r="F44" s="231">
        <f>'FAS - ITP'!E6</f>
        <v>0</v>
      </c>
      <c r="G44" s="231">
        <f>'FAS - ITP'!F6</f>
        <v>0</v>
      </c>
      <c r="H44" s="231">
        <f>'FAS - ITP'!H6</f>
        <v>0</v>
      </c>
      <c r="I44" s="230"/>
      <c r="J44" s="230"/>
      <c r="K44" s="230">
        <f>'FAS - ITP'!I6</f>
        <v>0</v>
      </c>
      <c r="L44" s="230">
        <f>'FAS - ITP'!J6</f>
        <v>1</v>
      </c>
      <c r="M44" s="231">
        <f t="shared" si="10"/>
        <v>0</v>
      </c>
      <c r="N44" s="230">
        <f t="shared" si="11"/>
        <v>1</v>
      </c>
      <c r="O44" s="232" t="e">
        <f>(C44+D44+G44)/M44</f>
        <v>#DIV/0!</v>
      </c>
    </row>
    <row r="45" spans="1:15" s="212" customFormat="1" ht="42" customHeight="1" thickBot="1" x14ac:dyDescent="0.3">
      <c r="A45" s="233" t="s">
        <v>5579</v>
      </c>
      <c r="B45" s="233">
        <f t="shared" ref="B45:H45" si="13">SUM(B36:B44)</f>
        <v>0</v>
      </c>
      <c r="C45" s="234">
        <f t="shared" si="13"/>
        <v>101</v>
      </c>
      <c r="D45" s="233">
        <f t="shared" si="13"/>
        <v>2</v>
      </c>
      <c r="E45" s="233">
        <f t="shared" si="13"/>
        <v>1</v>
      </c>
      <c r="F45" s="233">
        <f t="shared" si="13"/>
        <v>0</v>
      </c>
      <c r="G45" s="234">
        <f t="shared" si="13"/>
        <v>1</v>
      </c>
      <c r="H45" s="233">
        <f t="shared" si="13"/>
        <v>0</v>
      </c>
      <c r="I45" s="233">
        <f t="shared" ref="I45:N45" si="14">SUM(I36:I44)</f>
        <v>0</v>
      </c>
      <c r="J45" s="233">
        <f t="shared" si="14"/>
        <v>0</v>
      </c>
      <c r="K45" s="233">
        <f t="shared" si="14"/>
        <v>0</v>
      </c>
      <c r="L45" s="233">
        <f t="shared" si="14"/>
        <v>12</v>
      </c>
      <c r="M45" s="234">
        <f t="shared" si="14"/>
        <v>105</v>
      </c>
      <c r="N45" s="233">
        <f t="shared" si="14"/>
        <v>117</v>
      </c>
      <c r="O45" s="235">
        <f>(C45+D45+G45)/M45</f>
        <v>0.99047619047619051</v>
      </c>
    </row>
    <row r="46" spans="1:15" s="211" customFormat="1" ht="42" customHeight="1" thickBot="1" x14ac:dyDescent="0.3">
      <c r="A46" s="230"/>
      <c r="B46" s="230"/>
      <c r="C46" s="231"/>
      <c r="D46" s="231"/>
      <c r="E46" s="231"/>
      <c r="F46" s="231"/>
      <c r="G46" s="231"/>
      <c r="H46" s="231"/>
      <c r="I46" s="230"/>
      <c r="J46" s="230"/>
      <c r="K46" s="230"/>
      <c r="L46" s="230"/>
      <c r="M46" s="231"/>
      <c r="N46" s="230"/>
      <c r="O46" s="232"/>
    </row>
    <row r="47" spans="1:15" s="211" customFormat="1" ht="42" customHeight="1" thickBot="1" x14ac:dyDescent="0.3">
      <c r="A47" s="230"/>
      <c r="B47" s="230"/>
      <c r="C47" s="231"/>
      <c r="D47" s="231"/>
      <c r="E47" s="231"/>
      <c r="F47" s="231"/>
      <c r="G47" s="231"/>
      <c r="H47" s="231"/>
      <c r="I47" s="230"/>
      <c r="J47" s="230"/>
      <c r="K47" s="230"/>
      <c r="L47" s="230"/>
      <c r="M47" s="231"/>
      <c r="N47" s="230"/>
      <c r="O47" s="232"/>
    </row>
    <row r="48" spans="1:15" s="239" customFormat="1" ht="42" customHeight="1" thickBot="1" x14ac:dyDescent="0.3">
      <c r="A48" s="236" t="s">
        <v>5540</v>
      </c>
      <c r="B48" s="236">
        <f>SUM(B45,B35,B23,B14)</f>
        <v>25</v>
      </c>
      <c r="C48" s="237">
        <f>SUM(C45,C35,C23,C14)</f>
        <v>648</v>
      </c>
      <c r="D48" s="236">
        <f t="shared" ref="D48:L48" si="15">SUM(D45,D35,D23,D14)</f>
        <v>56</v>
      </c>
      <c r="E48" s="236">
        <f t="shared" si="15"/>
        <v>19</v>
      </c>
      <c r="F48" s="236">
        <f t="shared" si="15"/>
        <v>2</v>
      </c>
      <c r="G48" s="236">
        <f t="shared" si="15"/>
        <v>6</v>
      </c>
      <c r="H48" s="236">
        <f t="shared" si="15"/>
        <v>2</v>
      </c>
      <c r="I48" s="236">
        <f t="shared" si="15"/>
        <v>0</v>
      </c>
      <c r="J48" s="236">
        <f t="shared" si="15"/>
        <v>0</v>
      </c>
      <c r="K48" s="236">
        <f t="shared" si="15"/>
        <v>0</v>
      </c>
      <c r="L48" s="236">
        <f t="shared" si="15"/>
        <v>176</v>
      </c>
      <c r="M48" s="237">
        <f>SUM(M45,M35,M23,M14)</f>
        <v>758</v>
      </c>
      <c r="N48" s="236">
        <f>SUM(N45,N35,N23,N14)</f>
        <v>934</v>
      </c>
      <c r="O48" s="238">
        <f>(C48+D48+G48)/M48</f>
        <v>0.9366754617414248</v>
      </c>
    </row>
  </sheetData>
  <mergeCells count="3">
    <mergeCell ref="A1:N1"/>
    <mergeCell ref="B2:J2"/>
    <mergeCell ref="M2:O2"/>
  </mergeCells>
  <conditionalFormatting sqref="B1:C44 B45:M45 B46:C47 B48:N48 B49:C64925">
    <cfRule type="cellIs" dxfId="6474" priority="1" stopIfTrue="1" operator="equal">
      <formula>"D - Rejected"</formula>
    </cfRule>
    <cfRule type="cellIs" dxfId="6473" priority="2" stopIfTrue="1" operator="equal">
      <formula>"C - Revise and Resubmit - Do Not Proceed"</formula>
    </cfRule>
    <cfRule type="cellIs" dxfId="6472" priority="3" stopIfTrue="1" operator="equal">
      <formula>"E - Review Not Required - Proceed"</formula>
    </cfRule>
    <cfRule type="cellIs" dxfId="6471" priority="4" stopIfTrue="1" operator="equal">
      <formula>"B - Incorporate Comments - Proceed"</formula>
    </cfRule>
    <cfRule type="cellIs" dxfId="6470" priority="5" stopIfTrue="1" operator="equal">
      <formula>"A - Work May Proceed"</formula>
    </cfRule>
  </conditionalFormatting>
  <pageMargins left="0.7" right="0.7" top="0.75" bottom="0.75" header="0.3" footer="0.3"/>
  <pageSetup paperSize="8" scale="1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/>
    <pageSetUpPr fitToPage="1"/>
  </sheetPr>
  <dimension ref="A1:BF102"/>
  <sheetViews>
    <sheetView topLeftCell="B1" zoomScale="55" zoomScaleNormal="55" zoomScaleSheetLayoutView="70" workbookViewId="0">
      <pane ySplit="11" topLeftCell="A92" activePane="bottomLeft" state="frozen"/>
      <selection activeCell="A14" sqref="A14"/>
      <selection pane="bottomLeft" activeCell="G107" sqref="G107"/>
    </sheetView>
  </sheetViews>
  <sheetFormatPr defaultColWidth="9.140625" defaultRowHeight="15" x14ac:dyDescent="0.25"/>
  <cols>
    <col min="1" max="1" width="23.7109375" style="393" customWidth="1"/>
    <col min="2" max="2" width="30.5703125" style="393" bestFit="1" customWidth="1"/>
    <col min="3" max="3" width="29.140625" style="393" customWidth="1"/>
    <col min="4" max="4" width="51.85546875" style="393" bestFit="1" customWidth="1"/>
    <col min="5" max="5" width="50.7109375" style="393" customWidth="1"/>
    <col min="6" max="6" width="79.7109375" style="394" customWidth="1"/>
    <col min="7" max="7" width="22.85546875" style="393" customWidth="1"/>
    <col min="8" max="8" width="19.140625" style="393" bestFit="1" customWidth="1"/>
    <col min="9" max="9" width="28.85546875" style="394" customWidth="1"/>
    <col min="10" max="10" width="28.85546875" style="395" customWidth="1"/>
    <col min="11" max="12" width="28.85546875" style="394" customWidth="1"/>
    <col min="13" max="14" width="28.85546875" style="395" customWidth="1"/>
    <col min="15" max="15" width="28.85546875" style="394" customWidth="1"/>
    <col min="16" max="16" width="27.85546875" style="394" customWidth="1"/>
    <col min="17" max="17" width="27.85546875" style="395" customWidth="1"/>
    <col min="18" max="19" width="27.85546875" style="394" customWidth="1"/>
    <col min="20" max="21" width="27.85546875" style="395" customWidth="1"/>
    <col min="22" max="22" width="27.85546875" style="393" customWidth="1"/>
    <col min="23" max="23" width="27.85546875" style="394" customWidth="1"/>
    <col min="24" max="24" width="27.85546875" style="395" customWidth="1"/>
    <col min="25" max="26" width="27.85546875" style="394" customWidth="1"/>
    <col min="27" max="28" width="27.85546875" style="395" customWidth="1"/>
    <col min="29" max="29" width="27.85546875" style="393" customWidth="1"/>
    <col min="30" max="30" width="27.85546875" style="394" customWidth="1"/>
    <col min="31" max="31" width="27.85546875" style="395" customWidth="1"/>
    <col min="32" max="33" width="27.85546875" style="394" customWidth="1"/>
    <col min="34" max="35" width="27.85546875" style="395" customWidth="1"/>
    <col min="36" max="36" width="27.85546875" style="393" customWidth="1"/>
    <col min="37" max="37" width="27.85546875" style="394" customWidth="1"/>
    <col min="38" max="38" width="27.85546875" style="395" customWidth="1"/>
    <col min="39" max="40" width="27.85546875" style="394" customWidth="1"/>
    <col min="41" max="42" width="27.85546875" style="395" customWidth="1"/>
    <col min="43" max="43" width="27.85546875" style="393" customWidth="1"/>
    <col min="44" max="44" width="27.85546875" style="394" customWidth="1"/>
    <col min="45" max="45" width="27.85546875" style="395" customWidth="1"/>
    <col min="46" max="47" width="27.85546875" style="394" customWidth="1"/>
    <col min="48" max="49" width="27.85546875" style="395" customWidth="1"/>
    <col min="50" max="50" width="27.85546875" style="393" customWidth="1"/>
    <col min="51" max="51" width="27.85546875" style="394" customWidth="1"/>
    <col min="52" max="52" width="27.85546875" style="395" customWidth="1"/>
    <col min="53" max="54" width="27.85546875" style="394" customWidth="1"/>
    <col min="55" max="56" width="27.85546875" style="395" customWidth="1"/>
    <col min="57" max="57" width="27.85546875" style="393" customWidth="1"/>
    <col min="58" max="58" width="38.85546875" style="401" customWidth="1"/>
    <col min="59" max="16384" width="9.140625" style="393"/>
  </cols>
  <sheetData>
    <row r="1" spans="1:58" s="405" customFormat="1" ht="20.25" customHeight="1" x14ac:dyDescent="0.2">
      <c r="A1" s="5"/>
      <c r="B1" s="313" t="s">
        <v>27</v>
      </c>
      <c r="C1" s="271" t="s">
        <v>26</v>
      </c>
      <c r="D1" s="271"/>
      <c r="E1" s="271"/>
      <c r="F1" s="271"/>
      <c r="G1" s="272"/>
      <c r="H1" s="272"/>
      <c r="I1" s="533" t="s">
        <v>5496</v>
      </c>
      <c r="J1" s="535">
        <f ca="1">TODAY()</f>
        <v>46266</v>
      </c>
      <c r="K1" s="283"/>
      <c r="L1" s="283"/>
      <c r="M1" s="283"/>
      <c r="N1" s="283"/>
      <c r="O1" s="283"/>
      <c r="P1" s="283"/>
      <c r="Q1" s="283"/>
      <c r="R1" s="283"/>
      <c r="S1" s="273"/>
      <c r="T1" s="273"/>
      <c r="U1" s="273"/>
      <c r="V1" s="273"/>
      <c r="W1" s="283"/>
      <c r="X1" s="283"/>
      <c r="Y1" s="283"/>
      <c r="Z1" s="273"/>
      <c r="AA1" s="273"/>
      <c r="AB1" s="273"/>
      <c r="AC1" s="273"/>
      <c r="AD1" s="283"/>
      <c r="AE1" s="283"/>
      <c r="AF1" s="283"/>
      <c r="AG1" s="273"/>
      <c r="AH1" s="273"/>
      <c r="AI1" s="273"/>
      <c r="AJ1" s="273"/>
      <c r="AK1" s="283"/>
      <c r="AL1" s="283"/>
      <c r="AM1" s="283"/>
      <c r="AN1" s="273"/>
      <c r="AO1" s="273"/>
      <c r="AP1" s="273"/>
      <c r="AQ1" s="273"/>
      <c r="AR1" s="283"/>
      <c r="AS1" s="283"/>
      <c r="AT1" s="283"/>
      <c r="AU1" s="273"/>
      <c r="AV1" s="273"/>
      <c r="AW1" s="273"/>
      <c r="AX1" s="273"/>
      <c r="AY1" s="283"/>
      <c r="AZ1" s="283"/>
      <c r="BA1" s="283"/>
      <c r="BB1" s="273"/>
      <c r="BC1" s="273"/>
      <c r="BD1" s="273"/>
      <c r="BE1" s="273"/>
      <c r="BF1" s="5"/>
    </row>
    <row r="2" spans="1:58" s="405" customFormat="1" ht="20.25" customHeight="1" x14ac:dyDescent="0.2">
      <c r="A2" s="5"/>
      <c r="B2" s="314" t="s">
        <v>6127</v>
      </c>
      <c r="C2" s="274" t="s">
        <v>31</v>
      </c>
      <c r="D2" s="274"/>
      <c r="E2" s="274"/>
      <c r="F2" s="274"/>
      <c r="G2" s="148"/>
      <c r="H2" s="148"/>
      <c r="I2" s="534"/>
      <c r="J2" s="536"/>
      <c r="K2" s="283"/>
      <c r="L2" s="283"/>
      <c r="M2" s="283"/>
      <c r="N2" s="283"/>
      <c r="O2" s="283"/>
      <c r="P2" s="283"/>
      <c r="Q2" s="283"/>
      <c r="R2" s="283"/>
      <c r="S2" s="273"/>
      <c r="T2" s="273"/>
      <c r="U2" s="273"/>
      <c r="V2" s="273"/>
      <c r="W2" s="283"/>
      <c r="X2" s="283"/>
      <c r="Y2" s="283"/>
      <c r="Z2" s="273"/>
      <c r="AA2" s="273"/>
      <c r="AB2" s="273"/>
      <c r="AC2" s="273"/>
      <c r="AD2" s="283"/>
      <c r="AE2" s="283"/>
      <c r="AF2" s="283"/>
      <c r="AG2" s="273"/>
      <c r="AH2" s="273"/>
      <c r="AI2" s="273"/>
      <c r="AJ2" s="273"/>
      <c r="AK2" s="283"/>
      <c r="AL2" s="283"/>
      <c r="AM2" s="283"/>
      <c r="AN2" s="273"/>
      <c r="AO2" s="273"/>
      <c r="AP2" s="273"/>
      <c r="AQ2" s="273"/>
      <c r="AR2" s="283"/>
      <c r="AS2" s="283"/>
      <c r="AT2" s="283"/>
      <c r="AU2" s="273"/>
      <c r="AV2" s="273"/>
      <c r="AW2" s="273"/>
      <c r="AX2" s="273"/>
      <c r="AY2" s="283"/>
      <c r="AZ2" s="283"/>
      <c r="BA2" s="283"/>
      <c r="BB2" s="273"/>
      <c r="BC2" s="273"/>
      <c r="BD2" s="273"/>
      <c r="BE2" s="273"/>
      <c r="BF2" s="5"/>
    </row>
    <row r="3" spans="1:58" s="405" customFormat="1" ht="20.25" customHeight="1" x14ac:dyDescent="0.2">
      <c r="A3" s="5"/>
      <c r="B3" s="314" t="s">
        <v>6128</v>
      </c>
      <c r="C3" s="274" t="s">
        <v>52</v>
      </c>
      <c r="D3" s="274"/>
      <c r="E3" s="274"/>
      <c r="F3" s="274"/>
      <c r="G3" s="148"/>
      <c r="H3" s="148"/>
      <c r="I3" s="284"/>
      <c r="J3" s="315"/>
      <c r="K3" s="283"/>
      <c r="L3" s="283"/>
      <c r="M3" s="283"/>
      <c r="N3" s="283"/>
      <c r="O3" s="283"/>
      <c r="P3" s="283"/>
      <c r="Q3" s="283"/>
      <c r="R3" s="283"/>
      <c r="S3" s="273"/>
      <c r="T3" s="273"/>
      <c r="U3" s="273"/>
      <c r="V3" s="273"/>
      <c r="W3" s="283"/>
      <c r="X3" s="283"/>
      <c r="Y3" s="283"/>
      <c r="Z3" s="273"/>
      <c r="AA3" s="273"/>
      <c r="AB3" s="273"/>
      <c r="AC3" s="273"/>
      <c r="AD3" s="283"/>
      <c r="AE3" s="283"/>
      <c r="AF3" s="283"/>
      <c r="AG3" s="273"/>
      <c r="AH3" s="273"/>
      <c r="AI3" s="273"/>
      <c r="AJ3" s="273"/>
      <c r="AK3" s="283"/>
      <c r="AL3" s="283"/>
      <c r="AM3" s="283"/>
      <c r="AN3" s="273"/>
      <c r="AO3" s="273"/>
      <c r="AP3" s="273"/>
      <c r="AQ3" s="273"/>
      <c r="AR3" s="283"/>
      <c r="AS3" s="283"/>
      <c r="AT3" s="283"/>
      <c r="AU3" s="273"/>
      <c r="AV3" s="273"/>
      <c r="AW3" s="273"/>
      <c r="AX3" s="273"/>
      <c r="AY3" s="283"/>
      <c r="AZ3" s="283"/>
      <c r="BA3" s="283"/>
      <c r="BB3" s="273"/>
      <c r="BC3" s="273"/>
      <c r="BD3" s="273"/>
      <c r="BE3" s="273"/>
      <c r="BF3" s="5"/>
    </row>
    <row r="4" spans="1:58" s="405" customFormat="1" x14ac:dyDescent="0.2">
      <c r="A4" s="5"/>
      <c r="B4" s="314"/>
      <c r="C4" s="274"/>
      <c r="D4" s="274"/>
      <c r="E4" s="274"/>
      <c r="F4" s="274"/>
      <c r="G4" s="148"/>
      <c r="H4" s="148"/>
      <c r="I4" s="284"/>
      <c r="J4" s="315"/>
      <c r="K4" s="283"/>
      <c r="L4" s="283"/>
      <c r="M4" s="283"/>
      <c r="N4" s="283"/>
      <c r="O4" s="283"/>
      <c r="P4" s="283"/>
      <c r="Q4" s="283"/>
      <c r="R4" s="283"/>
      <c r="S4" s="273"/>
      <c r="T4" s="273"/>
      <c r="U4" s="273"/>
      <c r="V4" s="273"/>
      <c r="W4" s="283"/>
      <c r="X4" s="283"/>
      <c r="Y4" s="283"/>
      <c r="Z4" s="273"/>
      <c r="AA4" s="273"/>
      <c r="AB4" s="273"/>
      <c r="AC4" s="273"/>
      <c r="AD4" s="283"/>
      <c r="AE4" s="283"/>
      <c r="AF4" s="283"/>
      <c r="AG4" s="273"/>
      <c r="AH4" s="273"/>
      <c r="AI4" s="273"/>
      <c r="AJ4" s="273"/>
      <c r="AK4" s="283"/>
      <c r="AL4" s="283"/>
      <c r="AM4" s="283"/>
      <c r="AN4" s="273"/>
      <c r="AO4" s="273"/>
      <c r="AP4" s="273"/>
      <c r="AQ4" s="273"/>
      <c r="AR4" s="283"/>
      <c r="AS4" s="283"/>
      <c r="AT4" s="283"/>
      <c r="AU4" s="273"/>
      <c r="AV4" s="273"/>
      <c r="AW4" s="273"/>
      <c r="AX4" s="273"/>
      <c r="AY4" s="283"/>
      <c r="AZ4" s="283"/>
      <c r="BA4" s="283"/>
      <c r="BB4" s="273"/>
      <c r="BC4" s="273"/>
      <c r="BD4" s="273"/>
      <c r="BE4" s="273"/>
      <c r="BF4" s="5"/>
    </row>
    <row r="5" spans="1:58" s="405" customFormat="1" ht="30" x14ac:dyDescent="0.2">
      <c r="A5" s="5"/>
      <c r="B5" s="316" t="s">
        <v>5</v>
      </c>
      <c r="C5" s="268" t="s">
        <v>18</v>
      </c>
      <c r="D5" s="268" t="s">
        <v>3</v>
      </c>
      <c r="E5" s="269" t="s">
        <v>14</v>
      </c>
      <c r="F5" s="268" t="s">
        <v>13</v>
      </c>
      <c r="G5" s="269" t="s">
        <v>4</v>
      </c>
      <c r="H5" s="269" t="s">
        <v>53</v>
      </c>
      <c r="I5" s="270" t="s">
        <v>331</v>
      </c>
      <c r="J5" s="317" t="s">
        <v>508</v>
      </c>
      <c r="K5" s="283"/>
      <c r="L5" s="283"/>
      <c r="M5" s="283"/>
      <c r="N5" s="283"/>
      <c r="O5" s="283"/>
      <c r="P5" s="283"/>
      <c r="Q5" s="283"/>
      <c r="R5" s="283"/>
      <c r="S5" s="273"/>
      <c r="T5" s="273"/>
      <c r="U5" s="273"/>
      <c r="V5" s="273"/>
      <c r="W5" s="283"/>
      <c r="X5" s="283"/>
      <c r="Y5" s="283"/>
      <c r="Z5" s="273"/>
      <c r="AA5" s="273"/>
      <c r="AB5" s="273"/>
      <c r="AC5" s="273"/>
      <c r="AD5" s="283"/>
      <c r="AE5" s="283"/>
      <c r="AF5" s="283"/>
      <c r="AG5" s="273"/>
      <c r="AH5" s="273"/>
      <c r="AI5" s="273"/>
      <c r="AJ5" s="273"/>
      <c r="AK5" s="283"/>
      <c r="AL5" s="283"/>
      <c r="AM5" s="283"/>
      <c r="AN5" s="273"/>
      <c r="AO5" s="273"/>
      <c r="AP5" s="273"/>
      <c r="AQ5" s="273"/>
      <c r="AR5" s="283"/>
      <c r="AS5" s="283"/>
      <c r="AT5" s="283"/>
      <c r="AU5" s="273"/>
      <c r="AV5" s="273"/>
      <c r="AW5" s="273"/>
      <c r="AX5" s="273"/>
      <c r="AY5" s="283"/>
      <c r="AZ5" s="283"/>
      <c r="BA5" s="283"/>
      <c r="BB5" s="273"/>
      <c r="BC5" s="273"/>
      <c r="BD5" s="273"/>
      <c r="BE5" s="273"/>
      <c r="BF5" s="5"/>
    </row>
    <row r="6" spans="1:58" s="405" customFormat="1" ht="21.75" customHeight="1" x14ac:dyDescent="0.2">
      <c r="A6" s="5"/>
      <c r="B6" s="318">
        <f>COUNTIF(B11:B102,"A - Work May Proceed")</f>
        <v>49</v>
      </c>
      <c r="C6" s="275">
        <f>COUNTIF(B11:B102,"B- Incorporate Comments - Proceed")</f>
        <v>8</v>
      </c>
      <c r="D6" s="275">
        <f>COUNTIF(B11:B102,"C - Revise and Resubmit - Do Not Proceed")</f>
        <v>0</v>
      </c>
      <c r="E6" s="275">
        <f>COUNTIF(B11:B102,"D - Rejected")</f>
        <v>1</v>
      </c>
      <c r="F6" s="275">
        <f>COUNTIF(B11:B102,"E - Review not Required - Proceed")</f>
        <v>0</v>
      </c>
      <c r="G6" s="276">
        <f>COUNTIF(B11:B102,"UR")</f>
        <v>1</v>
      </c>
      <c r="H6" s="276">
        <f>COUNTIF(B11:B102,"FA")</f>
        <v>0</v>
      </c>
      <c r="I6" s="285">
        <f>COUNTIF(B11:B102,"Terminated")</f>
        <v>0</v>
      </c>
      <c r="J6" s="319">
        <f>COUNTIF(B11:B102,"Cancelled")</f>
        <v>31</v>
      </c>
      <c r="K6" s="283"/>
      <c r="L6" s="283"/>
      <c r="M6" s="283"/>
      <c r="N6" s="283"/>
      <c r="O6" s="283"/>
      <c r="P6" s="283"/>
      <c r="Q6" s="283"/>
      <c r="R6" s="283"/>
      <c r="S6" s="273"/>
      <c r="T6" s="273"/>
      <c r="U6" s="273"/>
      <c r="V6" s="273"/>
      <c r="W6" s="283"/>
      <c r="X6" s="283"/>
      <c r="Y6" s="283"/>
      <c r="Z6" s="273"/>
      <c r="AA6" s="273"/>
      <c r="AB6" s="273"/>
      <c r="AC6" s="273"/>
      <c r="AD6" s="283"/>
      <c r="AE6" s="283"/>
      <c r="AF6" s="283"/>
      <c r="AG6" s="273"/>
      <c r="AH6" s="273"/>
      <c r="AI6" s="273"/>
      <c r="AJ6" s="273"/>
      <c r="AK6" s="283"/>
      <c r="AL6" s="283"/>
      <c r="AM6" s="283"/>
      <c r="AN6" s="273"/>
      <c r="AO6" s="273"/>
      <c r="AP6" s="273"/>
      <c r="AQ6" s="273"/>
      <c r="AR6" s="283"/>
      <c r="AS6" s="283"/>
      <c r="AT6" s="283"/>
      <c r="AU6" s="273"/>
      <c r="AV6" s="273"/>
      <c r="AW6" s="273"/>
      <c r="AX6" s="273"/>
      <c r="AY6" s="283"/>
      <c r="AZ6" s="283"/>
      <c r="BA6" s="283"/>
      <c r="BB6" s="273"/>
      <c r="BC6" s="273"/>
      <c r="BD6" s="273"/>
      <c r="BE6" s="273"/>
      <c r="BF6" s="5"/>
    </row>
    <row r="7" spans="1:58" s="405" customFormat="1" ht="21.75" customHeight="1" x14ac:dyDescent="0.2">
      <c r="A7" s="5"/>
      <c r="B7" s="320"/>
      <c r="C7" s="278"/>
      <c r="D7" s="279"/>
      <c r="E7" s="278"/>
      <c r="F7" s="278"/>
      <c r="G7" s="277"/>
      <c r="H7" s="278"/>
      <c r="I7" s="284"/>
      <c r="J7" s="315"/>
      <c r="K7" s="283"/>
      <c r="L7" s="283"/>
      <c r="M7" s="283"/>
      <c r="N7" s="283"/>
      <c r="O7" s="283"/>
      <c r="P7" s="283"/>
      <c r="Q7" s="283"/>
      <c r="R7" s="283"/>
      <c r="S7" s="273"/>
      <c r="T7" s="273"/>
      <c r="U7" s="273"/>
      <c r="V7" s="273"/>
      <c r="W7" s="283"/>
      <c r="X7" s="283"/>
      <c r="Y7" s="283"/>
      <c r="Z7" s="273"/>
      <c r="AA7" s="273"/>
      <c r="AB7" s="273"/>
      <c r="AC7" s="273"/>
      <c r="AD7" s="283"/>
      <c r="AE7" s="283"/>
      <c r="AF7" s="283"/>
      <c r="AG7" s="273"/>
      <c r="AH7" s="273"/>
      <c r="AI7" s="273"/>
      <c r="AJ7" s="273"/>
      <c r="AK7" s="283"/>
      <c r="AL7" s="283"/>
      <c r="AM7" s="283"/>
      <c r="AN7" s="273"/>
      <c r="AO7" s="273"/>
      <c r="AP7" s="273"/>
      <c r="AQ7" s="273"/>
      <c r="AR7" s="283"/>
      <c r="AS7" s="283"/>
      <c r="AT7" s="283"/>
      <c r="AU7" s="273"/>
      <c r="AV7" s="273"/>
      <c r="AW7" s="273"/>
      <c r="AX7" s="273"/>
      <c r="AY7" s="283"/>
      <c r="AZ7" s="283"/>
      <c r="BA7" s="283"/>
      <c r="BB7" s="273"/>
      <c r="BC7" s="273"/>
      <c r="BD7" s="273"/>
      <c r="BE7" s="273"/>
      <c r="BF7" s="5"/>
    </row>
    <row r="8" spans="1:58" s="405" customFormat="1" ht="21.75" customHeight="1" x14ac:dyDescent="0.2">
      <c r="A8" s="5"/>
      <c r="B8" s="321" t="s">
        <v>509</v>
      </c>
      <c r="C8" s="281">
        <f>SUM(B6:J6)</f>
        <v>90</v>
      </c>
      <c r="D8" s="279"/>
      <c r="E8" s="278"/>
      <c r="F8" s="278"/>
      <c r="G8" s="280"/>
      <c r="H8" s="282"/>
      <c r="I8" s="286"/>
      <c r="J8" s="322"/>
      <c r="K8" s="283"/>
      <c r="L8" s="283"/>
      <c r="M8" s="283"/>
      <c r="N8" s="283"/>
      <c r="O8" s="283"/>
      <c r="P8" s="283"/>
      <c r="Q8" s="283"/>
      <c r="R8" s="283"/>
      <c r="S8" s="273"/>
      <c r="T8" s="273"/>
      <c r="U8" s="273"/>
      <c r="V8" s="273"/>
      <c r="W8" s="283"/>
      <c r="X8" s="283"/>
      <c r="Y8" s="283"/>
      <c r="Z8" s="273"/>
      <c r="AA8" s="273"/>
      <c r="AB8" s="273"/>
      <c r="AC8" s="273"/>
      <c r="AD8" s="283"/>
      <c r="AE8" s="283"/>
      <c r="AF8" s="283"/>
      <c r="AG8" s="273"/>
      <c r="AH8" s="273"/>
      <c r="AI8" s="273"/>
      <c r="AJ8" s="273"/>
      <c r="AK8" s="283"/>
      <c r="AL8" s="283"/>
      <c r="AM8" s="283"/>
      <c r="AN8" s="273"/>
      <c r="AO8" s="273"/>
      <c r="AP8" s="273"/>
      <c r="AQ8" s="273"/>
      <c r="AR8" s="283"/>
      <c r="AS8" s="283"/>
      <c r="AT8" s="283"/>
      <c r="AU8" s="273"/>
      <c r="AV8" s="273"/>
      <c r="AW8" s="273"/>
      <c r="AX8" s="273"/>
      <c r="AY8" s="283"/>
      <c r="AZ8" s="283"/>
      <c r="BA8" s="283"/>
      <c r="BB8" s="273"/>
      <c r="BC8" s="273"/>
      <c r="BD8" s="273"/>
      <c r="BE8" s="273"/>
      <c r="BF8" s="5"/>
    </row>
    <row r="9" spans="1:58" s="428" customFormat="1" ht="20.25" thickBot="1" x14ac:dyDescent="0.3">
      <c r="A9" s="312"/>
      <c r="B9" s="430"/>
      <c r="C9" s="431"/>
      <c r="D9" s="431"/>
      <c r="E9" s="431"/>
      <c r="F9" s="431"/>
      <c r="G9" s="431"/>
      <c r="H9" s="431"/>
      <c r="I9" s="432"/>
      <c r="J9" s="433"/>
      <c r="K9" s="287"/>
      <c r="L9" s="287"/>
      <c r="M9" s="287"/>
      <c r="N9" s="287"/>
      <c r="O9" s="287"/>
      <c r="P9" s="287"/>
      <c r="Q9" s="287"/>
      <c r="R9" s="287"/>
      <c r="S9" s="257"/>
      <c r="T9" s="257"/>
      <c r="U9" s="257"/>
      <c r="V9" s="257"/>
      <c r="W9" s="287"/>
      <c r="X9" s="287"/>
      <c r="Y9" s="287"/>
      <c r="Z9" s="257"/>
      <c r="AA9" s="257"/>
      <c r="AB9" s="257"/>
      <c r="AC9" s="257"/>
      <c r="AD9" s="287"/>
      <c r="AE9" s="287"/>
      <c r="AF9" s="287"/>
      <c r="AG9" s="257"/>
      <c r="AH9" s="257"/>
      <c r="AI9" s="257"/>
      <c r="AJ9" s="257"/>
      <c r="AK9" s="287"/>
      <c r="AL9" s="287"/>
      <c r="AM9" s="287"/>
      <c r="AN9" s="257"/>
      <c r="AO9" s="257"/>
      <c r="AP9" s="257"/>
      <c r="AQ9" s="257"/>
      <c r="AR9" s="287"/>
      <c r="AS9" s="287"/>
      <c r="AT9" s="287"/>
      <c r="AU9" s="257"/>
      <c r="AV9" s="257"/>
      <c r="AW9" s="257"/>
      <c r="AX9" s="257"/>
      <c r="AY9" s="287"/>
      <c r="AZ9" s="287"/>
      <c r="BA9" s="287"/>
      <c r="BB9" s="257"/>
      <c r="BC9" s="257"/>
      <c r="BD9" s="257"/>
      <c r="BE9" s="257"/>
      <c r="BF9" s="249"/>
    </row>
    <row r="10" spans="1:58" s="429" customFormat="1" ht="21" customHeight="1" x14ac:dyDescent="0.2">
      <c r="A10" s="521" t="s">
        <v>3297</v>
      </c>
      <c r="B10" s="527" t="s">
        <v>17</v>
      </c>
      <c r="C10" s="527" t="s">
        <v>10</v>
      </c>
      <c r="D10" s="527" t="s">
        <v>8</v>
      </c>
      <c r="E10" s="527" t="s">
        <v>12</v>
      </c>
      <c r="F10" s="527" t="s">
        <v>1</v>
      </c>
      <c r="G10" s="527" t="s">
        <v>7</v>
      </c>
      <c r="H10" s="527" t="s">
        <v>2</v>
      </c>
      <c r="I10" s="529" t="s">
        <v>19</v>
      </c>
      <c r="J10" s="529"/>
      <c r="K10" s="529"/>
      <c r="L10" s="529"/>
      <c r="M10" s="529"/>
      <c r="N10" s="529"/>
      <c r="O10" s="529"/>
      <c r="P10" s="530" t="s">
        <v>20</v>
      </c>
      <c r="Q10" s="530"/>
      <c r="R10" s="530"/>
      <c r="S10" s="530"/>
      <c r="T10" s="530"/>
      <c r="U10" s="530"/>
      <c r="V10" s="530"/>
      <c r="W10" s="529" t="s">
        <v>21</v>
      </c>
      <c r="X10" s="529"/>
      <c r="Y10" s="529"/>
      <c r="Z10" s="529"/>
      <c r="AA10" s="529"/>
      <c r="AB10" s="529"/>
      <c r="AC10" s="529"/>
      <c r="AD10" s="531" t="s">
        <v>22</v>
      </c>
      <c r="AE10" s="531"/>
      <c r="AF10" s="531"/>
      <c r="AG10" s="531"/>
      <c r="AH10" s="531"/>
      <c r="AI10" s="531"/>
      <c r="AJ10" s="531"/>
      <c r="AK10" s="532" t="s">
        <v>23</v>
      </c>
      <c r="AL10" s="532"/>
      <c r="AM10" s="532"/>
      <c r="AN10" s="532"/>
      <c r="AO10" s="532"/>
      <c r="AP10" s="532"/>
      <c r="AQ10" s="532"/>
      <c r="AR10" s="523" t="s">
        <v>24</v>
      </c>
      <c r="AS10" s="523"/>
      <c r="AT10" s="523"/>
      <c r="AU10" s="523"/>
      <c r="AV10" s="523"/>
      <c r="AW10" s="523"/>
      <c r="AX10" s="523"/>
      <c r="AY10" s="524" t="s">
        <v>25</v>
      </c>
      <c r="AZ10" s="524"/>
      <c r="BA10" s="524"/>
      <c r="BB10" s="524"/>
      <c r="BC10" s="524"/>
      <c r="BD10" s="524"/>
      <c r="BE10" s="524"/>
      <c r="BF10" s="525" t="s">
        <v>126</v>
      </c>
    </row>
    <row r="11" spans="1:58" s="394" customFormat="1" ht="30" customHeight="1" x14ac:dyDescent="0.25">
      <c r="A11" s="522"/>
      <c r="B11" s="528"/>
      <c r="C11" s="528"/>
      <c r="D11" s="528"/>
      <c r="E11" s="528"/>
      <c r="F11" s="528"/>
      <c r="G11" s="528"/>
      <c r="H11" s="528"/>
      <c r="I11" s="288" t="s">
        <v>0</v>
      </c>
      <c r="J11" s="289" t="s">
        <v>9</v>
      </c>
      <c r="K11" s="288" t="s">
        <v>11</v>
      </c>
      <c r="L11" s="290" t="s">
        <v>939</v>
      </c>
      <c r="M11" s="289" t="s">
        <v>6</v>
      </c>
      <c r="N11" s="291" t="s">
        <v>940</v>
      </c>
      <c r="O11" s="288" t="s">
        <v>98</v>
      </c>
      <c r="P11" s="292" t="s">
        <v>0</v>
      </c>
      <c r="Q11" s="293" t="s">
        <v>9</v>
      </c>
      <c r="R11" s="292" t="s">
        <v>11</v>
      </c>
      <c r="S11" s="294" t="s">
        <v>939</v>
      </c>
      <c r="T11" s="293" t="s">
        <v>6</v>
      </c>
      <c r="U11" s="295" t="s">
        <v>940</v>
      </c>
      <c r="V11" s="292" t="s">
        <v>98</v>
      </c>
      <c r="W11" s="288" t="s">
        <v>0</v>
      </c>
      <c r="X11" s="289" t="s">
        <v>9</v>
      </c>
      <c r="Y11" s="288" t="s">
        <v>11</v>
      </c>
      <c r="Z11" s="290" t="s">
        <v>939</v>
      </c>
      <c r="AA11" s="289" t="s">
        <v>6</v>
      </c>
      <c r="AB11" s="291" t="s">
        <v>940</v>
      </c>
      <c r="AC11" s="288" t="s">
        <v>98</v>
      </c>
      <c r="AD11" s="296" t="s">
        <v>0</v>
      </c>
      <c r="AE11" s="302" t="s">
        <v>9</v>
      </c>
      <c r="AF11" s="296" t="s">
        <v>11</v>
      </c>
      <c r="AG11" s="297" t="s">
        <v>939</v>
      </c>
      <c r="AH11" s="302" t="s">
        <v>6</v>
      </c>
      <c r="AI11" s="303" t="s">
        <v>940</v>
      </c>
      <c r="AJ11" s="296" t="s">
        <v>98</v>
      </c>
      <c r="AK11" s="298" t="s">
        <v>0</v>
      </c>
      <c r="AL11" s="304" t="s">
        <v>9</v>
      </c>
      <c r="AM11" s="298" t="s">
        <v>11</v>
      </c>
      <c r="AN11" s="299" t="s">
        <v>939</v>
      </c>
      <c r="AO11" s="304" t="s">
        <v>6</v>
      </c>
      <c r="AP11" s="305" t="s">
        <v>940</v>
      </c>
      <c r="AQ11" s="298" t="s">
        <v>98</v>
      </c>
      <c r="AR11" s="300" t="s">
        <v>0</v>
      </c>
      <c r="AS11" s="306" t="s">
        <v>9</v>
      </c>
      <c r="AT11" s="300" t="s">
        <v>11</v>
      </c>
      <c r="AU11" s="301" t="s">
        <v>939</v>
      </c>
      <c r="AV11" s="306" t="s">
        <v>6</v>
      </c>
      <c r="AW11" s="307" t="s">
        <v>940</v>
      </c>
      <c r="AX11" s="300" t="s">
        <v>98</v>
      </c>
      <c r="AY11" s="308" t="s">
        <v>0</v>
      </c>
      <c r="AZ11" s="309" t="s">
        <v>9</v>
      </c>
      <c r="BA11" s="308" t="s">
        <v>11</v>
      </c>
      <c r="BB11" s="310" t="s">
        <v>939</v>
      </c>
      <c r="BC11" s="309" t="s">
        <v>6</v>
      </c>
      <c r="BD11" s="311" t="s">
        <v>940</v>
      </c>
      <c r="BE11" s="308" t="s">
        <v>98</v>
      </c>
      <c r="BF11" s="526"/>
    </row>
    <row r="12" spans="1:58" s="381" customFormat="1" ht="45" customHeight="1" x14ac:dyDescent="0.25">
      <c r="A12" s="258">
        <v>730007</v>
      </c>
      <c r="B12" s="60" t="s">
        <v>5</v>
      </c>
      <c r="C12" s="60" t="s">
        <v>588</v>
      </c>
      <c r="D12" s="10" t="s">
        <v>6745</v>
      </c>
      <c r="E12" s="10" t="s">
        <v>6744</v>
      </c>
      <c r="F12" s="16" t="s">
        <v>6743</v>
      </c>
      <c r="G12" s="10" t="s">
        <v>30</v>
      </c>
      <c r="H12" s="10" t="s">
        <v>52</v>
      </c>
      <c r="I12" s="55" t="s">
        <v>18</v>
      </c>
      <c r="J12" s="255">
        <v>45554</v>
      </c>
      <c r="K12" s="59" t="s">
        <v>6746</v>
      </c>
      <c r="L12" s="255">
        <f t="shared" ref="L12:L55" si="0">J12+7</f>
        <v>45561</v>
      </c>
      <c r="M12" s="255">
        <v>45561</v>
      </c>
      <c r="N12" s="256">
        <f t="shared" ref="N12:N51" si="1">M12-L12</f>
        <v>0</v>
      </c>
      <c r="O12" s="10" t="s">
        <v>7054</v>
      </c>
      <c r="P12" s="55" t="s">
        <v>18</v>
      </c>
      <c r="Q12" s="255">
        <v>46195</v>
      </c>
      <c r="R12" s="59" t="s">
        <v>7053</v>
      </c>
      <c r="S12" s="255">
        <f>Q12+7</f>
        <v>46202</v>
      </c>
      <c r="T12" s="255">
        <v>46198</v>
      </c>
      <c r="U12" s="256">
        <f>T12-S12</f>
        <v>-4</v>
      </c>
      <c r="V12" s="10" t="s">
        <v>7059</v>
      </c>
      <c r="W12" s="55" t="s">
        <v>5</v>
      </c>
      <c r="X12" s="255">
        <v>46201</v>
      </c>
      <c r="Y12" s="59" t="s">
        <v>7111</v>
      </c>
      <c r="Z12" s="255">
        <f>X12+7</f>
        <v>46208</v>
      </c>
      <c r="AA12" s="255">
        <v>46201</v>
      </c>
      <c r="AB12" s="256">
        <f>AA12-Z12</f>
        <v>-7</v>
      </c>
      <c r="AC12" s="10" t="s">
        <v>7120</v>
      </c>
      <c r="AD12" s="55"/>
      <c r="AE12" s="255"/>
      <c r="AF12" s="59"/>
      <c r="AG12" s="255"/>
      <c r="AH12" s="255"/>
      <c r="AI12" s="256"/>
      <c r="AJ12" s="10"/>
      <c r="AK12" s="55"/>
      <c r="AL12" s="255"/>
      <c r="AM12" s="59"/>
      <c r="AN12" s="255"/>
      <c r="AO12" s="255"/>
      <c r="AP12" s="256"/>
      <c r="AQ12" s="10"/>
      <c r="AR12" s="55"/>
      <c r="AS12" s="255"/>
      <c r="AT12" s="59"/>
      <c r="AU12" s="255"/>
      <c r="AV12" s="255"/>
      <c r="AW12" s="256"/>
      <c r="AX12" s="10"/>
      <c r="AY12" s="55"/>
      <c r="AZ12" s="255"/>
      <c r="BA12" s="59"/>
      <c r="BB12" s="255"/>
      <c r="BC12" s="255"/>
      <c r="BD12" s="256"/>
      <c r="BE12" s="10"/>
      <c r="BF12" s="259"/>
    </row>
    <row r="13" spans="1:58" s="381" customFormat="1" ht="45" customHeight="1" x14ac:dyDescent="0.25">
      <c r="A13" s="258">
        <v>730007</v>
      </c>
      <c r="B13" s="78" t="s">
        <v>508</v>
      </c>
      <c r="C13" s="60" t="s">
        <v>627</v>
      </c>
      <c r="D13" s="10" t="s">
        <v>46</v>
      </c>
      <c r="E13" s="10" t="s">
        <v>68</v>
      </c>
      <c r="F13" s="16" t="s">
        <v>32</v>
      </c>
      <c r="G13" s="10" t="s">
        <v>30</v>
      </c>
      <c r="H13" s="10" t="s">
        <v>52</v>
      </c>
      <c r="I13" s="55" t="s">
        <v>18</v>
      </c>
      <c r="J13" s="255">
        <v>45554</v>
      </c>
      <c r="K13" s="59" t="s">
        <v>55</v>
      </c>
      <c r="L13" s="255">
        <f t="shared" si="0"/>
        <v>45561</v>
      </c>
      <c r="M13" s="255">
        <v>45561</v>
      </c>
      <c r="N13" s="256">
        <f t="shared" si="1"/>
        <v>0</v>
      </c>
      <c r="O13" s="10" t="s">
        <v>195</v>
      </c>
      <c r="P13" s="9" t="s">
        <v>508</v>
      </c>
      <c r="Q13" s="255">
        <v>46233</v>
      </c>
      <c r="R13" s="150" t="s">
        <v>7389</v>
      </c>
      <c r="S13" s="255"/>
      <c r="T13" s="255"/>
      <c r="U13" s="256"/>
      <c r="V13" s="10"/>
      <c r="W13" s="55"/>
      <c r="X13" s="255"/>
      <c r="Y13" s="59"/>
      <c r="Z13" s="255"/>
      <c r="AA13" s="255"/>
      <c r="AB13" s="256"/>
      <c r="AC13" s="10"/>
      <c r="AD13" s="55"/>
      <c r="AE13" s="255"/>
      <c r="AF13" s="59"/>
      <c r="AG13" s="255"/>
      <c r="AH13" s="255"/>
      <c r="AI13" s="256"/>
      <c r="AJ13" s="10"/>
      <c r="AK13" s="55"/>
      <c r="AL13" s="255"/>
      <c r="AM13" s="59"/>
      <c r="AN13" s="255"/>
      <c r="AO13" s="255"/>
      <c r="AP13" s="256"/>
      <c r="AQ13" s="10"/>
      <c r="AR13" s="55"/>
      <c r="AS13" s="255"/>
      <c r="AT13" s="59"/>
      <c r="AU13" s="255"/>
      <c r="AV13" s="255"/>
      <c r="AW13" s="256"/>
      <c r="AX13" s="10"/>
      <c r="AY13" s="55"/>
      <c r="AZ13" s="255"/>
      <c r="BA13" s="59"/>
      <c r="BB13" s="255"/>
      <c r="BC13" s="255"/>
      <c r="BD13" s="256"/>
      <c r="BE13" s="10"/>
      <c r="BF13" s="259"/>
    </row>
    <row r="14" spans="1:58" s="381" customFormat="1" ht="45" customHeight="1" x14ac:dyDescent="0.25">
      <c r="A14" s="258">
        <v>730007</v>
      </c>
      <c r="B14" s="60" t="s">
        <v>5</v>
      </c>
      <c r="C14" s="60" t="s">
        <v>208</v>
      </c>
      <c r="D14" s="10" t="s">
        <v>47</v>
      </c>
      <c r="E14" s="10" t="s">
        <v>69</v>
      </c>
      <c r="F14" s="16" t="s">
        <v>34</v>
      </c>
      <c r="G14" s="10" t="s">
        <v>30</v>
      </c>
      <c r="H14" s="10" t="s">
        <v>52</v>
      </c>
      <c r="I14" s="60" t="s">
        <v>18</v>
      </c>
      <c r="J14" s="255">
        <v>45554</v>
      </c>
      <c r="K14" s="59" t="s">
        <v>56</v>
      </c>
      <c r="L14" s="255">
        <f t="shared" si="0"/>
        <v>45561</v>
      </c>
      <c r="M14" s="255">
        <v>45561</v>
      </c>
      <c r="N14" s="256">
        <f t="shared" si="1"/>
        <v>0</v>
      </c>
      <c r="O14" s="10" t="s">
        <v>194</v>
      </c>
      <c r="P14" s="60" t="s">
        <v>5</v>
      </c>
      <c r="Q14" s="255">
        <v>46195</v>
      </c>
      <c r="R14" s="59" t="s">
        <v>7067</v>
      </c>
      <c r="S14" s="255">
        <f>Q14+7</f>
        <v>46202</v>
      </c>
      <c r="T14" s="255">
        <v>46201</v>
      </c>
      <c r="U14" s="256">
        <f>T14-S14</f>
        <v>-1</v>
      </c>
      <c r="V14" s="10" t="s">
        <v>7075</v>
      </c>
      <c r="W14" s="60"/>
      <c r="X14" s="255"/>
      <c r="Y14" s="59"/>
      <c r="Z14" s="255"/>
      <c r="AA14" s="255"/>
      <c r="AB14" s="256"/>
      <c r="AC14" s="10"/>
      <c r="AD14" s="60"/>
      <c r="AE14" s="255"/>
      <c r="AF14" s="59"/>
      <c r="AG14" s="255"/>
      <c r="AH14" s="255"/>
      <c r="AI14" s="256"/>
      <c r="AJ14" s="10"/>
      <c r="AK14" s="60"/>
      <c r="AL14" s="255"/>
      <c r="AM14" s="59"/>
      <c r="AN14" s="255"/>
      <c r="AO14" s="255"/>
      <c r="AP14" s="256"/>
      <c r="AQ14" s="10"/>
      <c r="AR14" s="60"/>
      <c r="AS14" s="255"/>
      <c r="AT14" s="59"/>
      <c r="AU14" s="255"/>
      <c r="AV14" s="255"/>
      <c r="AW14" s="256"/>
      <c r="AX14" s="10"/>
      <c r="AY14" s="60"/>
      <c r="AZ14" s="255"/>
      <c r="BA14" s="59"/>
      <c r="BB14" s="255"/>
      <c r="BC14" s="255"/>
      <c r="BD14" s="256"/>
      <c r="BE14" s="10"/>
      <c r="BF14" s="259"/>
    </row>
    <row r="15" spans="1:58" s="381" customFormat="1" ht="45" customHeight="1" x14ac:dyDescent="0.25">
      <c r="A15" s="258">
        <v>730007</v>
      </c>
      <c r="B15" s="60" t="s">
        <v>5</v>
      </c>
      <c r="C15" s="60" t="s">
        <v>208</v>
      </c>
      <c r="D15" s="10" t="s">
        <v>48</v>
      </c>
      <c r="E15" s="10" t="s">
        <v>70</v>
      </c>
      <c r="F15" s="16" t="s">
        <v>33</v>
      </c>
      <c r="G15" s="10" t="s">
        <v>30</v>
      </c>
      <c r="H15" s="10" t="s">
        <v>52</v>
      </c>
      <c r="I15" s="60" t="s">
        <v>18</v>
      </c>
      <c r="J15" s="255">
        <v>45554</v>
      </c>
      <c r="K15" s="59" t="s">
        <v>57</v>
      </c>
      <c r="L15" s="255">
        <f t="shared" si="0"/>
        <v>45561</v>
      </c>
      <c r="M15" s="255">
        <v>45561</v>
      </c>
      <c r="N15" s="256">
        <f t="shared" si="1"/>
        <v>0</v>
      </c>
      <c r="O15" s="10" t="s">
        <v>196</v>
      </c>
      <c r="P15" s="60" t="s">
        <v>5</v>
      </c>
      <c r="Q15" s="255">
        <v>46195</v>
      </c>
      <c r="R15" s="59" t="s">
        <v>7064</v>
      </c>
      <c r="S15" s="255">
        <f>Q15+7</f>
        <v>46202</v>
      </c>
      <c r="T15" s="255">
        <v>46201</v>
      </c>
      <c r="U15" s="256">
        <f>T15-S15</f>
        <v>-1</v>
      </c>
      <c r="V15" s="10" t="s">
        <v>7092</v>
      </c>
      <c r="W15" s="60"/>
      <c r="X15" s="255"/>
      <c r="Y15" s="59"/>
      <c r="Z15" s="255"/>
      <c r="AA15" s="255"/>
      <c r="AB15" s="256"/>
      <c r="AC15" s="10"/>
      <c r="AD15" s="60"/>
      <c r="AE15" s="255"/>
      <c r="AF15" s="59"/>
      <c r="AG15" s="255"/>
      <c r="AH15" s="255"/>
      <c r="AI15" s="256"/>
      <c r="AJ15" s="10"/>
      <c r="AK15" s="60"/>
      <c r="AL15" s="255"/>
      <c r="AM15" s="59"/>
      <c r="AN15" s="255"/>
      <c r="AO15" s="255"/>
      <c r="AP15" s="256"/>
      <c r="AQ15" s="10"/>
      <c r="AR15" s="60"/>
      <c r="AS15" s="255"/>
      <c r="AT15" s="59"/>
      <c r="AU15" s="255"/>
      <c r="AV15" s="255"/>
      <c r="AW15" s="256"/>
      <c r="AX15" s="10"/>
      <c r="AY15" s="60"/>
      <c r="AZ15" s="255"/>
      <c r="BA15" s="59"/>
      <c r="BB15" s="255"/>
      <c r="BC15" s="255"/>
      <c r="BD15" s="256"/>
      <c r="BE15" s="10"/>
      <c r="BF15" s="259"/>
    </row>
    <row r="16" spans="1:58" s="381" customFormat="1" ht="45" customHeight="1" x14ac:dyDescent="0.25">
      <c r="A16" s="258">
        <v>730007</v>
      </c>
      <c r="B16" s="78" t="s">
        <v>508</v>
      </c>
      <c r="C16" s="60" t="s">
        <v>627</v>
      </c>
      <c r="D16" s="10" t="s">
        <v>49</v>
      </c>
      <c r="E16" s="10" t="s">
        <v>71</v>
      </c>
      <c r="F16" s="16" t="s">
        <v>35</v>
      </c>
      <c r="G16" s="10" t="s">
        <v>30</v>
      </c>
      <c r="H16" s="10" t="s">
        <v>52</v>
      </c>
      <c r="I16" s="55" t="s">
        <v>18</v>
      </c>
      <c r="J16" s="255">
        <v>45554</v>
      </c>
      <c r="K16" s="59" t="s">
        <v>58</v>
      </c>
      <c r="L16" s="255">
        <f t="shared" si="0"/>
        <v>45561</v>
      </c>
      <c r="M16" s="255">
        <v>45561</v>
      </c>
      <c r="N16" s="256">
        <f t="shared" si="1"/>
        <v>0</v>
      </c>
      <c r="O16" s="10" t="s">
        <v>197</v>
      </c>
      <c r="P16" s="55" t="s">
        <v>508</v>
      </c>
      <c r="Q16" s="255">
        <v>46196</v>
      </c>
      <c r="R16" s="59" t="s">
        <v>7071</v>
      </c>
      <c r="S16" s="255" t="s">
        <v>626</v>
      </c>
      <c r="T16" s="255" t="s">
        <v>626</v>
      </c>
      <c r="U16" s="255" t="s">
        <v>626</v>
      </c>
      <c r="V16" s="255" t="s">
        <v>626</v>
      </c>
      <c r="W16" s="55"/>
      <c r="X16" s="255"/>
      <c r="Y16" s="59"/>
      <c r="Z16" s="255"/>
      <c r="AA16" s="255"/>
      <c r="AB16" s="256"/>
      <c r="AC16" s="10"/>
      <c r="AD16" s="55"/>
      <c r="AE16" s="255"/>
      <c r="AF16" s="59"/>
      <c r="AG16" s="255"/>
      <c r="AH16" s="255"/>
      <c r="AI16" s="256"/>
      <c r="AJ16" s="10"/>
      <c r="AK16" s="55"/>
      <c r="AL16" s="255"/>
      <c r="AM16" s="59"/>
      <c r="AN16" s="255"/>
      <c r="AO16" s="255"/>
      <c r="AP16" s="256"/>
      <c r="AQ16" s="10"/>
      <c r="AR16" s="55"/>
      <c r="AS16" s="255"/>
      <c r="AT16" s="59"/>
      <c r="AU16" s="255"/>
      <c r="AV16" s="255"/>
      <c r="AW16" s="256"/>
      <c r="AX16" s="10"/>
      <c r="AY16" s="55"/>
      <c r="AZ16" s="255"/>
      <c r="BA16" s="59"/>
      <c r="BB16" s="255"/>
      <c r="BC16" s="255"/>
      <c r="BD16" s="256"/>
      <c r="BE16" s="10"/>
      <c r="BF16" s="259"/>
    </row>
    <row r="17" spans="1:58" s="381" customFormat="1" ht="45" customHeight="1" x14ac:dyDescent="0.25">
      <c r="A17" s="258">
        <v>730007</v>
      </c>
      <c r="B17" s="78" t="s">
        <v>508</v>
      </c>
      <c r="C17" s="60" t="s">
        <v>627</v>
      </c>
      <c r="D17" s="10" t="s">
        <v>50</v>
      </c>
      <c r="E17" s="10" t="s">
        <v>72</v>
      </c>
      <c r="F17" s="16" t="s">
        <v>36</v>
      </c>
      <c r="G17" s="10" t="s">
        <v>30</v>
      </c>
      <c r="H17" s="10" t="s">
        <v>52</v>
      </c>
      <c r="I17" s="55" t="s">
        <v>18</v>
      </c>
      <c r="J17" s="255">
        <v>45554</v>
      </c>
      <c r="K17" s="59" t="s">
        <v>59</v>
      </c>
      <c r="L17" s="255">
        <f t="shared" si="0"/>
        <v>45561</v>
      </c>
      <c r="M17" s="255">
        <v>45561</v>
      </c>
      <c r="N17" s="256">
        <f t="shared" si="1"/>
        <v>0</v>
      </c>
      <c r="O17" s="10" t="s">
        <v>198</v>
      </c>
      <c r="P17" s="55" t="s">
        <v>508</v>
      </c>
      <c r="Q17" s="255">
        <v>46196</v>
      </c>
      <c r="R17" s="59" t="s">
        <v>7071</v>
      </c>
      <c r="S17" s="255" t="s">
        <v>626</v>
      </c>
      <c r="T17" s="255" t="s">
        <v>626</v>
      </c>
      <c r="U17" s="255" t="s">
        <v>626</v>
      </c>
      <c r="V17" s="255" t="s">
        <v>626</v>
      </c>
      <c r="W17" s="55"/>
      <c r="X17" s="255"/>
      <c r="Y17" s="59"/>
      <c r="Z17" s="255"/>
      <c r="AA17" s="255"/>
      <c r="AB17" s="256"/>
      <c r="AC17" s="10"/>
      <c r="AD17" s="55"/>
      <c r="AE17" s="255"/>
      <c r="AF17" s="59"/>
      <c r="AG17" s="255"/>
      <c r="AH17" s="255"/>
      <c r="AI17" s="256"/>
      <c r="AJ17" s="10"/>
      <c r="AK17" s="55"/>
      <c r="AL17" s="255"/>
      <c r="AM17" s="59"/>
      <c r="AN17" s="255"/>
      <c r="AO17" s="255"/>
      <c r="AP17" s="256"/>
      <c r="AQ17" s="10"/>
      <c r="AR17" s="55"/>
      <c r="AS17" s="255"/>
      <c r="AT17" s="59"/>
      <c r="AU17" s="255"/>
      <c r="AV17" s="255"/>
      <c r="AW17" s="256"/>
      <c r="AX17" s="10"/>
      <c r="AY17" s="55"/>
      <c r="AZ17" s="255"/>
      <c r="BA17" s="59"/>
      <c r="BB17" s="255"/>
      <c r="BC17" s="255"/>
      <c r="BD17" s="256"/>
      <c r="BE17" s="10"/>
      <c r="BF17" s="259"/>
    </row>
    <row r="18" spans="1:58" s="381" customFormat="1" ht="45" customHeight="1" x14ac:dyDescent="0.25">
      <c r="A18" s="258">
        <v>730007</v>
      </c>
      <c r="B18" s="60" t="s">
        <v>5</v>
      </c>
      <c r="C18" s="60" t="s">
        <v>208</v>
      </c>
      <c r="D18" s="10" t="s">
        <v>51</v>
      </c>
      <c r="E18" s="10" t="s">
        <v>73</v>
      </c>
      <c r="F18" s="16" t="s">
        <v>37</v>
      </c>
      <c r="G18" s="10" t="s">
        <v>30</v>
      </c>
      <c r="H18" s="10" t="s">
        <v>52</v>
      </c>
      <c r="I18" s="55" t="s">
        <v>18</v>
      </c>
      <c r="J18" s="255">
        <v>45554</v>
      </c>
      <c r="K18" s="59" t="s">
        <v>60</v>
      </c>
      <c r="L18" s="255">
        <f t="shared" si="0"/>
        <v>45561</v>
      </c>
      <c r="M18" s="255">
        <v>45563</v>
      </c>
      <c r="N18" s="256">
        <f t="shared" si="1"/>
        <v>2</v>
      </c>
      <c r="O18" s="10" t="s">
        <v>222</v>
      </c>
      <c r="P18" s="55" t="s">
        <v>5</v>
      </c>
      <c r="Q18" s="255">
        <v>46195</v>
      </c>
      <c r="R18" s="59" t="s">
        <v>7065</v>
      </c>
      <c r="S18" s="255">
        <f t="shared" ref="S18:S23" si="2">Q18+7</f>
        <v>46202</v>
      </c>
      <c r="T18" s="255">
        <v>46198</v>
      </c>
      <c r="U18" s="256">
        <f t="shared" ref="U18:U23" si="3">T18-S18</f>
        <v>-4</v>
      </c>
      <c r="V18" s="10" t="s">
        <v>7076</v>
      </c>
      <c r="W18" s="55"/>
      <c r="X18" s="255"/>
      <c r="Y18" s="59"/>
      <c r="Z18" s="255"/>
      <c r="AA18" s="255"/>
      <c r="AB18" s="256"/>
      <c r="AC18" s="10"/>
      <c r="AD18" s="55"/>
      <c r="AE18" s="255"/>
      <c r="AF18" s="59"/>
      <c r="AG18" s="255"/>
      <c r="AH18" s="255"/>
      <c r="AI18" s="256"/>
      <c r="AJ18" s="10"/>
      <c r="AK18" s="55"/>
      <c r="AL18" s="255"/>
      <c r="AM18" s="59"/>
      <c r="AN18" s="255"/>
      <c r="AO18" s="255"/>
      <c r="AP18" s="256"/>
      <c r="AQ18" s="10"/>
      <c r="AR18" s="55"/>
      <c r="AS18" s="255"/>
      <c r="AT18" s="59"/>
      <c r="AU18" s="255"/>
      <c r="AV18" s="255"/>
      <c r="AW18" s="256"/>
      <c r="AX18" s="10"/>
      <c r="AY18" s="55"/>
      <c r="AZ18" s="255"/>
      <c r="BA18" s="59"/>
      <c r="BB18" s="255"/>
      <c r="BC18" s="255"/>
      <c r="BD18" s="256"/>
      <c r="BE18" s="10"/>
      <c r="BF18" s="259"/>
    </row>
    <row r="19" spans="1:58" s="381" customFormat="1" ht="45" customHeight="1" x14ac:dyDescent="0.25">
      <c r="A19" s="258">
        <v>730007</v>
      </c>
      <c r="B19" s="60" t="s">
        <v>5</v>
      </c>
      <c r="C19" s="60" t="s">
        <v>588</v>
      </c>
      <c r="D19" s="10" t="s">
        <v>61</v>
      </c>
      <c r="E19" s="10" t="s">
        <v>74</v>
      </c>
      <c r="F19" s="16" t="s">
        <v>7146</v>
      </c>
      <c r="G19" s="10" t="s">
        <v>30</v>
      </c>
      <c r="H19" s="10" t="s">
        <v>52</v>
      </c>
      <c r="I19" s="55" t="s">
        <v>18</v>
      </c>
      <c r="J19" s="255">
        <v>45554</v>
      </c>
      <c r="K19" s="59" t="s">
        <v>81</v>
      </c>
      <c r="L19" s="255">
        <f t="shared" si="0"/>
        <v>45561</v>
      </c>
      <c r="M19" s="255">
        <v>45563</v>
      </c>
      <c r="N19" s="256">
        <f t="shared" si="1"/>
        <v>2</v>
      </c>
      <c r="O19" s="10" t="s">
        <v>223</v>
      </c>
      <c r="P19" s="55" t="s">
        <v>18</v>
      </c>
      <c r="Q19" s="255">
        <v>46203</v>
      </c>
      <c r="R19" s="59" t="s">
        <v>7147</v>
      </c>
      <c r="S19" s="255">
        <f t="shared" si="2"/>
        <v>46210</v>
      </c>
      <c r="T19" s="255">
        <v>46209</v>
      </c>
      <c r="U19" s="256">
        <f t="shared" si="3"/>
        <v>-1</v>
      </c>
      <c r="V19" s="10" t="s">
        <v>7161</v>
      </c>
      <c r="W19" s="55" t="s">
        <v>5</v>
      </c>
      <c r="X19" s="255">
        <v>46210</v>
      </c>
      <c r="Y19" s="59" t="s">
        <v>7221</v>
      </c>
      <c r="Z19" s="255">
        <f>X19+7</f>
        <v>46217</v>
      </c>
      <c r="AA19" s="255">
        <v>46225</v>
      </c>
      <c r="AB19" s="256">
        <f>AA19-Z19</f>
        <v>8</v>
      </c>
      <c r="AC19" s="10" t="s">
        <v>7242</v>
      </c>
      <c r="AD19" s="55"/>
      <c r="AE19" s="255"/>
      <c r="AF19" s="59"/>
      <c r="AG19" s="255"/>
      <c r="AH19" s="255"/>
      <c r="AI19" s="256"/>
      <c r="AJ19" s="10"/>
      <c r="AK19" s="55"/>
      <c r="AL19" s="255"/>
      <c r="AM19" s="59"/>
      <c r="AN19" s="255"/>
      <c r="AO19" s="255"/>
      <c r="AP19" s="256"/>
      <c r="AQ19" s="10"/>
      <c r="AR19" s="55"/>
      <c r="AS19" s="255"/>
      <c r="AT19" s="59"/>
      <c r="AU19" s="255"/>
      <c r="AV19" s="255"/>
      <c r="AW19" s="256"/>
      <c r="AX19" s="10"/>
      <c r="AY19" s="55"/>
      <c r="AZ19" s="255"/>
      <c r="BA19" s="59"/>
      <c r="BB19" s="255"/>
      <c r="BC19" s="255"/>
      <c r="BD19" s="256"/>
      <c r="BE19" s="10"/>
      <c r="BF19" s="259"/>
    </row>
    <row r="20" spans="1:58" s="381" customFormat="1" ht="45" customHeight="1" x14ac:dyDescent="0.25">
      <c r="A20" s="258">
        <v>730007</v>
      </c>
      <c r="B20" s="60" t="s">
        <v>5</v>
      </c>
      <c r="C20" s="60" t="s">
        <v>588</v>
      </c>
      <c r="D20" s="10" t="s">
        <v>62</v>
      </c>
      <c r="E20" s="10" t="s">
        <v>75</v>
      </c>
      <c r="F20" s="16" t="s">
        <v>38</v>
      </c>
      <c r="G20" s="10" t="s">
        <v>30</v>
      </c>
      <c r="H20" s="10" t="s">
        <v>52</v>
      </c>
      <c r="I20" s="55" t="s">
        <v>18</v>
      </c>
      <c r="J20" s="255">
        <v>45554</v>
      </c>
      <c r="K20" s="59" t="s">
        <v>82</v>
      </c>
      <c r="L20" s="255">
        <f t="shared" si="0"/>
        <v>45561</v>
      </c>
      <c r="M20" s="255">
        <v>45563</v>
      </c>
      <c r="N20" s="256">
        <f t="shared" si="1"/>
        <v>2</v>
      </c>
      <c r="O20" s="10" t="s">
        <v>224</v>
      </c>
      <c r="P20" s="55" t="s">
        <v>18</v>
      </c>
      <c r="Q20" s="255">
        <v>46203</v>
      </c>
      <c r="R20" s="59" t="s">
        <v>7159</v>
      </c>
      <c r="S20" s="255">
        <f t="shared" si="2"/>
        <v>46210</v>
      </c>
      <c r="T20" s="255">
        <v>46211</v>
      </c>
      <c r="U20" s="256">
        <f t="shared" si="3"/>
        <v>1</v>
      </c>
      <c r="V20" s="10" t="s">
        <v>7170</v>
      </c>
      <c r="W20" s="55" t="s">
        <v>5</v>
      </c>
      <c r="X20" s="255">
        <v>46211</v>
      </c>
      <c r="Y20" s="59" t="s">
        <v>7244</v>
      </c>
      <c r="Z20" s="255">
        <f>X20+7</f>
        <v>46218</v>
      </c>
      <c r="AA20" s="255">
        <v>46225</v>
      </c>
      <c r="AB20" s="256">
        <f>AA20-Z20</f>
        <v>7</v>
      </c>
      <c r="AC20" s="10" t="s">
        <v>7253</v>
      </c>
      <c r="AD20" s="55"/>
      <c r="AE20" s="255"/>
      <c r="AF20" s="59"/>
      <c r="AG20" s="255"/>
      <c r="AH20" s="255"/>
      <c r="AI20" s="256"/>
      <c r="AJ20" s="10"/>
      <c r="AK20" s="55"/>
      <c r="AL20" s="255"/>
      <c r="AM20" s="59"/>
      <c r="AN20" s="255"/>
      <c r="AO20" s="255"/>
      <c r="AP20" s="256"/>
      <c r="AQ20" s="10"/>
      <c r="AR20" s="55"/>
      <c r="AS20" s="255"/>
      <c r="AT20" s="59"/>
      <c r="AU20" s="255"/>
      <c r="AV20" s="255"/>
      <c r="AW20" s="256"/>
      <c r="AX20" s="10"/>
      <c r="AY20" s="55"/>
      <c r="AZ20" s="255"/>
      <c r="BA20" s="59"/>
      <c r="BB20" s="255"/>
      <c r="BC20" s="255"/>
      <c r="BD20" s="256"/>
      <c r="BE20" s="10"/>
      <c r="BF20" s="259"/>
    </row>
    <row r="21" spans="1:58" s="381" customFormat="1" ht="45" customHeight="1" x14ac:dyDescent="0.25">
      <c r="A21" s="258">
        <v>730007</v>
      </c>
      <c r="B21" s="60" t="s">
        <v>5</v>
      </c>
      <c r="C21" s="60" t="s">
        <v>208</v>
      </c>
      <c r="D21" s="10" t="s">
        <v>63</v>
      </c>
      <c r="E21" s="10" t="s">
        <v>76</v>
      </c>
      <c r="F21" s="16" t="s">
        <v>39</v>
      </c>
      <c r="G21" s="10" t="s">
        <v>30</v>
      </c>
      <c r="H21" s="10" t="s">
        <v>52</v>
      </c>
      <c r="I21" s="55" t="s">
        <v>18</v>
      </c>
      <c r="J21" s="255">
        <v>45554</v>
      </c>
      <c r="K21" s="59" t="s">
        <v>83</v>
      </c>
      <c r="L21" s="255">
        <f t="shared" si="0"/>
        <v>45561</v>
      </c>
      <c r="M21" s="255">
        <v>45563</v>
      </c>
      <c r="N21" s="256">
        <f t="shared" si="1"/>
        <v>2</v>
      </c>
      <c r="O21" s="10" t="s">
        <v>225</v>
      </c>
      <c r="P21" s="55" t="s">
        <v>5</v>
      </c>
      <c r="Q21" s="255">
        <v>46202</v>
      </c>
      <c r="R21" s="59" t="s">
        <v>7139</v>
      </c>
      <c r="S21" s="255">
        <f t="shared" si="2"/>
        <v>46209</v>
      </c>
      <c r="T21" s="255">
        <v>46208</v>
      </c>
      <c r="U21" s="256">
        <f t="shared" si="3"/>
        <v>-1</v>
      </c>
      <c r="V21" s="10" t="s">
        <v>7153</v>
      </c>
      <c r="W21" s="55"/>
      <c r="X21" s="255"/>
      <c r="Y21" s="59"/>
      <c r="Z21" s="255"/>
      <c r="AA21" s="255"/>
      <c r="AB21" s="256"/>
      <c r="AC21" s="10"/>
      <c r="AD21" s="55"/>
      <c r="AE21" s="255"/>
      <c r="AF21" s="59"/>
      <c r="AG21" s="255"/>
      <c r="AH21" s="255"/>
      <c r="AI21" s="256"/>
      <c r="AJ21" s="10"/>
      <c r="AK21" s="55"/>
      <c r="AL21" s="255"/>
      <c r="AM21" s="59"/>
      <c r="AN21" s="255"/>
      <c r="AO21" s="255"/>
      <c r="AP21" s="256"/>
      <c r="AQ21" s="10"/>
      <c r="AR21" s="55"/>
      <c r="AS21" s="255"/>
      <c r="AT21" s="59"/>
      <c r="AU21" s="255"/>
      <c r="AV21" s="255"/>
      <c r="AW21" s="256"/>
      <c r="AX21" s="10"/>
      <c r="AY21" s="55"/>
      <c r="AZ21" s="255"/>
      <c r="BA21" s="59"/>
      <c r="BB21" s="255"/>
      <c r="BC21" s="255"/>
      <c r="BD21" s="256"/>
      <c r="BE21" s="10"/>
      <c r="BF21" s="259"/>
    </row>
    <row r="22" spans="1:58" s="381" customFormat="1" ht="45" customHeight="1" x14ac:dyDescent="0.25">
      <c r="A22" s="258">
        <v>730007</v>
      </c>
      <c r="B22" s="60" t="s">
        <v>5</v>
      </c>
      <c r="C22" s="60" t="s">
        <v>588</v>
      </c>
      <c r="D22" s="10" t="s">
        <v>64</v>
      </c>
      <c r="E22" s="10" t="s">
        <v>77</v>
      </c>
      <c r="F22" s="16" t="s">
        <v>40</v>
      </c>
      <c r="G22" s="10" t="s">
        <v>30</v>
      </c>
      <c r="H22" s="10" t="s">
        <v>52</v>
      </c>
      <c r="I22" s="55" t="s">
        <v>18</v>
      </c>
      <c r="J22" s="255">
        <v>45554</v>
      </c>
      <c r="K22" s="59" t="s">
        <v>84</v>
      </c>
      <c r="L22" s="255">
        <f t="shared" si="0"/>
        <v>45561</v>
      </c>
      <c r="M22" s="255">
        <v>45563</v>
      </c>
      <c r="N22" s="256">
        <f t="shared" si="1"/>
        <v>2</v>
      </c>
      <c r="O22" s="10" t="s">
        <v>226</v>
      </c>
      <c r="P22" s="55" t="s">
        <v>18</v>
      </c>
      <c r="Q22" s="255">
        <v>46217</v>
      </c>
      <c r="R22" s="59" t="s">
        <v>7284</v>
      </c>
      <c r="S22" s="255">
        <f t="shared" si="2"/>
        <v>46224</v>
      </c>
      <c r="T22" s="255">
        <v>46229</v>
      </c>
      <c r="U22" s="256">
        <f t="shared" si="3"/>
        <v>5</v>
      </c>
      <c r="V22" s="151" t="s">
        <v>7292</v>
      </c>
      <c r="W22" s="55" t="s">
        <v>5</v>
      </c>
      <c r="X22" s="255">
        <v>46229</v>
      </c>
      <c r="Y22" s="150" t="s">
        <v>7330</v>
      </c>
      <c r="Z22" s="255">
        <f>X22+7</f>
        <v>46236</v>
      </c>
      <c r="AA22" s="255">
        <v>46233</v>
      </c>
      <c r="AB22" s="256">
        <f>AA22-Z22</f>
        <v>-3</v>
      </c>
      <c r="AC22" s="151" t="s">
        <v>7333</v>
      </c>
      <c r="AD22" s="55"/>
      <c r="AE22" s="255"/>
      <c r="AF22" s="59"/>
      <c r="AG22" s="255"/>
      <c r="AH22" s="255"/>
      <c r="AI22" s="256"/>
      <c r="AJ22" s="10"/>
      <c r="AK22" s="55"/>
      <c r="AL22" s="255"/>
      <c r="AM22" s="59"/>
      <c r="AN22" s="255"/>
      <c r="AO22" s="255"/>
      <c r="AP22" s="256"/>
      <c r="AQ22" s="10"/>
      <c r="AR22" s="55"/>
      <c r="AS22" s="255"/>
      <c r="AT22" s="59"/>
      <c r="AU22" s="255"/>
      <c r="AV22" s="255"/>
      <c r="AW22" s="256"/>
      <c r="AX22" s="10"/>
      <c r="AY22" s="55"/>
      <c r="AZ22" s="255"/>
      <c r="BA22" s="59"/>
      <c r="BB22" s="255"/>
      <c r="BC22" s="255"/>
      <c r="BD22" s="256"/>
      <c r="BE22" s="10"/>
      <c r="BF22" s="259"/>
    </row>
    <row r="23" spans="1:58" s="381" customFormat="1" ht="45" customHeight="1" x14ac:dyDescent="0.25">
      <c r="A23" s="258">
        <v>730007</v>
      </c>
      <c r="B23" s="60" t="s">
        <v>5</v>
      </c>
      <c r="C23" s="60" t="s">
        <v>208</v>
      </c>
      <c r="D23" s="10" t="s">
        <v>65</v>
      </c>
      <c r="E23" s="10" t="s">
        <v>78</v>
      </c>
      <c r="F23" s="16" t="s">
        <v>41</v>
      </c>
      <c r="G23" s="10" t="s">
        <v>30</v>
      </c>
      <c r="H23" s="10" t="s">
        <v>52</v>
      </c>
      <c r="I23" s="55" t="s">
        <v>18</v>
      </c>
      <c r="J23" s="255">
        <v>45554</v>
      </c>
      <c r="K23" s="59" t="s">
        <v>85</v>
      </c>
      <c r="L23" s="255">
        <f t="shared" si="0"/>
        <v>45561</v>
      </c>
      <c r="M23" s="255">
        <v>45563</v>
      </c>
      <c r="N23" s="256">
        <f t="shared" si="1"/>
        <v>2</v>
      </c>
      <c r="O23" s="10" t="s">
        <v>227</v>
      </c>
      <c r="P23" s="55" t="s">
        <v>5</v>
      </c>
      <c r="Q23" s="255">
        <v>46055</v>
      </c>
      <c r="R23" s="59" t="s">
        <v>5735</v>
      </c>
      <c r="S23" s="255">
        <f t="shared" si="2"/>
        <v>46062</v>
      </c>
      <c r="T23" s="255">
        <v>46056</v>
      </c>
      <c r="U23" s="256">
        <f t="shared" si="3"/>
        <v>-6</v>
      </c>
      <c r="V23" s="10" t="s">
        <v>5744</v>
      </c>
      <c r="W23" s="55"/>
      <c r="X23" s="255"/>
      <c r="Y23" s="59"/>
      <c r="Z23" s="255"/>
      <c r="AA23" s="255"/>
      <c r="AB23" s="256"/>
      <c r="AC23" s="10"/>
      <c r="AD23" s="55"/>
      <c r="AE23" s="255"/>
      <c r="AF23" s="59"/>
      <c r="AG23" s="255"/>
      <c r="AH23" s="255"/>
      <c r="AI23" s="256"/>
      <c r="AJ23" s="10"/>
      <c r="AK23" s="55"/>
      <c r="AL23" s="255"/>
      <c r="AM23" s="59"/>
      <c r="AN23" s="255"/>
      <c r="AO23" s="255"/>
      <c r="AP23" s="256"/>
      <c r="AQ23" s="10"/>
      <c r="AR23" s="55"/>
      <c r="AS23" s="255"/>
      <c r="AT23" s="59"/>
      <c r="AU23" s="255"/>
      <c r="AV23" s="255"/>
      <c r="AW23" s="256"/>
      <c r="AX23" s="10"/>
      <c r="AY23" s="55"/>
      <c r="AZ23" s="255"/>
      <c r="BA23" s="59"/>
      <c r="BB23" s="255"/>
      <c r="BC23" s="255"/>
      <c r="BD23" s="256"/>
      <c r="BE23" s="10"/>
      <c r="BF23" s="259"/>
    </row>
    <row r="24" spans="1:58" s="381" customFormat="1" ht="45" customHeight="1" x14ac:dyDescent="0.25">
      <c r="A24" s="258">
        <v>730007</v>
      </c>
      <c r="B24" s="78" t="s">
        <v>508</v>
      </c>
      <c r="C24" s="60" t="s">
        <v>54</v>
      </c>
      <c r="D24" s="10" t="s">
        <v>66</v>
      </c>
      <c r="E24" s="10" t="s">
        <v>79</v>
      </c>
      <c r="F24" s="16" t="s">
        <v>42</v>
      </c>
      <c r="G24" s="10" t="s">
        <v>30</v>
      </c>
      <c r="H24" s="10" t="s">
        <v>52</v>
      </c>
      <c r="I24" s="55" t="s">
        <v>18</v>
      </c>
      <c r="J24" s="255">
        <v>45554</v>
      </c>
      <c r="K24" s="59" t="s">
        <v>86</v>
      </c>
      <c r="L24" s="255">
        <f t="shared" si="0"/>
        <v>45561</v>
      </c>
      <c r="M24" s="255">
        <v>45563</v>
      </c>
      <c r="N24" s="256">
        <f t="shared" si="1"/>
        <v>2</v>
      </c>
      <c r="O24" s="10" t="s">
        <v>228</v>
      </c>
      <c r="P24" s="9" t="s">
        <v>508</v>
      </c>
      <c r="Q24" s="255">
        <v>46233</v>
      </c>
      <c r="R24" s="150" t="s">
        <v>7389</v>
      </c>
      <c r="S24" s="255"/>
      <c r="T24" s="255"/>
      <c r="U24" s="256"/>
      <c r="V24" s="10"/>
      <c r="W24" s="55"/>
      <c r="X24" s="255"/>
      <c r="Y24" s="59"/>
      <c r="Z24" s="255"/>
      <c r="AA24" s="255"/>
      <c r="AB24" s="256"/>
      <c r="AC24" s="10"/>
      <c r="AD24" s="55"/>
      <c r="AE24" s="255"/>
      <c r="AF24" s="59"/>
      <c r="AG24" s="255"/>
      <c r="AH24" s="255"/>
      <c r="AI24" s="256"/>
      <c r="AJ24" s="10"/>
      <c r="AK24" s="55"/>
      <c r="AL24" s="255"/>
      <c r="AM24" s="59"/>
      <c r="AN24" s="255"/>
      <c r="AO24" s="255"/>
      <c r="AP24" s="256"/>
      <c r="AQ24" s="10"/>
      <c r="AR24" s="55"/>
      <c r="AS24" s="255"/>
      <c r="AT24" s="59"/>
      <c r="AU24" s="255"/>
      <c r="AV24" s="255"/>
      <c r="AW24" s="256"/>
      <c r="AX24" s="10"/>
      <c r="AY24" s="55"/>
      <c r="AZ24" s="255"/>
      <c r="BA24" s="59"/>
      <c r="BB24" s="255"/>
      <c r="BC24" s="255"/>
      <c r="BD24" s="256"/>
      <c r="BE24" s="10"/>
      <c r="BF24" s="259"/>
    </row>
    <row r="25" spans="1:58" s="381" customFormat="1" ht="45" customHeight="1" x14ac:dyDescent="0.25">
      <c r="A25" s="258">
        <v>730007</v>
      </c>
      <c r="B25" s="60" t="s">
        <v>5</v>
      </c>
      <c r="C25" s="60" t="s">
        <v>588</v>
      </c>
      <c r="D25" s="10" t="s">
        <v>67</v>
      </c>
      <c r="E25" s="10" t="s">
        <v>80</v>
      </c>
      <c r="F25" s="16" t="s">
        <v>43</v>
      </c>
      <c r="G25" s="10" t="s">
        <v>30</v>
      </c>
      <c r="H25" s="10" t="s">
        <v>52</v>
      </c>
      <c r="I25" s="55" t="s">
        <v>18</v>
      </c>
      <c r="J25" s="255">
        <v>45554</v>
      </c>
      <c r="K25" s="59" t="s">
        <v>87</v>
      </c>
      <c r="L25" s="255">
        <f t="shared" si="0"/>
        <v>45561</v>
      </c>
      <c r="M25" s="255">
        <v>45563</v>
      </c>
      <c r="N25" s="256">
        <f t="shared" si="1"/>
        <v>2</v>
      </c>
      <c r="O25" s="10" t="s">
        <v>229</v>
      </c>
      <c r="P25" s="55" t="s">
        <v>3</v>
      </c>
      <c r="Q25" s="255">
        <v>46065</v>
      </c>
      <c r="R25" s="59" t="s">
        <v>5846</v>
      </c>
      <c r="S25" s="255">
        <f>Q25+7</f>
        <v>46072</v>
      </c>
      <c r="T25" s="255">
        <v>46068</v>
      </c>
      <c r="U25" s="256">
        <f>T25-S25</f>
        <v>-4</v>
      </c>
      <c r="V25" s="10" t="s">
        <v>5845</v>
      </c>
      <c r="W25" s="55" t="s">
        <v>5</v>
      </c>
      <c r="X25" s="255">
        <v>46116</v>
      </c>
      <c r="Y25" s="59" t="s">
        <v>6230</v>
      </c>
      <c r="Z25" s="255">
        <f>X25+7</f>
        <v>46123</v>
      </c>
      <c r="AA25" s="255">
        <v>46116</v>
      </c>
      <c r="AB25" s="256">
        <f>AA25-Z25</f>
        <v>-7</v>
      </c>
      <c r="AC25" s="10" t="s">
        <v>6231</v>
      </c>
      <c r="AD25" s="55"/>
      <c r="AE25" s="255"/>
      <c r="AF25" s="59"/>
      <c r="AG25" s="255"/>
      <c r="AH25" s="255"/>
      <c r="AI25" s="256"/>
      <c r="AJ25" s="10"/>
      <c r="AK25" s="55"/>
      <c r="AL25" s="255"/>
      <c r="AM25" s="59"/>
      <c r="AN25" s="255"/>
      <c r="AO25" s="255"/>
      <c r="AP25" s="256"/>
      <c r="AQ25" s="10"/>
      <c r="AR25" s="55"/>
      <c r="AS25" s="255"/>
      <c r="AT25" s="59"/>
      <c r="AU25" s="255"/>
      <c r="AV25" s="255"/>
      <c r="AW25" s="256"/>
      <c r="AX25" s="10"/>
      <c r="AY25" s="55"/>
      <c r="AZ25" s="255"/>
      <c r="BA25" s="59"/>
      <c r="BB25" s="255"/>
      <c r="BC25" s="255"/>
      <c r="BD25" s="256"/>
      <c r="BE25" s="10"/>
      <c r="BF25" s="259"/>
    </row>
    <row r="26" spans="1:58" s="381" customFormat="1" ht="45" customHeight="1" x14ac:dyDescent="0.25">
      <c r="A26" s="258">
        <v>730007</v>
      </c>
      <c r="B26" s="78" t="s">
        <v>508</v>
      </c>
      <c r="C26" s="60" t="s">
        <v>627</v>
      </c>
      <c r="D26" s="10" t="s">
        <v>99</v>
      </c>
      <c r="E26" s="10" t="s">
        <v>100</v>
      </c>
      <c r="F26" s="16" t="s">
        <v>101</v>
      </c>
      <c r="G26" s="10" t="s">
        <v>30</v>
      </c>
      <c r="H26" s="10" t="s">
        <v>52</v>
      </c>
      <c r="I26" s="55" t="s">
        <v>3</v>
      </c>
      <c r="J26" s="255">
        <v>45554</v>
      </c>
      <c r="K26" s="59" t="s">
        <v>102</v>
      </c>
      <c r="L26" s="255">
        <f t="shared" si="0"/>
        <v>45561</v>
      </c>
      <c r="M26" s="255">
        <v>45623</v>
      </c>
      <c r="N26" s="256">
        <f t="shared" si="1"/>
        <v>62</v>
      </c>
      <c r="O26" s="10" t="s">
        <v>199</v>
      </c>
      <c r="P26" s="55" t="s">
        <v>508</v>
      </c>
      <c r="Q26" s="255">
        <v>45824</v>
      </c>
      <c r="R26" s="59" t="s">
        <v>3504</v>
      </c>
      <c r="S26" s="255"/>
      <c r="T26" s="255"/>
      <c r="U26" s="256"/>
      <c r="V26" s="10"/>
      <c r="W26" s="55"/>
      <c r="X26" s="255"/>
      <c r="Y26" s="59"/>
      <c r="Z26" s="255"/>
      <c r="AA26" s="255"/>
      <c r="AB26" s="256"/>
      <c r="AC26" s="10"/>
      <c r="AD26" s="55"/>
      <c r="AE26" s="255"/>
      <c r="AF26" s="59"/>
      <c r="AG26" s="255"/>
      <c r="AH26" s="255"/>
      <c r="AI26" s="256"/>
      <c r="AJ26" s="10"/>
      <c r="AK26" s="55"/>
      <c r="AL26" s="255"/>
      <c r="AM26" s="59"/>
      <c r="AN26" s="255"/>
      <c r="AO26" s="255"/>
      <c r="AP26" s="256"/>
      <c r="AQ26" s="10"/>
      <c r="AR26" s="55"/>
      <c r="AS26" s="255"/>
      <c r="AT26" s="59"/>
      <c r="AU26" s="255"/>
      <c r="AV26" s="255"/>
      <c r="AW26" s="256"/>
      <c r="AX26" s="10"/>
      <c r="AY26" s="55"/>
      <c r="AZ26" s="255"/>
      <c r="BA26" s="59"/>
      <c r="BB26" s="255"/>
      <c r="BC26" s="255"/>
      <c r="BD26" s="256"/>
      <c r="BE26" s="10"/>
      <c r="BF26" s="259"/>
    </row>
    <row r="27" spans="1:58" s="381" customFormat="1" ht="45" customHeight="1" x14ac:dyDescent="0.25">
      <c r="A27" s="258">
        <v>730007</v>
      </c>
      <c r="B27" s="78" t="s">
        <v>508</v>
      </c>
      <c r="C27" s="60" t="s">
        <v>627</v>
      </c>
      <c r="D27" s="10" t="s">
        <v>103</v>
      </c>
      <c r="E27" s="10" t="s">
        <v>104</v>
      </c>
      <c r="F27" s="16" t="s">
        <v>105</v>
      </c>
      <c r="G27" s="10" t="s">
        <v>30</v>
      </c>
      <c r="H27" s="10" t="s">
        <v>52</v>
      </c>
      <c r="I27" s="55" t="s">
        <v>18</v>
      </c>
      <c r="J27" s="255">
        <v>45555</v>
      </c>
      <c r="K27" s="59" t="s">
        <v>204</v>
      </c>
      <c r="L27" s="255">
        <f t="shared" si="0"/>
        <v>45562</v>
      </c>
      <c r="M27" s="255">
        <v>45564</v>
      </c>
      <c r="N27" s="256">
        <f t="shared" si="1"/>
        <v>2</v>
      </c>
      <c r="O27" s="10" t="s">
        <v>235</v>
      </c>
      <c r="P27" s="55" t="s">
        <v>508</v>
      </c>
      <c r="Q27" s="255">
        <v>46196</v>
      </c>
      <c r="R27" s="59" t="s">
        <v>7071</v>
      </c>
      <c r="S27" s="255" t="s">
        <v>626</v>
      </c>
      <c r="T27" s="255" t="s">
        <v>626</v>
      </c>
      <c r="U27" s="255" t="s">
        <v>626</v>
      </c>
      <c r="V27" s="255" t="s">
        <v>626</v>
      </c>
      <c r="W27" s="55"/>
      <c r="X27" s="255"/>
      <c r="Y27" s="59"/>
      <c r="Z27" s="255"/>
      <c r="AA27" s="255"/>
      <c r="AB27" s="256"/>
      <c r="AC27" s="10"/>
      <c r="AD27" s="55"/>
      <c r="AE27" s="255"/>
      <c r="AF27" s="59"/>
      <c r="AG27" s="255"/>
      <c r="AH27" s="255"/>
      <c r="AI27" s="256"/>
      <c r="AJ27" s="10"/>
      <c r="AK27" s="55"/>
      <c r="AL27" s="255"/>
      <c r="AM27" s="59"/>
      <c r="AN27" s="255"/>
      <c r="AO27" s="255"/>
      <c r="AP27" s="256"/>
      <c r="AQ27" s="10"/>
      <c r="AR27" s="55"/>
      <c r="AS27" s="255"/>
      <c r="AT27" s="59"/>
      <c r="AU27" s="255"/>
      <c r="AV27" s="255"/>
      <c r="AW27" s="256"/>
      <c r="AX27" s="10"/>
      <c r="AY27" s="55"/>
      <c r="AZ27" s="255"/>
      <c r="BA27" s="59"/>
      <c r="BB27" s="255"/>
      <c r="BC27" s="255"/>
      <c r="BD27" s="256"/>
      <c r="BE27" s="10"/>
      <c r="BF27" s="259"/>
    </row>
    <row r="28" spans="1:58" s="381" customFormat="1" ht="45" customHeight="1" x14ac:dyDescent="0.25">
      <c r="A28" s="258">
        <v>730007</v>
      </c>
      <c r="B28" s="78" t="s">
        <v>508</v>
      </c>
      <c r="C28" s="60" t="s">
        <v>627</v>
      </c>
      <c r="D28" s="10" t="s">
        <v>106</v>
      </c>
      <c r="E28" s="10" t="s">
        <v>107</v>
      </c>
      <c r="F28" s="16" t="s">
        <v>108</v>
      </c>
      <c r="G28" s="10" t="s">
        <v>30</v>
      </c>
      <c r="H28" s="10" t="s">
        <v>52</v>
      </c>
      <c r="I28" s="55" t="s">
        <v>18</v>
      </c>
      <c r="J28" s="255">
        <v>45555</v>
      </c>
      <c r="K28" s="59" t="s">
        <v>109</v>
      </c>
      <c r="L28" s="255">
        <f t="shared" si="0"/>
        <v>45562</v>
      </c>
      <c r="M28" s="255">
        <v>45563</v>
      </c>
      <c r="N28" s="256">
        <f t="shared" si="1"/>
        <v>1</v>
      </c>
      <c r="O28" s="10" t="s">
        <v>230</v>
      </c>
      <c r="P28" s="55" t="s">
        <v>508</v>
      </c>
      <c r="Q28" s="255">
        <v>46196</v>
      </c>
      <c r="R28" s="59" t="s">
        <v>7071</v>
      </c>
      <c r="S28" s="255" t="s">
        <v>626</v>
      </c>
      <c r="T28" s="255" t="s">
        <v>626</v>
      </c>
      <c r="U28" s="255" t="s">
        <v>626</v>
      </c>
      <c r="V28" s="255" t="s">
        <v>626</v>
      </c>
      <c r="W28" s="55"/>
      <c r="X28" s="255"/>
      <c r="Y28" s="59"/>
      <c r="Z28" s="255"/>
      <c r="AA28" s="255"/>
      <c r="AB28" s="256"/>
      <c r="AC28" s="10"/>
      <c r="AD28" s="55"/>
      <c r="AE28" s="255"/>
      <c r="AF28" s="59"/>
      <c r="AG28" s="255"/>
      <c r="AH28" s="255"/>
      <c r="AI28" s="256"/>
      <c r="AJ28" s="10"/>
      <c r="AK28" s="55"/>
      <c r="AL28" s="255"/>
      <c r="AM28" s="59"/>
      <c r="AN28" s="255"/>
      <c r="AO28" s="255"/>
      <c r="AP28" s="256"/>
      <c r="AQ28" s="10"/>
      <c r="AR28" s="55"/>
      <c r="AS28" s="255"/>
      <c r="AT28" s="59"/>
      <c r="AU28" s="255"/>
      <c r="AV28" s="255"/>
      <c r="AW28" s="256"/>
      <c r="AX28" s="10"/>
      <c r="AY28" s="55"/>
      <c r="AZ28" s="255"/>
      <c r="BA28" s="59"/>
      <c r="BB28" s="255"/>
      <c r="BC28" s="255"/>
      <c r="BD28" s="256"/>
      <c r="BE28" s="10"/>
      <c r="BF28" s="259"/>
    </row>
    <row r="29" spans="1:58" s="381" customFormat="1" ht="45" customHeight="1" x14ac:dyDescent="0.25">
      <c r="A29" s="258">
        <v>730007</v>
      </c>
      <c r="B29" s="78" t="s">
        <v>508</v>
      </c>
      <c r="C29" s="60" t="s">
        <v>627</v>
      </c>
      <c r="D29" s="10" t="s">
        <v>110</v>
      </c>
      <c r="E29" s="10" t="s">
        <v>111</v>
      </c>
      <c r="F29" s="16" t="s">
        <v>112</v>
      </c>
      <c r="G29" s="10" t="s">
        <v>30</v>
      </c>
      <c r="H29" s="10" t="s">
        <v>52</v>
      </c>
      <c r="I29" s="55" t="s">
        <v>18</v>
      </c>
      <c r="J29" s="255">
        <v>45555</v>
      </c>
      <c r="K29" s="59" t="s">
        <v>113</v>
      </c>
      <c r="L29" s="255">
        <f t="shared" si="0"/>
        <v>45562</v>
      </c>
      <c r="M29" s="255">
        <v>45561</v>
      </c>
      <c r="N29" s="256">
        <f t="shared" si="1"/>
        <v>-1</v>
      </c>
      <c r="O29" s="10" t="s">
        <v>200</v>
      </c>
      <c r="P29" s="55" t="s">
        <v>508</v>
      </c>
      <c r="Q29" s="255">
        <v>46196</v>
      </c>
      <c r="R29" s="59" t="s">
        <v>7071</v>
      </c>
      <c r="S29" s="255" t="s">
        <v>626</v>
      </c>
      <c r="T29" s="255" t="s">
        <v>626</v>
      </c>
      <c r="U29" s="255" t="s">
        <v>626</v>
      </c>
      <c r="V29" s="255" t="s">
        <v>626</v>
      </c>
      <c r="W29" s="55"/>
      <c r="X29" s="255"/>
      <c r="Y29" s="59"/>
      <c r="Z29" s="255"/>
      <c r="AA29" s="255"/>
      <c r="AB29" s="256"/>
      <c r="AC29" s="10"/>
      <c r="AD29" s="55"/>
      <c r="AE29" s="255"/>
      <c r="AF29" s="59"/>
      <c r="AG29" s="255"/>
      <c r="AH29" s="255"/>
      <c r="AI29" s="256"/>
      <c r="AJ29" s="10"/>
      <c r="AK29" s="55"/>
      <c r="AL29" s="255"/>
      <c r="AM29" s="59"/>
      <c r="AN29" s="255"/>
      <c r="AO29" s="255"/>
      <c r="AP29" s="256"/>
      <c r="AQ29" s="10"/>
      <c r="AR29" s="55"/>
      <c r="AS29" s="255"/>
      <c r="AT29" s="59"/>
      <c r="AU29" s="255"/>
      <c r="AV29" s="255"/>
      <c r="AW29" s="256"/>
      <c r="AX29" s="10"/>
      <c r="AY29" s="55"/>
      <c r="AZ29" s="255"/>
      <c r="BA29" s="59"/>
      <c r="BB29" s="255"/>
      <c r="BC29" s="255"/>
      <c r="BD29" s="256"/>
      <c r="BE29" s="10"/>
      <c r="BF29" s="259"/>
    </row>
    <row r="30" spans="1:58" s="381" customFormat="1" ht="45" customHeight="1" x14ac:dyDescent="0.25">
      <c r="A30" s="258">
        <v>730007</v>
      </c>
      <c r="B30" s="60" t="s">
        <v>5</v>
      </c>
      <c r="C30" s="60" t="s">
        <v>208</v>
      </c>
      <c r="D30" s="10" t="s">
        <v>114</v>
      </c>
      <c r="E30" s="10" t="s">
        <v>115</v>
      </c>
      <c r="F30" s="16" t="s">
        <v>116</v>
      </c>
      <c r="G30" s="10" t="s">
        <v>30</v>
      </c>
      <c r="H30" s="10" t="s">
        <v>52</v>
      </c>
      <c r="I30" s="55" t="s">
        <v>18</v>
      </c>
      <c r="J30" s="255">
        <v>45555</v>
      </c>
      <c r="K30" s="59" t="s">
        <v>205</v>
      </c>
      <c r="L30" s="255">
        <f t="shared" si="0"/>
        <v>45562</v>
      </c>
      <c r="M30" s="255">
        <v>45561</v>
      </c>
      <c r="N30" s="256">
        <f t="shared" si="1"/>
        <v>-1</v>
      </c>
      <c r="O30" s="10" t="s">
        <v>201</v>
      </c>
      <c r="P30" s="55" t="s">
        <v>5</v>
      </c>
      <c r="Q30" s="255">
        <v>46205</v>
      </c>
      <c r="R30" s="59" t="s">
        <v>7178</v>
      </c>
      <c r="S30" s="255">
        <f>Q30+7</f>
        <v>46212</v>
      </c>
      <c r="T30" s="255">
        <v>46215</v>
      </c>
      <c r="U30" s="256">
        <f>T30-S30</f>
        <v>3</v>
      </c>
      <c r="V30" s="10" t="s">
        <v>7194</v>
      </c>
      <c r="W30" s="55"/>
      <c r="X30" s="255"/>
      <c r="Y30" s="59"/>
      <c r="Z30" s="255"/>
      <c r="AA30" s="255"/>
      <c r="AB30" s="256"/>
      <c r="AC30" s="10"/>
      <c r="AD30" s="55"/>
      <c r="AE30" s="255"/>
      <c r="AF30" s="59"/>
      <c r="AG30" s="255"/>
      <c r="AH30" s="255"/>
      <c r="AI30" s="256"/>
      <c r="AJ30" s="10"/>
      <c r="AK30" s="55"/>
      <c r="AL30" s="255"/>
      <c r="AM30" s="59"/>
      <c r="AN30" s="255"/>
      <c r="AO30" s="255"/>
      <c r="AP30" s="256"/>
      <c r="AQ30" s="10"/>
      <c r="AR30" s="55"/>
      <c r="AS30" s="255"/>
      <c r="AT30" s="59"/>
      <c r="AU30" s="255"/>
      <c r="AV30" s="255"/>
      <c r="AW30" s="256"/>
      <c r="AX30" s="10"/>
      <c r="AY30" s="55"/>
      <c r="AZ30" s="255"/>
      <c r="BA30" s="59"/>
      <c r="BB30" s="255"/>
      <c r="BC30" s="255"/>
      <c r="BD30" s="256"/>
      <c r="BE30" s="10"/>
      <c r="BF30" s="259"/>
    </row>
    <row r="31" spans="1:58" s="381" customFormat="1" ht="45" customHeight="1" x14ac:dyDescent="0.25">
      <c r="A31" s="258">
        <v>730007</v>
      </c>
      <c r="B31" s="78" t="s">
        <v>508</v>
      </c>
      <c r="C31" s="60" t="s">
        <v>627</v>
      </c>
      <c r="D31" s="10" t="s">
        <v>117</v>
      </c>
      <c r="E31" s="10" t="s">
        <v>118</v>
      </c>
      <c r="F31" s="16" t="s">
        <v>119</v>
      </c>
      <c r="G31" s="10" t="s">
        <v>30</v>
      </c>
      <c r="H31" s="10" t="s">
        <v>52</v>
      </c>
      <c r="I31" s="55" t="s">
        <v>18</v>
      </c>
      <c r="J31" s="255">
        <v>45555</v>
      </c>
      <c r="K31" s="59" t="s">
        <v>206</v>
      </c>
      <c r="L31" s="255">
        <f t="shared" si="0"/>
        <v>45562</v>
      </c>
      <c r="M31" s="255">
        <v>45561</v>
      </c>
      <c r="N31" s="256">
        <f t="shared" si="1"/>
        <v>-1</v>
      </c>
      <c r="O31" s="10" t="s">
        <v>202</v>
      </c>
      <c r="P31" s="55" t="s">
        <v>508</v>
      </c>
      <c r="Q31" s="255">
        <v>46196</v>
      </c>
      <c r="R31" s="59" t="s">
        <v>7071</v>
      </c>
      <c r="S31" s="255" t="s">
        <v>626</v>
      </c>
      <c r="T31" s="255" t="s">
        <v>626</v>
      </c>
      <c r="U31" s="255" t="s">
        <v>626</v>
      </c>
      <c r="V31" s="255" t="s">
        <v>626</v>
      </c>
      <c r="W31" s="55"/>
      <c r="X31" s="255"/>
      <c r="Y31" s="59"/>
      <c r="Z31" s="255"/>
      <c r="AA31" s="255"/>
      <c r="AB31" s="256"/>
      <c r="AC31" s="10"/>
      <c r="AD31" s="55"/>
      <c r="AE31" s="255"/>
      <c r="AF31" s="59"/>
      <c r="AG31" s="255"/>
      <c r="AH31" s="255"/>
      <c r="AI31" s="256"/>
      <c r="AJ31" s="10"/>
      <c r="AK31" s="55"/>
      <c r="AL31" s="255"/>
      <c r="AM31" s="59"/>
      <c r="AN31" s="255"/>
      <c r="AO31" s="255"/>
      <c r="AP31" s="256"/>
      <c r="AQ31" s="10"/>
      <c r="AR31" s="55"/>
      <c r="AS31" s="255"/>
      <c r="AT31" s="59"/>
      <c r="AU31" s="255"/>
      <c r="AV31" s="255"/>
      <c r="AW31" s="256"/>
      <c r="AX31" s="10"/>
      <c r="AY31" s="55"/>
      <c r="AZ31" s="255"/>
      <c r="BA31" s="59"/>
      <c r="BB31" s="255"/>
      <c r="BC31" s="255"/>
      <c r="BD31" s="256"/>
      <c r="BE31" s="10"/>
      <c r="BF31" s="259"/>
    </row>
    <row r="32" spans="1:58" s="381" customFormat="1" ht="45" customHeight="1" x14ac:dyDescent="0.25">
      <c r="A32" s="258">
        <v>730007</v>
      </c>
      <c r="B32" s="78" t="s">
        <v>508</v>
      </c>
      <c r="C32" s="60" t="s">
        <v>627</v>
      </c>
      <c r="D32" s="10" t="s">
        <v>120</v>
      </c>
      <c r="E32" s="10" t="s">
        <v>121</v>
      </c>
      <c r="F32" s="16" t="s">
        <v>122</v>
      </c>
      <c r="G32" s="10" t="s">
        <v>30</v>
      </c>
      <c r="H32" s="10" t="s">
        <v>52</v>
      </c>
      <c r="I32" s="55" t="s">
        <v>18</v>
      </c>
      <c r="J32" s="255">
        <v>45555</v>
      </c>
      <c r="K32" s="59" t="s">
        <v>207</v>
      </c>
      <c r="L32" s="255">
        <f t="shared" si="0"/>
        <v>45562</v>
      </c>
      <c r="M32" s="255">
        <v>45561</v>
      </c>
      <c r="N32" s="256">
        <f t="shared" si="1"/>
        <v>-1</v>
      </c>
      <c r="O32" s="10" t="s">
        <v>203</v>
      </c>
      <c r="P32" s="55" t="s">
        <v>508</v>
      </c>
      <c r="Q32" s="255">
        <v>46196</v>
      </c>
      <c r="R32" s="59" t="s">
        <v>7071</v>
      </c>
      <c r="S32" s="255" t="s">
        <v>626</v>
      </c>
      <c r="T32" s="255" t="s">
        <v>626</v>
      </c>
      <c r="U32" s="255" t="s">
        <v>626</v>
      </c>
      <c r="V32" s="255" t="s">
        <v>626</v>
      </c>
      <c r="W32" s="55"/>
      <c r="X32" s="255"/>
      <c r="Y32" s="59"/>
      <c r="Z32" s="255"/>
      <c r="AA32" s="255"/>
      <c r="AB32" s="256"/>
      <c r="AC32" s="10"/>
      <c r="AD32" s="55"/>
      <c r="AE32" s="255"/>
      <c r="AF32" s="59"/>
      <c r="AG32" s="255"/>
      <c r="AH32" s="255"/>
      <c r="AI32" s="256"/>
      <c r="AJ32" s="10"/>
      <c r="AK32" s="55"/>
      <c r="AL32" s="255"/>
      <c r="AM32" s="59"/>
      <c r="AN32" s="255"/>
      <c r="AO32" s="255"/>
      <c r="AP32" s="256"/>
      <c r="AQ32" s="10"/>
      <c r="AR32" s="55"/>
      <c r="AS32" s="255"/>
      <c r="AT32" s="59"/>
      <c r="AU32" s="255"/>
      <c r="AV32" s="255"/>
      <c r="AW32" s="256"/>
      <c r="AX32" s="10"/>
      <c r="AY32" s="55"/>
      <c r="AZ32" s="255"/>
      <c r="BA32" s="59"/>
      <c r="BB32" s="255"/>
      <c r="BC32" s="255"/>
      <c r="BD32" s="256"/>
      <c r="BE32" s="10"/>
      <c r="BF32" s="259"/>
    </row>
    <row r="33" spans="1:58" s="381" customFormat="1" ht="45" customHeight="1" x14ac:dyDescent="0.25">
      <c r="A33" s="258">
        <v>730007</v>
      </c>
      <c r="B33" s="60" t="s">
        <v>5</v>
      </c>
      <c r="C33" s="60" t="s">
        <v>208</v>
      </c>
      <c r="D33" s="10" t="s">
        <v>124</v>
      </c>
      <c r="E33" s="10" t="s">
        <v>123</v>
      </c>
      <c r="F33" s="16" t="s">
        <v>125</v>
      </c>
      <c r="G33" s="10" t="s">
        <v>30</v>
      </c>
      <c r="H33" s="10" t="s">
        <v>52</v>
      </c>
      <c r="I33" s="55" t="s">
        <v>18</v>
      </c>
      <c r="J33" s="255">
        <v>45556</v>
      </c>
      <c r="K33" s="59" t="s">
        <v>127</v>
      </c>
      <c r="L33" s="255">
        <f t="shared" si="0"/>
        <v>45563</v>
      </c>
      <c r="M33" s="255">
        <v>45563</v>
      </c>
      <c r="N33" s="256">
        <f t="shared" si="1"/>
        <v>0</v>
      </c>
      <c r="O33" s="10" t="s">
        <v>231</v>
      </c>
      <c r="P33" s="55" t="s">
        <v>5</v>
      </c>
      <c r="Q33" s="255">
        <v>46205</v>
      </c>
      <c r="R33" s="59" t="s">
        <v>7172</v>
      </c>
      <c r="S33" s="255">
        <f t="shared" ref="S33:S39" si="4">Q33+7</f>
        <v>46212</v>
      </c>
      <c r="T33" s="255">
        <v>46215</v>
      </c>
      <c r="U33" s="256">
        <f t="shared" ref="U33:U39" si="5">T33-S33</f>
        <v>3</v>
      </c>
      <c r="V33" s="10" t="s">
        <v>7189</v>
      </c>
      <c r="W33" s="55"/>
      <c r="X33" s="255"/>
      <c r="Y33" s="59"/>
      <c r="Z33" s="255"/>
      <c r="AA33" s="255"/>
      <c r="AB33" s="256"/>
      <c r="AC33" s="10"/>
      <c r="AD33" s="55"/>
      <c r="AE33" s="255"/>
      <c r="AF33" s="59"/>
      <c r="AG33" s="255"/>
      <c r="AH33" s="255"/>
      <c r="AI33" s="256"/>
      <c r="AJ33" s="10"/>
      <c r="AK33" s="55"/>
      <c r="AL33" s="255"/>
      <c r="AM33" s="59"/>
      <c r="AN33" s="255"/>
      <c r="AO33" s="255"/>
      <c r="AP33" s="256"/>
      <c r="AQ33" s="10"/>
      <c r="AR33" s="55"/>
      <c r="AS33" s="255"/>
      <c r="AT33" s="59"/>
      <c r="AU33" s="255"/>
      <c r="AV33" s="255"/>
      <c r="AW33" s="256"/>
      <c r="AX33" s="10"/>
      <c r="AY33" s="55"/>
      <c r="AZ33" s="255"/>
      <c r="BA33" s="59"/>
      <c r="BB33" s="255"/>
      <c r="BC33" s="255"/>
      <c r="BD33" s="256"/>
      <c r="BE33" s="10"/>
      <c r="BF33" s="259"/>
    </row>
    <row r="34" spans="1:58" s="381" customFormat="1" ht="45" customHeight="1" x14ac:dyDescent="0.25">
      <c r="A34" s="258">
        <v>730007</v>
      </c>
      <c r="B34" s="60" t="s">
        <v>5</v>
      </c>
      <c r="C34" s="60" t="s">
        <v>208</v>
      </c>
      <c r="D34" s="10" t="s">
        <v>160</v>
      </c>
      <c r="E34" s="10" t="s">
        <v>161</v>
      </c>
      <c r="F34" s="16" t="s">
        <v>220</v>
      </c>
      <c r="G34" s="10" t="s">
        <v>30</v>
      </c>
      <c r="H34" s="10" t="s">
        <v>52</v>
      </c>
      <c r="I34" s="55" t="s">
        <v>18</v>
      </c>
      <c r="J34" s="255">
        <v>45561</v>
      </c>
      <c r="K34" s="59" t="s">
        <v>221</v>
      </c>
      <c r="L34" s="255">
        <f t="shared" si="0"/>
        <v>45568</v>
      </c>
      <c r="M34" s="255">
        <v>45564</v>
      </c>
      <c r="N34" s="256">
        <f t="shared" si="1"/>
        <v>-4</v>
      </c>
      <c r="O34" s="10" t="s">
        <v>232</v>
      </c>
      <c r="P34" s="55" t="s">
        <v>5</v>
      </c>
      <c r="Q34" s="255">
        <v>46203</v>
      </c>
      <c r="R34" s="59" t="s">
        <v>7150</v>
      </c>
      <c r="S34" s="255">
        <f t="shared" si="4"/>
        <v>46210</v>
      </c>
      <c r="T34" s="255">
        <v>46211</v>
      </c>
      <c r="U34" s="256">
        <f t="shared" si="5"/>
        <v>1</v>
      </c>
      <c r="V34" s="10" t="s">
        <v>7235</v>
      </c>
      <c r="W34" s="55"/>
      <c r="X34" s="255"/>
      <c r="Y34" s="59"/>
      <c r="Z34" s="255"/>
      <c r="AA34" s="255"/>
      <c r="AB34" s="256"/>
      <c r="AC34" s="10"/>
      <c r="AD34" s="55"/>
      <c r="AE34" s="255"/>
      <c r="AF34" s="59"/>
      <c r="AG34" s="255"/>
      <c r="AH34" s="255"/>
      <c r="AI34" s="256"/>
      <c r="AJ34" s="10"/>
      <c r="AK34" s="55"/>
      <c r="AL34" s="255"/>
      <c r="AM34" s="59"/>
      <c r="AN34" s="255"/>
      <c r="AO34" s="255"/>
      <c r="AP34" s="256"/>
      <c r="AQ34" s="10"/>
      <c r="AR34" s="55"/>
      <c r="AS34" s="255"/>
      <c r="AT34" s="59"/>
      <c r="AU34" s="255"/>
      <c r="AV34" s="255"/>
      <c r="AW34" s="256"/>
      <c r="AX34" s="10"/>
      <c r="AY34" s="55"/>
      <c r="AZ34" s="255"/>
      <c r="BA34" s="59"/>
      <c r="BB34" s="255"/>
      <c r="BC34" s="255"/>
      <c r="BD34" s="256"/>
      <c r="BE34" s="10"/>
      <c r="BF34" s="259"/>
    </row>
    <row r="35" spans="1:58" s="381" customFormat="1" ht="45" customHeight="1" x14ac:dyDescent="0.25">
      <c r="A35" s="258">
        <v>730007</v>
      </c>
      <c r="B35" s="60" t="s">
        <v>5</v>
      </c>
      <c r="C35" s="60" t="s">
        <v>208</v>
      </c>
      <c r="D35" s="10" t="s">
        <v>266</v>
      </c>
      <c r="E35" s="10" t="s">
        <v>267</v>
      </c>
      <c r="F35" s="16" t="s">
        <v>268</v>
      </c>
      <c r="G35" s="10" t="s">
        <v>30</v>
      </c>
      <c r="H35" s="10" t="s">
        <v>52</v>
      </c>
      <c r="I35" s="55" t="s">
        <v>18</v>
      </c>
      <c r="J35" s="255">
        <v>45565</v>
      </c>
      <c r="K35" s="59" t="s">
        <v>269</v>
      </c>
      <c r="L35" s="255">
        <f t="shared" si="0"/>
        <v>45572</v>
      </c>
      <c r="M35" s="255">
        <v>45567</v>
      </c>
      <c r="N35" s="256">
        <f t="shared" si="1"/>
        <v>-5</v>
      </c>
      <c r="O35" s="10" t="s">
        <v>273</v>
      </c>
      <c r="P35" s="55" t="s">
        <v>5</v>
      </c>
      <c r="Q35" s="255">
        <v>46204</v>
      </c>
      <c r="R35" s="59" t="s">
        <v>7169</v>
      </c>
      <c r="S35" s="255">
        <f t="shared" si="4"/>
        <v>46211</v>
      </c>
      <c r="T35" s="255">
        <v>46215</v>
      </c>
      <c r="U35" s="256">
        <f t="shared" si="5"/>
        <v>4</v>
      </c>
      <c r="V35" s="10" t="s">
        <v>7188</v>
      </c>
      <c r="W35" s="55"/>
      <c r="X35" s="255"/>
      <c r="Y35" s="59"/>
      <c r="Z35" s="255"/>
      <c r="AA35" s="255"/>
      <c r="AB35" s="256"/>
      <c r="AC35" s="10"/>
      <c r="AD35" s="55"/>
      <c r="AE35" s="255"/>
      <c r="AF35" s="59"/>
      <c r="AG35" s="255"/>
      <c r="AH35" s="255"/>
      <c r="AI35" s="256"/>
      <c r="AJ35" s="10"/>
      <c r="AK35" s="55"/>
      <c r="AL35" s="255"/>
      <c r="AM35" s="59"/>
      <c r="AN35" s="255"/>
      <c r="AO35" s="255"/>
      <c r="AP35" s="256"/>
      <c r="AQ35" s="10"/>
      <c r="AR35" s="55"/>
      <c r="AS35" s="255"/>
      <c r="AT35" s="59"/>
      <c r="AU35" s="255"/>
      <c r="AV35" s="255"/>
      <c r="AW35" s="256"/>
      <c r="AX35" s="10"/>
      <c r="AY35" s="55"/>
      <c r="AZ35" s="255"/>
      <c r="BA35" s="59"/>
      <c r="BB35" s="255"/>
      <c r="BC35" s="255"/>
      <c r="BD35" s="256"/>
      <c r="BE35" s="10"/>
      <c r="BF35" s="259"/>
    </row>
    <row r="36" spans="1:58" s="381" customFormat="1" ht="45" customHeight="1" x14ac:dyDescent="0.25">
      <c r="A36" s="258">
        <v>730007</v>
      </c>
      <c r="B36" s="60" t="s">
        <v>5</v>
      </c>
      <c r="C36" s="60" t="s">
        <v>725</v>
      </c>
      <c r="D36" s="10" t="s">
        <v>279</v>
      </c>
      <c r="E36" s="10" t="s">
        <v>282</v>
      </c>
      <c r="F36" s="16" t="s">
        <v>285</v>
      </c>
      <c r="G36" s="10" t="s">
        <v>30</v>
      </c>
      <c r="H36" s="10" t="s">
        <v>52</v>
      </c>
      <c r="I36" s="55" t="s">
        <v>18</v>
      </c>
      <c r="J36" s="255">
        <v>45577</v>
      </c>
      <c r="K36" s="59" t="s">
        <v>352</v>
      </c>
      <c r="L36" s="255">
        <f t="shared" si="0"/>
        <v>45584</v>
      </c>
      <c r="M36" s="255">
        <v>45579</v>
      </c>
      <c r="N36" s="256">
        <f t="shared" si="1"/>
        <v>-5</v>
      </c>
      <c r="O36" s="10" t="s">
        <v>360</v>
      </c>
      <c r="P36" s="55" t="s">
        <v>18</v>
      </c>
      <c r="Q36" s="255">
        <v>45776</v>
      </c>
      <c r="R36" s="59" t="s">
        <v>3106</v>
      </c>
      <c r="S36" s="255">
        <f t="shared" si="4"/>
        <v>45783</v>
      </c>
      <c r="T36" s="255">
        <v>45784</v>
      </c>
      <c r="U36" s="256">
        <f t="shared" si="5"/>
        <v>1</v>
      </c>
      <c r="V36" s="10" t="s">
        <v>3116</v>
      </c>
      <c r="W36" s="55" t="s">
        <v>18</v>
      </c>
      <c r="X36" s="255">
        <v>45784</v>
      </c>
      <c r="Y36" s="59" t="s">
        <v>3214</v>
      </c>
      <c r="Z36" s="255">
        <f>X36+7</f>
        <v>45791</v>
      </c>
      <c r="AA36" s="255">
        <v>45790</v>
      </c>
      <c r="AB36" s="256">
        <f>AA36-Z36</f>
        <v>-1</v>
      </c>
      <c r="AC36" s="10" t="s">
        <v>3224</v>
      </c>
      <c r="AD36" s="55" t="s">
        <v>5</v>
      </c>
      <c r="AE36" s="255">
        <v>46194</v>
      </c>
      <c r="AF36" s="59" t="s">
        <v>7051</v>
      </c>
      <c r="AG36" s="255">
        <f>AE36+7</f>
        <v>46201</v>
      </c>
      <c r="AH36" s="255">
        <v>46201</v>
      </c>
      <c r="AI36" s="256">
        <f>AH36-AG36</f>
        <v>0</v>
      </c>
      <c r="AJ36" s="10" t="s">
        <v>7060</v>
      </c>
      <c r="AK36" s="55"/>
      <c r="AL36" s="255"/>
      <c r="AM36" s="59"/>
      <c r="AN36" s="255"/>
      <c r="AO36" s="255"/>
      <c r="AP36" s="256"/>
      <c r="AQ36" s="10"/>
      <c r="AR36" s="55"/>
      <c r="AS36" s="255"/>
      <c r="AT36" s="59"/>
      <c r="AU36" s="255"/>
      <c r="AV36" s="255"/>
      <c r="AW36" s="256"/>
      <c r="AX36" s="10"/>
      <c r="AY36" s="55"/>
      <c r="AZ36" s="255"/>
      <c r="BA36" s="59"/>
      <c r="BB36" s="255"/>
      <c r="BC36" s="255"/>
      <c r="BD36" s="256"/>
      <c r="BE36" s="10"/>
      <c r="BF36" s="259"/>
    </row>
    <row r="37" spans="1:58" s="381" customFormat="1" ht="45" customHeight="1" x14ac:dyDescent="0.25">
      <c r="A37" s="258">
        <v>730007</v>
      </c>
      <c r="B37" s="88" t="s">
        <v>508</v>
      </c>
      <c r="C37" s="60" t="s">
        <v>627</v>
      </c>
      <c r="D37" s="10" t="s">
        <v>280</v>
      </c>
      <c r="E37" s="10" t="s">
        <v>283</v>
      </c>
      <c r="F37" s="16" t="s">
        <v>286</v>
      </c>
      <c r="G37" s="10" t="s">
        <v>30</v>
      </c>
      <c r="H37" s="10" t="s">
        <v>52</v>
      </c>
      <c r="I37" s="55" t="s">
        <v>18</v>
      </c>
      <c r="J37" s="255">
        <v>45577</v>
      </c>
      <c r="K37" s="59" t="s">
        <v>353</v>
      </c>
      <c r="L37" s="255">
        <f t="shared" si="0"/>
        <v>45584</v>
      </c>
      <c r="M37" s="255">
        <v>45579</v>
      </c>
      <c r="N37" s="256">
        <f t="shared" si="1"/>
        <v>-5</v>
      </c>
      <c r="O37" s="10" t="s">
        <v>361</v>
      </c>
      <c r="P37" s="55" t="s">
        <v>14</v>
      </c>
      <c r="Q37" s="255">
        <v>45776</v>
      </c>
      <c r="R37" s="59" t="s">
        <v>3108</v>
      </c>
      <c r="S37" s="255">
        <f t="shared" si="4"/>
        <v>45783</v>
      </c>
      <c r="T37" s="255">
        <v>45784</v>
      </c>
      <c r="U37" s="256">
        <f t="shared" si="5"/>
        <v>1</v>
      </c>
      <c r="V37" s="10" t="s">
        <v>3117</v>
      </c>
      <c r="W37" s="9" t="s">
        <v>508</v>
      </c>
      <c r="X37" s="255">
        <v>46118</v>
      </c>
      <c r="Y37" s="59" t="s">
        <v>6267</v>
      </c>
      <c r="Z37" s="255" t="s">
        <v>626</v>
      </c>
      <c r="AA37" s="255" t="s">
        <v>626</v>
      </c>
      <c r="AB37" s="256" t="s">
        <v>626</v>
      </c>
      <c r="AC37" s="10" t="s">
        <v>626</v>
      </c>
      <c r="AD37" s="55"/>
      <c r="AE37" s="255"/>
      <c r="AF37" s="59"/>
      <c r="AG37" s="255"/>
      <c r="AH37" s="255"/>
      <c r="AI37" s="256"/>
      <c r="AJ37" s="10"/>
      <c r="AK37" s="55"/>
      <c r="AL37" s="255"/>
      <c r="AM37" s="59"/>
      <c r="AN37" s="255"/>
      <c r="AO37" s="255"/>
      <c r="AP37" s="256"/>
      <c r="AQ37" s="10"/>
      <c r="AR37" s="55"/>
      <c r="AS37" s="255"/>
      <c r="AT37" s="59"/>
      <c r="AU37" s="255"/>
      <c r="AV37" s="255"/>
      <c r="AW37" s="256"/>
      <c r="AX37" s="10"/>
      <c r="AY37" s="55"/>
      <c r="AZ37" s="255"/>
      <c r="BA37" s="59"/>
      <c r="BB37" s="255"/>
      <c r="BC37" s="255"/>
      <c r="BD37" s="256"/>
      <c r="BE37" s="10"/>
      <c r="BF37" s="259"/>
    </row>
    <row r="38" spans="1:58" s="381" customFormat="1" ht="45" customHeight="1" x14ac:dyDescent="0.25">
      <c r="A38" s="258">
        <v>730007</v>
      </c>
      <c r="B38" s="88" t="s">
        <v>508</v>
      </c>
      <c r="C38" s="60" t="s">
        <v>627</v>
      </c>
      <c r="D38" s="10" t="s">
        <v>281</v>
      </c>
      <c r="E38" s="10" t="s">
        <v>284</v>
      </c>
      <c r="F38" s="16" t="s">
        <v>287</v>
      </c>
      <c r="G38" s="10" t="s">
        <v>30</v>
      </c>
      <c r="H38" s="10" t="s">
        <v>52</v>
      </c>
      <c r="I38" s="55" t="s">
        <v>18</v>
      </c>
      <c r="J38" s="255">
        <v>45571</v>
      </c>
      <c r="K38" s="59" t="s">
        <v>293</v>
      </c>
      <c r="L38" s="255">
        <f t="shared" si="0"/>
        <v>45578</v>
      </c>
      <c r="M38" s="255">
        <v>45577</v>
      </c>
      <c r="N38" s="256">
        <f t="shared" si="1"/>
        <v>-1</v>
      </c>
      <c r="O38" s="10" t="s">
        <v>354</v>
      </c>
      <c r="P38" s="55" t="s">
        <v>14</v>
      </c>
      <c r="Q38" s="255">
        <v>45776</v>
      </c>
      <c r="R38" s="59" t="s">
        <v>3109</v>
      </c>
      <c r="S38" s="255">
        <f t="shared" si="4"/>
        <v>45783</v>
      </c>
      <c r="T38" s="255">
        <v>45784</v>
      </c>
      <c r="U38" s="256">
        <f t="shared" si="5"/>
        <v>1</v>
      </c>
      <c r="V38" s="10" t="s">
        <v>3118</v>
      </c>
      <c r="W38" s="9" t="s">
        <v>508</v>
      </c>
      <c r="X38" s="255">
        <v>46118</v>
      </c>
      <c r="Y38" s="59" t="s">
        <v>6267</v>
      </c>
      <c r="Z38" s="255" t="s">
        <v>626</v>
      </c>
      <c r="AA38" s="255" t="s">
        <v>626</v>
      </c>
      <c r="AB38" s="256" t="s">
        <v>626</v>
      </c>
      <c r="AC38" s="10" t="s">
        <v>626</v>
      </c>
      <c r="AD38" s="55"/>
      <c r="AE38" s="255"/>
      <c r="AF38" s="59"/>
      <c r="AG38" s="255"/>
      <c r="AH38" s="255"/>
      <c r="AI38" s="256"/>
      <c r="AJ38" s="10"/>
      <c r="AK38" s="55"/>
      <c r="AL38" s="255"/>
      <c r="AM38" s="59"/>
      <c r="AN38" s="255"/>
      <c r="AO38" s="255"/>
      <c r="AP38" s="256"/>
      <c r="AQ38" s="10"/>
      <c r="AR38" s="55"/>
      <c r="AS38" s="255"/>
      <c r="AT38" s="59"/>
      <c r="AU38" s="255"/>
      <c r="AV38" s="255"/>
      <c r="AW38" s="256"/>
      <c r="AX38" s="10"/>
      <c r="AY38" s="55"/>
      <c r="AZ38" s="255"/>
      <c r="BA38" s="59"/>
      <c r="BB38" s="255"/>
      <c r="BC38" s="255"/>
      <c r="BD38" s="256"/>
      <c r="BE38" s="10"/>
      <c r="BF38" s="259"/>
    </row>
    <row r="39" spans="1:58" s="381" customFormat="1" ht="45" customHeight="1" x14ac:dyDescent="0.25">
      <c r="A39" s="258">
        <v>730007</v>
      </c>
      <c r="B39" s="16" t="s">
        <v>5</v>
      </c>
      <c r="C39" s="60" t="s">
        <v>208</v>
      </c>
      <c r="D39" s="10" t="s">
        <v>480</v>
      </c>
      <c r="E39" s="10" t="s">
        <v>481</v>
      </c>
      <c r="F39" s="16" t="s">
        <v>482</v>
      </c>
      <c r="G39" s="10" t="s">
        <v>30</v>
      </c>
      <c r="H39" s="10" t="s">
        <v>52</v>
      </c>
      <c r="I39" s="16" t="s">
        <v>18</v>
      </c>
      <c r="J39" s="255">
        <v>45586</v>
      </c>
      <c r="K39" s="59" t="s">
        <v>483</v>
      </c>
      <c r="L39" s="255">
        <f t="shared" si="0"/>
        <v>45593</v>
      </c>
      <c r="M39" s="255">
        <v>45592</v>
      </c>
      <c r="N39" s="256">
        <f t="shared" si="1"/>
        <v>-1</v>
      </c>
      <c r="O39" s="10" t="s">
        <v>490</v>
      </c>
      <c r="P39" s="16" t="s">
        <v>5</v>
      </c>
      <c r="Q39" s="255">
        <v>46218</v>
      </c>
      <c r="R39" s="59"/>
      <c r="S39" s="255">
        <f t="shared" si="4"/>
        <v>46225</v>
      </c>
      <c r="T39" s="255">
        <v>46229</v>
      </c>
      <c r="U39" s="256">
        <f t="shared" si="5"/>
        <v>4</v>
      </c>
      <c r="V39" s="151" t="s">
        <v>7293</v>
      </c>
      <c r="W39" s="16"/>
      <c r="X39" s="255"/>
      <c r="Y39" s="59"/>
      <c r="Z39" s="255"/>
      <c r="AA39" s="255"/>
      <c r="AB39" s="256"/>
      <c r="AC39" s="10"/>
      <c r="AD39" s="16"/>
      <c r="AE39" s="255"/>
      <c r="AF39" s="59"/>
      <c r="AG39" s="255"/>
      <c r="AH39" s="255"/>
      <c r="AI39" s="256"/>
      <c r="AJ39" s="10"/>
      <c r="AK39" s="16"/>
      <c r="AL39" s="255"/>
      <c r="AM39" s="59"/>
      <c r="AN39" s="255"/>
      <c r="AO39" s="255"/>
      <c r="AP39" s="256"/>
      <c r="AQ39" s="10"/>
      <c r="AR39" s="16"/>
      <c r="AS39" s="255"/>
      <c r="AT39" s="59"/>
      <c r="AU39" s="255"/>
      <c r="AV39" s="255"/>
      <c r="AW39" s="256"/>
      <c r="AX39" s="10"/>
      <c r="AY39" s="16"/>
      <c r="AZ39" s="255"/>
      <c r="BA39" s="59"/>
      <c r="BB39" s="255"/>
      <c r="BC39" s="255"/>
      <c r="BD39" s="256"/>
      <c r="BE39" s="10"/>
      <c r="BF39" s="259"/>
    </row>
    <row r="40" spans="1:58" s="381" customFormat="1" ht="45" customHeight="1" x14ac:dyDescent="0.25">
      <c r="A40" s="258">
        <v>730007</v>
      </c>
      <c r="B40" s="88" t="s">
        <v>508</v>
      </c>
      <c r="C40" s="60" t="s">
        <v>627</v>
      </c>
      <c r="D40" s="10" t="s">
        <v>492</v>
      </c>
      <c r="E40" s="10" t="s">
        <v>493</v>
      </c>
      <c r="F40" s="16" t="s">
        <v>494</v>
      </c>
      <c r="G40" s="10" t="s">
        <v>30</v>
      </c>
      <c r="H40" s="10" t="s">
        <v>52</v>
      </c>
      <c r="I40" s="16" t="s">
        <v>3</v>
      </c>
      <c r="J40" s="255">
        <v>45587</v>
      </c>
      <c r="K40" s="59" t="s">
        <v>495</v>
      </c>
      <c r="L40" s="255">
        <f t="shared" si="0"/>
        <v>45594</v>
      </c>
      <c r="M40" s="255">
        <v>45589</v>
      </c>
      <c r="N40" s="256">
        <f t="shared" si="1"/>
        <v>-5</v>
      </c>
      <c r="O40" s="10" t="s">
        <v>500</v>
      </c>
      <c r="P40" s="16" t="s">
        <v>3</v>
      </c>
      <c r="Q40" s="255">
        <v>45606</v>
      </c>
      <c r="R40" s="59" t="s">
        <v>828</v>
      </c>
      <c r="S40" s="255">
        <f>Q40+7</f>
        <v>45613</v>
      </c>
      <c r="T40" s="255">
        <v>45615</v>
      </c>
      <c r="U40" s="256">
        <f>T40-S40</f>
        <v>2</v>
      </c>
      <c r="V40" s="10" t="s">
        <v>834</v>
      </c>
      <c r="W40" s="16" t="s">
        <v>3</v>
      </c>
      <c r="X40" s="255">
        <v>45619</v>
      </c>
      <c r="Y40" s="59" t="s">
        <v>1006</v>
      </c>
      <c r="Z40" s="255">
        <f>X40+7</f>
        <v>45626</v>
      </c>
      <c r="AA40" s="255">
        <v>45623</v>
      </c>
      <c r="AB40" s="256">
        <f>AA40-Z40</f>
        <v>-3</v>
      </c>
      <c r="AC40" s="10" t="s">
        <v>1011</v>
      </c>
      <c r="AD40" s="16" t="s">
        <v>508</v>
      </c>
      <c r="AE40" s="255">
        <v>45824</v>
      </c>
      <c r="AF40" s="59" t="s">
        <v>3504</v>
      </c>
      <c r="AG40" s="255"/>
      <c r="AH40" s="255"/>
      <c r="AI40" s="256"/>
      <c r="AJ40" s="10"/>
      <c r="AK40" s="16"/>
      <c r="AL40" s="255"/>
      <c r="AM40" s="59"/>
      <c r="AN40" s="255"/>
      <c r="AO40" s="255"/>
      <c r="AP40" s="256"/>
      <c r="AQ40" s="10"/>
      <c r="AR40" s="16"/>
      <c r="AS40" s="255"/>
      <c r="AT40" s="59"/>
      <c r="AU40" s="255"/>
      <c r="AV40" s="255"/>
      <c r="AW40" s="256"/>
      <c r="AX40" s="10"/>
      <c r="AY40" s="16"/>
      <c r="AZ40" s="255"/>
      <c r="BA40" s="59"/>
      <c r="BB40" s="255"/>
      <c r="BC40" s="255"/>
      <c r="BD40" s="256"/>
      <c r="BE40" s="10"/>
      <c r="BF40" s="259"/>
    </row>
    <row r="41" spans="1:58" s="381" customFormat="1" ht="45" customHeight="1" x14ac:dyDescent="0.25">
      <c r="A41" s="258">
        <v>730007</v>
      </c>
      <c r="B41" s="10" t="s">
        <v>5</v>
      </c>
      <c r="C41" s="60" t="s">
        <v>208</v>
      </c>
      <c r="D41" s="10" t="s">
        <v>533</v>
      </c>
      <c r="E41" s="10" t="s">
        <v>534</v>
      </c>
      <c r="F41" s="16" t="s">
        <v>7166</v>
      </c>
      <c r="G41" s="10" t="s">
        <v>30</v>
      </c>
      <c r="H41" s="10" t="s">
        <v>52</v>
      </c>
      <c r="I41" s="16" t="s">
        <v>18</v>
      </c>
      <c r="J41" s="255">
        <v>45589</v>
      </c>
      <c r="K41" s="59" t="s">
        <v>535</v>
      </c>
      <c r="L41" s="255">
        <f t="shared" si="0"/>
        <v>45596</v>
      </c>
      <c r="M41" s="255">
        <v>45592</v>
      </c>
      <c r="N41" s="256">
        <f t="shared" si="1"/>
        <v>-4</v>
      </c>
      <c r="O41" s="10" t="s">
        <v>550</v>
      </c>
      <c r="P41" s="16" t="s">
        <v>5</v>
      </c>
      <c r="Q41" s="255">
        <v>46204</v>
      </c>
      <c r="R41" s="59" t="s">
        <v>7167</v>
      </c>
      <c r="S41" s="255">
        <f>Q41+7</f>
        <v>46211</v>
      </c>
      <c r="T41" s="255">
        <v>46212</v>
      </c>
      <c r="U41" s="256">
        <f>T41-S41</f>
        <v>1</v>
      </c>
      <c r="V41" s="10" t="s">
        <v>7185</v>
      </c>
      <c r="W41" s="16"/>
      <c r="X41" s="255"/>
      <c r="Y41" s="59"/>
      <c r="Z41" s="255"/>
      <c r="AA41" s="255"/>
      <c r="AB41" s="256"/>
      <c r="AC41" s="10"/>
      <c r="AD41" s="16"/>
      <c r="AE41" s="255"/>
      <c r="AF41" s="59"/>
      <c r="AG41" s="255"/>
      <c r="AH41" s="255"/>
      <c r="AI41" s="256"/>
      <c r="AJ41" s="10"/>
      <c r="AK41" s="16"/>
      <c r="AL41" s="255"/>
      <c r="AM41" s="59"/>
      <c r="AN41" s="255"/>
      <c r="AO41" s="255"/>
      <c r="AP41" s="256"/>
      <c r="AQ41" s="10"/>
      <c r="AR41" s="16"/>
      <c r="AS41" s="255"/>
      <c r="AT41" s="59"/>
      <c r="AU41" s="255"/>
      <c r="AV41" s="255"/>
      <c r="AW41" s="256"/>
      <c r="AX41" s="10"/>
      <c r="AY41" s="16"/>
      <c r="AZ41" s="255"/>
      <c r="BA41" s="59"/>
      <c r="BB41" s="255"/>
      <c r="BC41" s="255"/>
      <c r="BD41" s="256"/>
      <c r="BE41" s="10"/>
      <c r="BF41" s="259"/>
    </row>
    <row r="42" spans="1:58" s="381" customFormat="1" ht="45" customHeight="1" x14ac:dyDescent="0.25">
      <c r="A42" s="258">
        <v>730007</v>
      </c>
      <c r="B42" s="10" t="s">
        <v>5</v>
      </c>
      <c r="C42" s="60" t="s">
        <v>54</v>
      </c>
      <c r="D42" s="10" t="s">
        <v>702</v>
      </c>
      <c r="E42" s="10" t="s">
        <v>703</v>
      </c>
      <c r="F42" s="16" t="s">
        <v>704</v>
      </c>
      <c r="G42" s="10" t="s">
        <v>30</v>
      </c>
      <c r="H42" s="10" t="s">
        <v>52</v>
      </c>
      <c r="I42" s="16" t="s">
        <v>5</v>
      </c>
      <c r="J42" s="255">
        <v>45600</v>
      </c>
      <c r="K42" s="59" t="s">
        <v>705</v>
      </c>
      <c r="L42" s="255">
        <f t="shared" si="0"/>
        <v>45607</v>
      </c>
      <c r="M42" s="255">
        <v>45607</v>
      </c>
      <c r="N42" s="256">
        <f t="shared" si="1"/>
        <v>0</v>
      </c>
      <c r="O42" s="10" t="s">
        <v>712</v>
      </c>
      <c r="P42" s="16"/>
      <c r="Q42" s="255"/>
      <c r="R42" s="59"/>
      <c r="S42" s="255"/>
      <c r="T42" s="255"/>
      <c r="U42" s="256"/>
      <c r="V42" s="10"/>
      <c r="W42" s="16"/>
      <c r="X42" s="255"/>
      <c r="Y42" s="59"/>
      <c r="Z42" s="255"/>
      <c r="AA42" s="255"/>
      <c r="AB42" s="256"/>
      <c r="AC42" s="10"/>
      <c r="AD42" s="16"/>
      <c r="AE42" s="255"/>
      <c r="AF42" s="59"/>
      <c r="AG42" s="255"/>
      <c r="AH42" s="255"/>
      <c r="AI42" s="256"/>
      <c r="AJ42" s="10"/>
      <c r="AK42" s="16"/>
      <c r="AL42" s="255"/>
      <c r="AM42" s="59"/>
      <c r="AN42" s="255"/>
      <c r="AO42" s="255"/>
      <c r="AP42" s="256"/>
      <c r="AQ42" s="10"/>
      <c r="AR42" s="16"/>
      <c r="AS42" s="255"/>
      <c r="AT42" s="59"/>
      <c r="AU42" s="255"/>
      <c r="AV42" s="255"/>
      <c r="AW42" s="256"/>
      <c r="AX42" s="10"/>
      <c r="AY42" s="16"/>
      <c r="AZ42" s="255"/>
      <c r="BA42" s="59"/>
      <c r="BB42" s="255"/>
      <c r="BC42" s="255"/>
      <c r="BD42" s="256"/>
      <c r="BE42" s="10"/>
      <c r="BF42" s="259"/>
    </row>
    <row r="43" spans="1:58" s="381" customFormat="1" ht="45" customHeight="1" x14ac:dyDescent="0.25">
      <c r="A43" s="258">
        <v>730007</v>
      </c>
      <c r="B43" s="10" t="s">
        <v>5</v>
      </c>
      <c r="C43" s="60" t="s">
        <v>54</v>
      </c>
      <c r="D43" s="10" t="s">
        <v>726</v>
      </c>
      <c r="E43" s="10" t="s">
        <v>727</v>
      </c>
      <c r="F43" s="16" t="s">
        <v>728</v>
      </c>
      <c r="G43" s="10" t="s">
        <v>30</v>
      </c>
      <c r="H43" s="10" t="s">
        <v>52</v>
      </c>
      <c r="I43" s="16" t="s">
        <v>5</v>
      </c>
      <c r="J43" s="255">
        <v>45602</v>
      </c>
      <c r="K43" s="59" t="s">
        <v>729</v>
      </c>
      <c r="L43" s="255">
        <f t="shared" si="0"/>
        <v>45609</v>
      </c>
      <c r="M43" s="255">
        <v>45607</v>
      </c>
      <c r="N43" s="256">
        <f t="shared" si="1"/>
        <v>-2</v>
      </c>
      <c r="O43" s="10" t="s">
        <v>775</v>
      </c>
      <c r="P43" s="16"/>
      <c r="Q43" s="255"/>
      <c r="R43" s="59"/>
      <c r="S43" s="255"/>
      <c r="T43" s="255"/>
      <c r="U43" s="256"/>
      <c r="V43" s="10"/>
      <c r="W43" s="16"/>
      <c r="X43" s="255"/>
      <c r="Y43" s="59"/>
      <c r="Z43" s="255"/>
      <c r="AA43" s="255"/>
      <c r="AB43" s="256"/>
      <c r="AC43" s="10"/>
      <c r="AD43" s="16"/>
      <c r="AE43" s="255"/>
      <c r="AF43" s="59"/>
      <c r="AG43" s="255"/>
      <c r="AH43" s="255"/>
      <c r="AI43" s="256"/>
      <c r="AJ43" s="10"/>
      <c r="AK43" s="16"/>
      <c r="AL43" s="255"/>
      <c r="AM43" s="59"/>
      <c r="AN43" s="255"/>
      <c r="AO43" s="255"/>
      <c r="AP43" s="256"/>
      <c r="AQ43" s="10"/>
      <c r="AR43" s="16"/>
      <c r="AS43" s="255"/>
      <c r="AT43" s="59"/>
      <c r="AU43" s="255"/>
      <c r="AV43" s="255"/>
      <c r="AW43" s="256"/>
      <c r="AX43" s="10"/>
      <c r="AY43" s="16"/>
      <c r="AZ43" s="255"/>
      <c r="BA43" s="59"/>
      <c r="BB43" s="255"/>
      <c r="BC43" s="255"/>
      <c r="BD43" s="256"/>
      <c r="BE43" s="10"/>
      <c r="BF43" s="259"/>
    </row>
    <row r="44" spans="1:58" s="381" customFormat="1" ht="45" customHeight="1" x14ac:dyDescent="0.25">
      <c r="A44" s="258">
        <v>730007</v>
      </c>
      <c r="B44" s="10" t="s">
        <v>5</v>
      </c>
      <c r="C44" s="60" t="s">
        <v>208</v>
      </c>
      <c r="D44" s="10" t="s">
        <v>757</v>
      </c>
      <c r="E44" s="10" t="s">
        <v>759</v>
      </c>
      <c r="F44" s="16" t="s">
        <v>761</v>
      </c>
      <c r="G44" s="10" t="s">
        <v>30</v>
      </c>
      <c r="H44" s="10" t="s">
        <v>52</v>
      </c>
      <c r="I44" s="16" t="s">
        <v>18</v>
      </c>
      <c r="J44" s="255">
        <v>45603</v>
      </c>
      <c r="K44" s="59" t="s">
        <v>762</v>
      </c>
      <c r="L44" s="255">
        <f t="shared" si="0"/>
        <v>45610</v>
      </c>
      <c r="M44" s="255">
        <v>45610</v>
      </c>
      <c r="N44" s="256">
        <f t="shared" si="1"/>
        <v>0</v>
      </c>
      <c r="O44" s="10" t="s">
        <v>784</v>
      </c>
      <c r="P44" s="16" t="s">
        <v>5</v>
      </c>
      <c r="Q44" s="255">
        <v>46211</v>
      </c>
      <c r="R44" s="59" t="s">
        <v>7245</v>
      </c>
      <c r="S44" s="255">
        <f>Q44+7</f>
        <v>46218</v>
      </c>
      <c r="T44" s="255">
        <v>46225</v>
      </c>
      <c r="U44" s="256">
        <f>T44-S44</f>
        <v>7</v>
      </c>
      <c r="V44" s="10" t="s">
        <v>7254</v>
      </c>
      <c r="W44" s="16"/>
      <c r="X44" s="255"/>
      <c r="Y44" s="59"/>
      <c r="Z44" s="255"/>
      <c r="AA44" s="255"/>
      <c r="AB44" s="256"/>
      <c r="AC44" s="10"/>
      <c r="AD44" s="16"/>
      <c r="AE44" s="255"/>
      <c r="AF44" s="59"/>
      <c r="AG44" s="255"/>
      <c r="AH44" s="255"/>
      <c r="AI44" s="256"/>
      <c r="AJ44" s="10"/>
      <c r="AK44" s="16"/>
      <c r="AL44" s="255"/>
      <c r="AM44" s="59"/>
      <c r="AN44" s="255"/>
      <c r="AO44" s="255"/>
      <c r="AP44" s="256"/>
      <c r="AQ44" s="10"/>
      <c r="AR44" s="16"/>
      <c r="AS44" s="255"/>
      <c r="AT44" s="59"/>
      <c r="AU44" s="255"/>
      <c r="AV44" s="255"/>
      <c r="AW44" s="256"/>
      <c r="AX44" s="10"/>
      <c r="AY44" s="16"/>
      <c r="AZ44" s="255"/>
      <c r="BA44" s="59"/>
      <c r="BB44" s="255"/>
      <c r="BC44" s="255"/>
      <c r="BD44" s="256"/>
      <c r="BE44" s="10"/>
      <c r="BF44" s="259"/>
    </row>
    <row r="45" spans="1:58" s="381" customFormat="1" ht="45" customHeight="1" x14ac:dyDescent="0.25">
      <c r="A45" s="258">
        <v>730007</v>
      </c>
      <c r="B45" s="10" t="s">
        <v>5</v>
      </c>
      <c r="C45" s="60" t="s">
        <v>54</v>
      </c>
      <c r="D45" s="10" t="s">
        <v>758</v>
      </c>
      <c r="E45" s="10" t="s">
        <v>760</v>
      </c>
      <c r="F45" s="16" t="s">
        <v>763</v>
      </c>
      <c r="G45" s="10" t="s">
        <v>30</v>
      </c>
      <c r="H45" s="10" t="s">
        <v>52</v>
      </c>
      <c r="I45" s="16" t="s">
        <v>5</v>
      </c>
      <c r="J45" s="255">
        <v>45603</v>
      </c>
      <c r="K45" s="59" t="s">
        <v>764</v>
      </c>
      <c r="L45" s="255">
        <f t="shared" si="0"/>
        <v>45610</v>
      </c>
      <c r="M45" s="255">
        <v>45612</v>
      </c>
      <c r="N45" s="256">
        <f t="shared" si="1"/>
        <v>2</v>
      </c>
      <c r="O45" s="10" t="s">
        <v>785</v>
      </c>
      <c r="P45" s="16"/>
      <c r="Q45" s="255"/>
      <c r="R45" s="59"/>
      <c r="S45" s="255"/>
      <c r="T45" s="255"/>
      <c r="U45" s="256"/>
      <c r="V45" s="10"/>
      <c r="W45" s="16"/>
      <c r="X45" s="255"/>
      <c r="Y45" s="59"/>
      <c r="Z45" s="255"/>
      <c r="AA45" s="255"/>
      <c r="AB45" s="256"/>
      <c r="AC45" s="10"/>
      <c r="AD45" s="16"/>
      <c r="AE45" s="255"/>
      <c r="AF45" s="59"/>
      <c r="AG45" s="255"/>
      <c r="AH45" s="255"/>
      <c r="AI45" s="256"/>
      <c r="AJ45" s="10"/>
      <c r="AK45" s="16"/>
      <c r="AL45" s="255"/>
      <c r="AM45" s="59"/>
      <c r="AN45" s="255"/>
      <c r="AO45" s="255"/>
      <c r="AP45" s="256"/>
      <c r="AQ45" s="10"/>
      <c r="AR45" s="16"/>
      <c r="AS45" s="255"/>
      <c r="AT45" s="59"/>
      <c r="AU45" s="255"/>
      <c r="AV45" s="255"/>
      <c r="AW45" s="256"/>
      <c r="AX45" s="10"/>
      <c r="AY45" s="16"/>
      <c r="AZ45" s="255"/>
      <c r="BA45" s="59"/>
      <c r="BB45" s="255"/>
      <c r="BC45" s="255"/>
      <c r="BD45" s="256"/>
      <c r="BE45" s="10"/>
      <c r="BF45" s="259"/>
    </row>
    <row r="46" spans="1:58" s="381" customFormat="1" ht="45" customHeight="1" x14ac:dyDescent="0.25">
      <c r="A46" s="258">
        <v>730007</v>
      </c>
      <c r="B46" s="10" t="s">
        <v>18</v>
      </c>
      <c r="C46" s="60" t="s">
        <v>54</v>
      </c>
      <c r="D46" s="10" t="s">
        <v>765</v>
      </c>
      <c r="E46" s="10" t="s">
        <v>766</v>
      </c>
      <c r="F46" s="16" t="s">
        <v>767</v>
      </c>
      <c r="G46" s="10" t="s">
        <v>30</v>
      </c>
      <c r="H46" s="10" t="s">
        <v>52</v>
      </c>
      <c r="I46" s="16" t="s">
        <v>18</v>
      </c>
      <c r="J46" s="255">
        <v>45603</v>
      </c>
      <c r="K46" s="59" t="s">
        <v>786</v>
      </c>
      <c r="L46" s="255">
        <f t="shared" si="0"/>
        <v>45610</v>
      </c>
      <c r="M46" s="255">
        <v>45613</v>
      </c>
      <c r="N46" s="256">
        <f t="shared" si="1"/>
        <v>3</v>
      </c>
      <c r="O46" s="10" t="s">
        <v>813</v>
      </c>
      <c r="P46" s="16"/>
      <c r="Q46" s="255"/>
      <c r="R46" s="59"/>
      <c r="S46" s="255"/>
      <c r="T46" s="255"/>
      <c r="U46" s="256"/>
      <c r="V46" s="10"/>
      <c r="W46" s="16"/>
      <c r="X46" s="255"/>
      <c r="Y46" s="59"/>
      <c r="Z46" s="255"/>
      <c r="AA46" s="255"/>
      <c r="AB46" s="256"/>
      <c r="AC46" s="10"/>
      <c r="AD46" s="16"/>
      <c r="AE46" s="255"/>
      <c r="AF46" s="59"/>
      <c r="AG46" s="255"/>
      <c r="AH46" s="255"/>
      <c r="AI46" s="256"/>
      <c r="AJ46" s="10"/>
      <c r="AK46" s="16"/>
      <c r="AL46" s="255"/>
      <c r="AM46" s="59"/>
      <c r="AN46" s="255"/>
      <c r="AO46" s="255"/>
      <c r="AP46" s="256"/>
      <c r="AQ46" s="10"/>
      <c r="AR46" s="16"/>
      <c r="AS46" s="255"/>
      <c r="AT46" s="59"/>
      <c r="AU46" s="255"/>
      <c r="AV46" s="255"/>
      <c r="AW46" s="256"/>
      <c r="AX46" s="10"/>
      <c r="AY46" s="16"/>
      <c r="AZ46" s="255"/>
      <c r="BA46" s="59"/>
      <c r="BB46" s="255"/>
      <c r="BC46" s="255"/>
      <c r="BD46" s="256"/>
      <c r="BE46" s="10"/>
      <c r="BF46" s="259"/>
    </row>
    <row r="47" spans="1:58" s="381" customFormat="1" ht="45" customHeight="1" x14ac:dyDescent="0.25">
      <c r="A47" s="258">
        <v>730007</v>
      </c>
      <c r="B47" s="16" t="s">
        <v>18</v>
      </c>
      <c r="C47" s="60" t="s">
        <v>208</v>
      </c>
      <c r="D47" s="10" t="s">
        <v>1007</v>
      </c>
      <c r="E47" s="10" t="s">
        <v>1008</v>
      </c>
      <c r="F47" s="16" t="s">
        <v>1009</v>
      </c>
      <c r="G47" s="10" t="s">
        <v>30</v>
      </c>
      <c r="H47" s="10" t="s">
        <v>52</v>
      </c>
      <c r="I47" s="16" t="s">
        <v>3</v>
      </c>
      <c r="J47" s="255">
        <v>45619</v>
      </c>
      <c r="K47" s="59" t="s">
        <v>1010</v>
      </c>
      <c r="L47" s="255">
        <f t="shared" si="0"/>
        <v>45626</v>
      </c>
      <c r="M47" s="255">
        <v>45627</v>
      </c>
      <c r="N47" s="256">
        <f t="shared" si="1"/>
        <v>1</v>
      </c>
      <c r="O47" s="10" t="s">
        <v>1026</v>
      </c>
      <c r="P47" s="16" t="s">
        <v>18</v>
      </c>
      <c r="Q47" s="255">
        <v>45686</v>
      </c>
      <c r="R47" s="59" t="s">
        <v>2208</v>
      </c>
      <c r="S47" s="255">
        <f>Q47+7</f>
        <v>45693</v>
      </c>
      <c r="T47" s="255">
        <v>45691</v>
      </c>
      <c r="U47" s="256">
        <f>T47-S47</f>
        <v>-2</v>
      </c>
      <c r="V47" s="10" t="s">
        <v>2227</v>
      </c>
      <c r="W47" s="16"/>
      <c r="X47" s="255"/>
      <c r="Y47" s="59"/>
      <c r="Z47" s="255"/>
      <c r="AA47" s="255"/>
      <c r="AB47" s="256"/>
      <c r="AC47" s="10"/>
      <c r="AD47" s="16"/>
      <c r="AE47" s="255"/>
      <c r="AF47" s="59"/>
      <c r="AG47" s="255"/>
      <c r="AH47" s="255"/>
      <c r="AI47" s="256"/>
      <c r="AJ47" s="10"/>
      <c r="AK47" s="16"/>
      <c r="AL47" s="255"/>
      <c r="AM47" s="59"/>
      <c r="AN47" s="255"/>
      <c r="AO47" s="255"/>
      <c r="AP47" s="256"/>
      <c r="AQ47" s="10"/>
      <c r="AR47" s="16"/>
      <c r="AS47" s="255"/>
      <c r="AT47" s="59"/>
      <c r="AU47" s="255"/>
      <c r="AV47" s="255"/>
      <c r="AW47" s="256"/>
      <c r="AX47" s="10"/>
      <c r="AY47" s="16"/>
      <c r="AZ47" s="255"/>
      <c r="BA47" s="59"/>
      <c r="BB47" s="255"/>
      <c r="BC47" s="255"/>
      <c r="BD47" s="256"/>
      <c r="BE47" s="10"/>
      <c r="BF47" s="259"/>
    </row>
    <row r="48" spans="1:58" s="381" customFormat="1" ht="45" customHeight="1" x14ac:dyDescent="0.25">
      <c r="A48" s="258">
        <v>730007</v>
      </c>
      <c r="B48" s="16" t="s">
        <v>18</v>
      </c>
      <c r="C48" s="60" t="s">
        <v>208</v>
      </c>
      <c r="D48" s="10" t="s">
        <v>1094</v>
      </c>
      <c r="E48" s="10" t="s">
        <v>1097</v>
      </c>
      <c r="F48" s="16" t="s">
        <v>1100</v>
      </c>
      <c r="G48" s="10" t="s">
        <v>30</v>
      </c>
      <c r="H48" s="10" t="s">
        <v>52</v>
      </c>
      <c r="I48" s="16" t="s">
        <v>18</v>
      </c>
      <c r="J48" s="255">
        <v>45624</v>
      </c>
      <c r="K48" s="59" t="s">
        <v>1122</v>
      </c>
      <c r="L48" s="255">
        <f t="shared" si="0"/>
        <v>45631</v>
      </c>
      <c r="M48" s="255">
        <v>45634</v>
      </c>
      <c r="N48" s="256">
        <f t="shared" si="1"/>
        <v>3</v>
      </c>
      <c r="O48" s="10" t="s">
        <v>1154</v>
      </c>
      <c r="P48" s="16" t="s">
        <v>18</v>
      </c>
      <c r="Q48" s="255">
        <v>45760</v>
      </c>
      <c r="R48" s="59" t="s">
        <v>2968</v>
      </c>
      <c r="S48" s="255">
        <f>Q48+7</f>
        <v>45767</v>
      </c>
      <c r="T48" s="255">
        <v>45767</v>
      </c>
      <c r="U48" s="256">
        <f>T48-S48</f>
        <v>0</v>
      </c>
      <c r="V48" s="10" t="s">
        <v>2972</v>
      </c>
      <c r="W48" s="16"/>
      <c r="X48" s="255"/>
      <c r="Y48" s="59"/>
      <c r="Z48" s="255"/>
      <c r="AA48" s="255"/>
      <c r="AB48" s="256"/>
      <c r="AC48" s="10"/>
      <c r="AD48" s="16"/>
      <c r="AE48" s="255"/>
      <c r="AF48" s="59"/>
      <c r="AG48" s="255"/>
      <c r="AH48" s="255"/>
      <c r="AI48" s="256"/>
      <c r="AJ48" s="10"/>
      <c r="AK48" s="16"/>
      <c r="AL48" s="255"/>
      <c r="AM48" s="59"/>
      <c r="AN48" s="255"/>
      <c r="AO48" s="255"/>
      <c r="AP48" s="256"/>
      <c r="AQ48" s="10"/>
      <c r="AR48" s="16"/>
      <c r="AS48" s="255"/>
      <c r="AT48" s="59"/>
      <c r="AU48" s="255"/>
      <c r="AV48" s="255"/>
      <c r="AW48" s="256"/>
      <c r="AX48" s="10"/>
      <c r="AY48" s="16"/>
      <c r="AZ48" s="255"/>
      <c r="BA48" s="59"/>
      <c r="BB48" s="255"/>
      <c r="BC48" s="255"/>
      <c r="BD48" s="256"/>
      <c r="BE48" s="10"/>
      <c r="BF48" s="259"/>
    </row>
    <row r="49" spans="1:58" s="381" customFormat="1" ht="45" customHeight="1" x14ac:dyDescent="0.25">
      <c r="A49" s="258">
        <v>730007</v>
      </c>
      <c r="B49" s="88" t="s">
        <v>508</v>
      </c>
      <c r="C49" s="59" t="s">
        <v>627</v>
      </c>
      <c r="D49" s="10" t="s">
        <v>1095</v>
      </c>
      <c r="E49" s="10" t="s">
        <v>1098</v>
      </c>
      <c r="F49" s="16" t="s">
        <v>1119</v>
      </c>
      <c r="G49" s="10" t="s">
        <v>30</v>
      </c>
      <c r="H49" s="10" t="s">
        <v>52</v>
      </c>
      <c r="I49" s="16" t="s">
        <v>3</v>
      </c>
      <c r="J49" s="255">
        <v>45625</v>
      </c>
      <c r="K49" s="59" t="s">
        <v>1121</v>
      </c>
      <c r="L49" s="255">
        <f t="shared" si="0"/>
        <v>45632</v>
      </c>
      <c r="M49" s="255">
        <v>45634</v>
      </c>
      <c r="N49" s="256">
        <f t="shared" si="1"/>
        <v>2</v>
      </c>
      <c r="O49" s="10" t="s">
        <v>1155</v>
      </c>
      <c r="P49" s="55" t="s">
        <v>508</v>
      </c>
      <c r="Q49" s="255">
        <v>46196</v>
      </c>
      <c r="R49" s="59" t="s">
        <v>7071</v>
      </c>
      <c r="S49" s="255" t="s">
        <v>626</v>
      </c>
      <c r="T49" s="255" t="s">
        <v>626</v>
      </c>
      <c r="U49" s="255" t="s">
        <v>626</v>
      </c>
      <c r="V49" s="255" t="s">
        <v>626</v>
      </c>
      <c r="W49" s="16"/>
      <c r="X49" s="255"/>
      <c r="Y49" s="59"/>
      <c r="Z49" s="255"/>
      <c r="AA49" s="255"/>
      <c r="AB49" s="256"/>
      <c r="AC49" s="10"/>
      <c r="AD49" s="16"/>
      <c r="AE49" s="255"/>
      <c r="AF49" s="59"/>
      <c r="AG49" s="255"/>
      <c r="AH49" s="255"/>
      <c r="AI49" s="256"/>
      <c r="AJ49" s="10"/>
      <c r="AK49" s="16"/>
      <c r="AL49" s="255"/>
      <c r="AM49" s="59"/>
      <c r="AN49" s="255"/>
      <c r="AO49" s="255"/>
      <c r="AP49" s="256"/>
      <c r="AQ49" s="10"/>
      <c r="AR49" s="16"/>
      <c r="AS49" s="255"/>
      <c r="AT49" s="59"/>
      <c r="AU49" s="255"/>
      <c r="AV49" s="255"/>
      <c r="AW49" s="256"/>
      <c r="AX49" s="10"/>
      <c r="AY49" s="16"/>
      <c r="AZ49" s="255"/>
      <c r="BA49" s="59"/>
      <c r="BB49" s="255"/>
      <c r="BC49" s="255"/>
      <c r="BD49" s="256"/>
      <c r="BE49" s="10"/>
      <c r="BF49" s="259"/>
    </row>
    <row r="50" spans="1:58" s="381" customFormat="1" ht="45" customHeight="1" x14ac:dyDescent="0.25">
      <c r="A50" s="258">
        <v>730007</v>
      </c>
      <c r="B50" s="16" t="s">
        <v>18</v>
      </c>
      <c r="C50" s="60" t="s">
        <v>588</v>
      </c>
      <c r="D50" s="10" t="s">
        <v>1096</v>
      </c>
      <c r="E50" s="10" t="s">
        <v>1099</v>
      </c>
      <c r="F50" s="16" t="s">
        <v>1120</v>
      </c>
      <c r="G50" s="10" t="s">
        <v>30</v>
      </c>
      <c r="H50" s="10" t="s">
        <v>52</v>
      </c>
      <c r="I50" s="16" t="s">
        <v>3</v>
      </c>
      <c r="J50" s="255">
        <v>45625</v>
      </c>
      <c r="K50" s="59" t="s">
        <v>1123</v>
      </c>
      <c r="L50" s="255">
        <f t="shared" si="0"/>
        <v>45632</v>
      </c>
      <c r="M50" s="255">
        <v>45697</v>
      </c>
      <c r="N50" s="256">
        <f t="shared" si="1"/>
        <v>65</v>
      </c>
      <c r="O50" s="10" t="s">
        <v>2390</v>
      </c>
      <c r="P50" s="16" t="s">
        <v>3</v>
      </c>
      <c r="Q50" s="255">
        <v>45700</v>
      </c>
      <c r="R50" s="59" t="s">
        <v>2437</v>
      </c>
      <c r="S50" s="255">
        <f>Q50+7</f>
        <v>45707</v>
      </c>
      <c r="T50" s="255">
        <v>45703</v>
      </c>
      <c r="U50" s="256">
        <f>T50-S50</f>
        <v>-4</v>
      </c>
      <c r="V50" s="10" t="s">
        <v>2442</v>
      </c>
      <c r="W50" s="16" t="s">
        <v>18</v>
      </c>
      <c r="X50" s="255">
        <v>45955</v>
      </c>
      <c r="Y50" s="59" t="s">
        <v>4589</v>
      </c>
      <c r="Z50" s="255">
        <f>X50+7</f>
        <v>45962</v>
      </c>
      <c r="AA50" s="255">
        <v>45965</v>
      </c>
      <c r="AB50" s="256">
        <f>AA50-Z50</f>
        <v>3</v>
      </c>
      <c r="AC50" s="10" t="s">
        <v>4602</v>
      </c>
      <c r="AD50" s="16"/>
      <c r="AE50" s="255"/>
      <c r="AF50" s="59"/>
      <c r="AG50" s="255"/>
      <c r="AH50" s="255"/>
      <c r="AI50" s="256"/>
      <c r="AJ50" s="10"/>
      <c r="AK50" s="16"/>
      <c r="AL50" s="255"/>
      <c r="AM50" s="59"/>
      <c r="AN50" s="255"/>
      <c r="AO50" s="255"/>
      <c r="AP50" s="256"/>
      <c r="AQ50" s="10"/>
      <c r="AR50" s="16"/>
      <c r="AS50" s="255"/>
      <c r="AT50" s="59"/>
      <c r="AU50" s="255"/>
      <c r="AV50" s="255"/>
      <c r="AW50" s="256"/>
      <c r="AX50" s="10"/>
      <c r="AY50" s="16"/>
      <c r="AZ50" s="255"/>
      <c r="BA50" s="59"/>
      <c r="BB50" s="255"/>
      <c r="BC50" s="255"/>
      <c r="BD50" s="256"/>
      <c r="BE50" s="10"/>
      <c r="BF50" s="259"/>
    </row>
    <row r="51" spans="1:58" s="381" customFormat="1" ht="45" customHeight="1" x14ac:dyDescent="0.25">
      <c r="A51" s="258">
        <v>730007</v>
      </c>
      <c r="B51" s="88" t="s">
        <v>508</v>
      </c>
      <c r="C51" s="60" t="s">
        <v>627</v>
      </c>
      <c r="D51" s="10" t="s">
        <v>1198</v>
      </c>
      <c r="E51" s="10" t="s">
        <v>1199</v>
      </c>
      <c r="F51" s="16" t="s">
        <v>1200</v>
      </c>
      <c r="G51" s="10" t="s">
        <v>30</v>
      </c>
      <c r="H51" s="10" t="s">
        <v>52</v>
      </c>
      <c r="I51" s="16" t="s">
        <v>3</v>
      </c>
      <c r="J51" s="255">
        <v>45629</v>
      </c>
      <c r="K51" s="59" t="s">
        <v>1201</v>
      </c>
      <c r="L51" s="255">
        <f t="shared" si="0"/>
        <v>45636</v>
      </c>
      <c r="M51" s="255">
        <v>45643</v>
      </c>
      <c r="N51" s="256">
        <f t="shared" si="1"/>
        <v>7</v>
      </c>
      <c r="O51" s="10" t="s">
        <v>1242</v>
      </c>
      <c r="P51" s="16" t="s">
        <v>3</v>
      </c>
      <c r="Q51" s="255">
        <v>45666</v>
      </c>
      <c r="R51" s="59" t="s">
        <v>1910</v>
      </c>
      <c r="S51" s="255">
        <f>Q51+7</f>
        <v>45673</v>
      </c>
      <c r="T51" s="255">
        <v>45678</v>
      </c>
      <c r="U51" s="256">
        <f>T51-S51</f>
        <v>5</v>
      </c>
      <c r="V51" s="10" t="s">
        <v>1918</v>
      </c>
      <c r="W51" s="16" t="s">
        <v>508</v>
      </c>
      <c r="X51" s="255">
        <v>45824</v>
      </c>
      <c r="Y51" s="59" t="s">
        <v>3504</v>
      </c>
      <c r="Z51" s="255">
        <f>X51+7</f>
        <v>45831</v>
      </c>
      <c r="AA51" s="255"/>
      <c r="AB51" s="256"/>
      <c r="AC51" s="10"/>
      <c r="AD51" s="16"/>
      <c r="AE51" s="255"/>
      <c r="AF51" s="59"/>
      <c r="AG51" s="255"/>
      <c r="AH51" s="255"/>
      <c r="AI51" s="256"/>
      <c r="AJ51" s="10"/>
      <c r="AK51" s="16"/>
      <c r="AL51" s="255"/>
      <c r="AM51" s="59"/>
      <c r="AN51" s="255"/>
      <c r="AO51" s="255"/>
      <c r="AP51" s="256"/>
      <c r="AQ51" s="10"/>
      <c r="AR51" s="16"/>
      <c r="AS51" s="255"/>
      <c r="AT51" s="59"/>
      <c r="AU51" s="255"/>
      <c r="AV51" s="255"/>
      <c r="AW51" s="256"/>
      <c r="AX51" s="10"/>
      <c r="AY51" s="16"/>
      <c r="AZ51" s="255"/>
      <c r="BA51" s="59"/>
      <c r="BB51" s="255"/>
      <c r="BC51" s="255"/>
      <c r="BD51" s="256"/>
      <c r="BE51" s="10"/>
      <c r="BF51" s="259"/>
    </row>
    <row r="52" spans="1:58" s="381" customFormat="1" ht="45" customHeight="1" x14ac:dyDescent="0.25">
      <c r="A52" s="258">
        <v>730007</v>
      </c>
      <c r="B52" s="16" t="s">
        <v>5</v>
      </c>
      <c r="C52" s="60" t="s">
        <v>208</v>
      </c>
      <c r="D52" s="10" t="s">
        <v>1225</v>
      </c>
      <c r="E52" s="10" t="s">
        <v>1226</v>
      </c>
      <c r="F52" s="16" t="s">
        <v>1227</v>
      </c>
      <c r="G52" s="10" t="s">
        <v>30</v>
      </c>
      <c r="H52" s="10" t="s">
        <v>52</v>
      </c>
      <c r="I52" s="16" t="s">
        <v>18</v>
      </c>
      <c r="J52" s="255">
        <v>45631</v>
      </c>
      <c r="K52" s="59" t="s">
        <v>1260</v>
      </c>
      <c r="L52" s="255">
        <f t="shared" si="0"/>
        <v>45638</v>
      </c>
      <c r="M52" s="255">
        <v>45641</v>
      </c>
      <c r="N52" s="256">
        <f t="shared" ref="N52:N57" si="6">M52-L52</f>
        <v>3</v>
      </c>
      <c r="O52" s="10" t="s">
        <v>1319</v>
      </c>
      <c r="P52" s="16" t="s">
        <v>5</v>
      </c>
      <c r="Q52" s="255">
        <v>45712</v>
      </c>
      <c r="R52" s="59" t="s">
        <v>2595</v>
      </c>
      <c r="S52" s="255">
        <f>Q52+7</f>
        <v>45719</v>
      </c>
      <c r="T52" s="255">
        <v>45717</v>
      </c>
      <c r="U52" s="256">
        <f>T52-S52</f>
        <v>-2</v>
      </c>
      <c r="V52" s="10" t="s">
        <v>2616</v>
      </c>
      <c r="W52" s="16"/>
      <c r="X52" s="255"/>
      <c r="Y52" s="59"/>
      <c r="Z52" s="255"/>
      <c r="AA52" s="255"/>
      <c r="AB52" s="256"/>
      <c r="AC52" s="10"/>
      <c r="AD52" s="16"/>
      <c r="AE52" s="255"/>
      <c r="AF52" s="59"/>
      <c r="AG52" s="255"/>
      <c r="AH52" s="255"/>
      <c r="AI52" s="256"/>
      <c r="AJ52" s="10"/>
      <c r="AK52" s="16"/>
      <c r="AL52" s="255"/>
      <c r="AM52" s="59"/>
      <c r="AN52" s="255"/>
      <c r="AO52" s="255"/>
      <c r="AP52" s="256"/>
      <c r="AQ52" s="10"/>
      <c r="AR52" s="16"/>
      <c r="AS52" s="255"/>
      <c r="AT52" s="59"/>
      <c r="AU52" s="255"/>
      <c r="AV52" s="255"/>
      <c r="AW52" s="256"/>
      <c r="AX52" s="10"/>
      <c r="AY52" s="16"/>
      <c r="AZ52" s="255"/>
      <c r="BA52" s="59"/>
      <c r="BB52" s="255"/>
      <c r="BC52" s="255"/>
      <c r="BD52" s="256"/>
      <c r="BE52" s="10"/>
      <c r="BF52" s="259"/>
    </row>
    <row r="53" spans="1:58" s="381" customFormat="1" ht="45" customHeight="1" x14ac:dyDescent="0.25">
      <c r="A53" s="258">
        <v>730007</v>
      </c>
      <c r="B53" s="16" t="s">
        <v>5</v>
      </c>
      <c r="C53" s="60" t="s">
        <v>588</v>
      </c>
      <c r="D53" s="10" t="s">
        <v>1257</v>
      </c>
      <c r="E53" s="10" t="s">
        <v>1258</v>
      </c>
      <c r="F53" s="16" t="s">
        <v>1379</v>
      </c>
      <c r="G53" s="10" t="s">
        <v>30</v>
      </c>
      <c r="H53" s="10" t="s">
        <v>52</v>
      </c>
      <c r="I53" s="16" t="s">
        <v>18</v>
      </c>
      <c r="J53" s="255">
        <v>45631</v>
      </c>
      <c r="K53" s="59" t="s">
        <v>1259</v>
      </c>
      <c r="L53" s="255">
        <f t="shared" si="0"/>
        <v>45638</v>
      </c>
      <c r="M53" s="255">
        <v>45635</v>
      </c>
      <c r="N53" s="256">
        <f t="shared" si="6"/>
        <v>-3</v>
      </c>
      <c r="O53" s="10" t="s">
        <v>1264</v>
      </c>
      <c r="P53" s="16" t="s">
        <v>18</v>
      </c>
      <c r="Q53" s="255">
        <v>45638</v>
      </c>
      <c r="R53" s="59" t="s">
        <v>1380</v>
      </c>
      <c r="S53" s="255">
        <f>Q53+7</f>
        <v>45645</v>
      </c>
      <c r="T53" s="255">
        <v>45641</v>
      </c>
      <c r="U53" s="256">
        <f>T53-S53</f>
        <v>-4</v>
      </c>
      <c r="V53" s="10" t="s">
        <v>1396</v>
      </c>
      <c r="W53" s="16" t="s">
        <v>5</v>
      </c>
      <c r="X53" s="255">
        <v>45860</v>
      </c>
      <c r="Y53" s="59" t="s">
        <v>3765</v>
      </c>
      <c r="Z53" s="255">
        <f>X53+7</f>
        <v>45867</v>
      </c>
      <c r="AA53" s="255">
        <v>45865</v>
      </c>
      <c r="AB53" s="256">
        <f>AA53-Z53</f>
        <v>-2</v>
      </c>
      <c r="AC53" s="10" t="s">
        <v>3766</v>
      </c>
      <c r="AD53" s="16"/>
      <c r="AE53" s="255"/>
      <c r="AF53" s="59"/>
      <c r="AG53" s="255"/>
      <c r="AH53" s="255"/>
      <c r="AI53" s="256"/>
      <c r="AJ53" s="10"/>
      <c r="AK53" s="16"/>
      <c r="AL53" s="255"/>
      <c r="AM53" s="59"/>
      <c r="AN53" s="255"/>
      <c r="AO53" s="255"/>
      <c r="AP53" s="256"/>
      <c r="AQ53" s="10"/>
      <c r="AR53" s="16"/>
      <c r="AS53" s="255"/>
      <c r="AT53" s="59"/>
      <c r="AU53" s="255"/>
      <c r="AV53" s="255"/>
      <c r="AW53" s="256"/>
      <c r="AX53" s="10"/>
      <c r="AY53" s="16"/>
      <c r="AZ53" s="255"/>
      <c r="BA53" s="59"/>
      <c r="BB53" s="255"/>
      <c r="BC53" s="255"/>
      <c r="BD53" s="256"/>
      <c r="BE53" s="10"/>
      <c r="BF53" s="259"/>
    </row>
    <row r="54" spans="1:58" s="381" customFormat="1" ht="45" customHeight="1" x14ac:dyDescent="0.25">
      <c r="A54" s="258">
        <v>730007</v>
      </c>
      <c r="B54" s="88" t="s">
        <v>508</v>
      </c>
      <c r="C54" s="60" t="s">
        <v>627</v>
      </c>
      <c r="D54" s="10" t="s">
        <v>1349</v>
      </c>
      <c r="E54" s="10" t="s">
        <v>1350</v>
      </c>
      <c r="F54" s="10" t="s">
        <v>1351</v>
      </c>
      <c r="G54" s="10" t="s">
        <v>30</v>
      </c>
      <c r="H54" s="10" t="s">
        <v>52</v>
      </c>
      <c r="I54" s="88" t="s">
        <v>508</v>
      </c>
      <c r="J54" s="255">
        <v>46152</v>
      </c>
      <c r="K54" s="59" t="s">
        <v>6718</v>
      </c>
      <c r="L54" s="255" t="s">
        <v>626</v>
      </c>
      <c r="M54" s="255" t="s">
        <v>626</v>
      </c>
      <c r="N54" s="255" t="s">
        <v>626</v>
      </c>
      <c r="O54" s="10" t="s">
        <v>626</v>
      </c>
      <c r="P54" s="10"/>
      <c r="Q54" s="255"/>
      <c r="R54" s="59"/>
      <c r="S54" s="255"/>
      <c r="T54" s="255"/>
      <c r="U54" s="255"/>
      <c r="V54" s="10"/>
      <c r="W54" s="10"/>
      <c r="X54" s="255"/>
      <c r="Y54" s="59"/>
      <c r="Z54" s="255"/>
      <c r="AA54" s="255"/>
      <c r="AB54" s="255"/>
      <c r="AC54" s="10"/>
      <c r="AD54" s="10"/>
      <c r="AE54" s="255"/>
      <c r="AF54" s="59"/>
      <c r="AG54" s="255"/>
      <c r="AH54" s="255"/>
      <c r="AI54" s="255"/>
      <c r="AJ54" s="10"/>
      <c r="AK54" s="10"/>
      <c r="AL54" s="255"/>
      <c r="AM54" s="59"/>
      <c r="AN54" s="255"/>
      <c r="AO54" s="255"/>
      <c r="AP54" s="255"/>
      <c r="AQ54" s="10"/>
      <c r="AR54" s="10"/>
      <c r="AS54" s="255"/>
      <c r="AT54" s="59"/>
      <c r="AU54" s="255"/>
      <c r="AV54" s="255"/>
      <c r="AW54" s="255"/>
      <c r="AX54" s="10"/>
      <c r="AY54" s="10"/>
      <c r="AZ54" s="255"/>
      <c r="BA54" s="59"/>
      <c r="BB54" s="255"/>
      <c r="BC54" s="255"/>
      <c r="BD54" s="255"/>
      <c r="BE54" s="10"/>
      <c r="BF54" s="259"/>
    </row>
    <row r="55" spans="1:58" s="381" customFormat="1" ht="45" customHeight="1" x14ac:dyDescent="0.25">
      <c r="A55" s="258">
        <v>730007</v>
      </c>
      <c r="B55" s="88" t="s">
        <v>508</v>
      </c>
      <c r="C55" s="60" t="s">
        <v>627</v>
      </c>
      <c r="D55" s="10" t="s">
        <v>1489</v>
      </c>
      <c r="E55" s="10" t="s">
        <v>1490</v>
      </c>
      <c r="F55" s="16" t="s">
        <v>1491</v>
      </c>
      <c r="G55" s="10" t="s">
        <v>30</v>
      </c>
      <c r="H55" s="10" t="s">
        <v>52</v>
      </c>
      <c r="I55" s="16" t="s">
        <v>18</v>
      </c>
      <c r="J55" s="255">
        <v>45643</v>
      </c>
      <c r="K55" s="59" t="s">
        <v>1492</v>
      </c>
      <c r="L55" s="255">
        <f t="shared" si="0"/>
        <v>45650</v>
      </c>
      <c r="M55" s="255">
        <v>45643</v>
      </c>
      <c r="N55" s="256">
        <f t="shared" si="6"/>
        <v>-7</v>
      </c>
      <c r="O55" s="10" t="s">
        <v>1503</v>
      </c>
      <c r="P55" s="9" t="s">
        <v>508</v>
      </c>
      <c r="Q55" s="255">
        <v>46118</v>
      </c>
      <c r="R55" s="59" t="s">
        <v>6267</v>
      </c>
      <c r="S55" s="255" t="s">
        <v>626</v>
      </c>
      <c r="T55" s="255" t="s">
        <v>626</v>
      </c>
      <c r="U55" s="256" t="s">
        <v>626</v>
      </c>
      <c r="V55" s="10" t="s">
        <v>626</v>
      </c>
      <c r="W55" s="16"/>
      <c r="X55" s="255"/>
      <c r="Y55" s="59"/>
      <c r="Z55" s="255"/>
      <c r="AA55" s="255"/>
      <c r="AB55" s="256"/>
      <c r="AC55" s="10"/>
      <c r="AD55" s="16"/>
      <c r="AE55" s="255"/>
      <c r="AF55" s="59"/>
      <c r="AG55" s="255"/>
      <c r="AH55" s="255"/>
      <c r="AI55" s="256"/>
      <c r="AJ55" s="10"/>
      <c r="AK55" s="16"/>
      <c r="AL55" s="255"/>
      <c r="AM55" s="59"/>
      <c r="AN55" s="255"/>
      <c r="AO55" s="255"/>
      <c r="AP55" s="256"/>
      <c r="AQ55" s="10"/>
      <c r="AR55" s="16"/>
      <c r="AS55" s="255"/>
      <c r="AT55" s="59"/>
      <c r="AU55" s="255"/>
      <c r="AV55" s="255"/>
      <c r="AW55" s="256"/>
      <c r="AX55" s="10"/>
      <c r="AY55" s="16"/>
      <c r="AZ55" s="255"/>
      <c r="BA55" s="59"/>
      <c r="BB55" s="255"/>
      <c r="BC55" s="255"/>
      <c r="BD55" s="256"/>
      <c r="BE55" s="10"/>
      <c r="BF55" s="259"/>
    </row>
    <row r="56" spans="1:58" s="381" customFormat="1" ht="45" customHeight="1" x14ac:dyDescent="0.25">
      <c r="A56" s="258">
        <v>730007</v>
      </c>
      <c r="B56" s="16" t="s">
        <v>5</v>
      </c>
      <c r="C56" s="60" t="s">
        <v>208</v>
      </c>
      <c r="D56" s="10" t="s">
        <v>1521</v>
      </c>
      <c r="E56" s="10" t="s">
        <v>1522</v>
      </c>
      <c r="F56" s="16" t="s">
        <v>1523</v>
      </c>
      <c r="G56" s="10" t="s">
        <v>30</v>
      </c>
      <c r="H56" s="10" t="s">
        <v>52</v>
      </c>
      <c r="I56" s="16" t="s">
        <v>18</v>
      </c>
      <c r="J56" s="255">
        <v>45643</v>
      </c>
      <c r="K56" s="59" t="s">
        <v>1524</v>
      </c>
      <c r="L56" s="255">
        <f>J56+7</f>
        <v>45650</v>
      </c>
      <c r="M56" s="255">
        <v>45648</v>
      </c>
      <c r="N56" s="256">
        <f t="shared" si="6"/>
        <v>-2</v>
      </c>
      <c r="O56" s="10" t="s">
        <v>1535</v>
      </c>
      <c r="P56" s="16" t="s">
        <v>5</v>
      </c>
      <c r="Q56" s="255">
        <v>45718</v>
      </c>
      <c r="R56" s="59" t="s">
        <v>2656</v>
      </c>
      <c r="S56" s="255">
        <f>Q56+7</f>
        <v>45725</v>
      </c>
      <c r="T56" s="255">
        <v>45721</v>
      </c>
      <c r="U56" s="256">
        <f>T56-S56</f>
        <v>-4</v>
      </c>
      <c r="V56" s="10" t="s">
        <v>2659</v>
      </c>
      <c r="W56" s="16"/>
      <c r="X56" s="255"/>
      <c r="Y56" s="59"/>
      <c r="Z56" s="255"/>
      <c r="AA56" s="255"/>
      <c r="AB56" s="256"/>
      <c r="AC56" s="10"/>
      <c r="AD56" s="16"/>
      <c r="AE56" s="255"/>
      <c r="AF56" s="59"/>
      <c r="AG56" s="255"/>
      <c r="AH56" s="255"/>
      <c r="AI56" s="256"/>
      <c r="AJ56" s="10"/>
      <c r="AK56" s="16"/>
      <c r="AL56" s="255"/>
      <c r="AM56" s="59"/>
      <c r="AN56" s="255"/>
      <c r="AO56" s="255"/>
      <c r="AP56" s="256"/>
      <c r="AQ56" s="10"/>
      <c r="AR56" s="16"/>
      <c r="AS56" s="255"/>
      <c r="AT56" s="59"/>
      <c r="AU56" s="255"/>
      <c r="AV56" s="255"/>
      <c r="AW56" s="256"/>
      <c r="AX56" s="10"/>
      <c r="AY56" s="16"/>
      <c r="AZ56" s="255"/>
      <c r="BA56" s="59"/>
      <c r="BB56" s="255"/>
      <c r="BC56" s="255"/>
      <c r="BD56" s="256"/>
      <c r="BE56" s="10"/>
      <c r="BF56" s="259"/>
    </row>
    <row r="57" spans="1:58" s="381" customFormat="1" ht="45" customHeight="1" x14ac:dyDescent="0.25">
      <c r="A57" s="258">
        <v>730007</v>
      </c>
      <c r="B57" s="88" t="s">
        <v>508</v>
      </c>
      <c r="C57" s="60" t="s">
        <v>627</v>
      </c>
      <c r="D57" s="10" t="s">
        <v>1637</v>
      </c>
      <c r="E57" s="10" t="s">
        <v>1638</v>
      </c>
      <c r="F57" s="16" t="s">
        <v>1641</v>
      </c>
      <c r="G57" s="10" t="s">
        <v>30</v>
      </c>
      <c r="H57" s="10" t="s">
        <v>52</v>
      </c>
      <c r="I57" s="16" t="s">
        <v>3</v>
      </c>
      <c r="J57" s="255">
        <v>45651</v>
      </c>
      <c r="K57" s="59" t="s">
        <v>1653</v>
      </c>
      <c r="L57" s="255">
        <f>J57+7</f>
        <v>45658</v>
      </c>
      <c r="M57" s="255">
        <v>45659</v>
      </c>
      <c r="N57" s="256">
        <f t="shared" si="6"/>
        <v>1</v>
      </c>
      <c r="O57" s="10" t="s">
        <v>1677</v>
      </c>
      <c r="P57" s="16" t="s">
        <v>508</v>
      </c>
      <c r="Q57" s="255">
        <v>45824</v>
      </c>
      <c r="R57" s="59" t="s">
        <v>3504</v>
      </c>
      <c r="S57" s="255"/>
      <c r="T57" s="255"/>
      <c r="U57" s="256"/>
      <c r="V57" s="10"/>
      <c r="W57" s="16"/>
      <c r="X57" s="255"/>
      <c r="Y57" s="59"/>
      <c r="Z57" s="255"/>
      <c r="AA57" s="255"/>
      <c r="AB57" s="256"/>
      <c r="AC57" s="10"/>
      <c r="AD57" s="16"/>
      <c r="AE57" s="255"/>
      <c r="AF57" s="59"/>
      <c r="AG57" s="255"/>
      <c r="AH57" s="255"/>
      <c r="AI57" s="256"/>
      <c r="AJ57" s="10"/>
      <c r="AK57" s="16"/>
      <c r="AL57" s="255"/>
      <c r="AM57" s="59"/>
      <c r="AN57" s="255"/>
      <c r="AO57" s="255"/>
      <c r="AP57" s="256"/>
      <c r="AQ57" s="10"/>
      <c r="AR57" s="16"/>
      <c r="AS57" s="255"/>
      <c r="AT57" s="59"/>
      <c r="AU57" s="255"/>
      <c r="AV57" s="255"/>
      <c r="AW57" s="256"/>
      <c r="AX57" s="10"/>
      <c r="AY57" s="16"/>
      <c r="AZ57" s="255"/>
      <c r="BA57" s="59"/>
      <c r="BB57" s="255"/>
      <c r="BC57" s="255"/>
      <c r="BD57" s="256"/>
      <c r="BE57" s="10"/>
      <c r="BF57" s="259"/>
    </row>
    <row r="58" spans="1:58" s="381" customFormat="1" ht="45" customHeight="1" x14ac:dyDescent="0.25">
      <c r="A58" s="258">
        <v>730007</v>
      </c>
      <c r="B58" s="88" t="s">
        <v>508</v>
      </c>
      <c r="C58" s="60" t="s">
        <v>627</v>
      </c>
      <c r="D58" s="10" t="s">
        <v>1639</v>
      </c>
      <c r="E58" s="10" t="s">
        <v>1640</v>
      </c>
      <c r="F58" s="16" t="s">
        <v>1642</v>
      </c>
      <c r="G58" s="10" t="s">
        <v>30</v>
      </c>
      <c r="H58" s="10" t="s">
        <v>52</v>
      </c>
      <c r="I58" s="16" t="s">
        <v>3</v>
      </c>
      <c r="J58" s="255">
        <v>45651</v>
      </c>
      <c r="K58" s="59" t="s">
        <v>1654</v>
      </c>
      <c r="L58" s="255">
        <f>J58+7</f>
        <v>45658</v>
      </c>
      <c r="M58" s="255">
        <v>45659</v>
      </c>
      <c r="N58" s="256">
        <f t="shared" ref="N58:N64" si="7">M58-L58</f>
        <v>1</v>
      </c>
      <c r="O58" s="10" t="s">
        <v>1678</v>
      </c>
      <c r="P58" s="16" t="s">
        <v>508</v>
      </c>
      <c r="Q58" s="255">
        <v>45824</v>
      </c>
      <c r="R58" s="59" t="s">
        <v>3504</v>
      </c>
      <c r="S58" s="255"/>
      <c r="T58" s="255"/>
      <c r="U58" s="256"/>
      <c r="V58" s="10"/>
      <c r="W58" s="16"/>
      <c r="X58" s="255"/>
      <c r="Y58" s="59"/>
      <c r="Z58" s="255"/>
      <c r="AA58" s="255"/>
      <c r="AB58" s="256"/>
      <c r="AC58" s="10"/>
      <c r="AD58" s="16"/>
      <c r="AE58" s="255"/>
      <c r="AF58" s="59"/>
      <c r="AG58" s="255"/>
      <c r="AH58" s="255"/>
      <c r="AI58" s="256"/>
      <c r="AJ58" s="10"/>
      <c r="AK58" s="16"/>
      <c r="AL58" s="255"/>
      <c r="AM58" s="59"/>
      <c r="AN58" s="255"/>
      <c r="AO58" s="255"/>
      <c r="AP58" s="256"/>
      <c r="AQ58" s="10"/>
      <c r="AR58" s="16"/>
      <c r="AS58" s="255"/>
      <c r="AT58" s="59"/>
      <c r="AU58" s="255"/>
      <c r="AV58" s="255"/>
      <c r="AW58" s="256"/>
      <c r="AX58" s="10"/>
      <c r="AY58" s="16"/>
      <c r="AZ58" s="255"/>
      <c r="BA58" s="59"/>
      <c r="BB58" s="255"/>
      <c r="BC58" s="255"/>
      <c r="BD58" s="256"/>
      <c r="BE58" s="10"/>
      <c r="BF58" s="259"/>
    </row>
    <row r="59" spans="1:58" s="381" customFormat="1" ht="45" customHeight="1" x14ac:dyDescent="0.25">
      <c r="A59" s="258">
        <v>730007</v>
      </c>
      <c r="B59" s="88" t="s">
        <v>508</v>
      </c>
      <c r="C59" s="60" t="s">
        <v>627</v>
      </c>
      <c r="D59" s="10" t="s">
        <v>1643</v>
      </c>
      <c r="E59" s="10" t="s">
        <v>1644</v>
      </c>
      <c r="F59" s="16" t="s">
        <v>1645</v>
      </c>
      <c r="G59" s="10" t="s">
        <v>30</v>
      </c>
      <c r="H59" s="10" t="s">
        <v>52</v>
      </c>
      <c r="I59" s="16" t="s">
        <v>3</v>
      </c>
      <c r="J59" s="255">
        <v>45651</v>
      </c>
      <c r="K59" s="59" t="s">
        <v>1655</v>
      </c>
      <c r="L59" s="255">
        <f>J59+7</f>
        <v>45658</v>
      </c>
      <c r="M59" s="255">
        <v>45659</v>
      </c>
      <c r="N59" s="256">
        <f t="shared" si="7"/>
        <v>1</v>
      </c>
      <c r="O59" s="10" t="s">
        <v>1679</v>
      </c>
      <c r="P59" s="16" t="s">
        <v>18</v>
      </c>
      <c r="Q59" s="255">
        <v>45670</v>
      </c>
      <c r="R59" s="59" t="s">
        <v>1962</v>
      </c>
      <c r="S59" s="255">
        <f>Q59+7</f>
        <v>45677</v>
      </c>
      <c r="T59" s="255">
        <v>45673</v>
      </c>
      <c r="U59" s="256">
        <f>T59-S59</f>
        <v>-4</v>
      </c>
      <c r="V59" s="10" t="s">
        <v>1966</v>
      </c>
      <c r="W59" s="16" t="s">
        <v>18</v>
      </c>
      <c r="X59" s="255">
        <v>45695</v>
      </c>
      <c r="Y59" s="59" t="s">
        <v>2341</v>
      </c>
      <c r="Z59" s="255">
        <f>X59+7</f>
        <v>45702</v>
      </c>
      <c r="AA59" s="255">
        <v>45699</v>
      </c>
      <c r="AB59" s="256">
        <f>AA59-Z59</f>
        <v>-3</v>
      </c>
      <c r="AC59" s="10" t="s">
        <v>2369</v>
      </c>
      <c r="AD59" s="9" t="s">
        <v>508</v>
      </c>
      <c r="AE59" s="255">
        <v>46118</v>
      </c>
      <c r="AF59" s="59" t="s">
        <v>6267</v>
      </c>
      <c r="AG59" s="255" t="s">
        <v>626</v>
      </c>
      <c r="AH59" s="255" t="s">
        <v>626</v>
      </c>
      <c r="AI59" s="256" t="s">
        <v>626</v>
      </c>
      <c r="AJ59" s="10" t="s">
        <v>626</v>
      </c>
      <c r="AK59" s="16"/>
      <c r="AL59" s="255"/>
      <c r="AM59" s="59"/>
      <c r="AN59" s="255"/>
      <c r="AO59" s="255"/>
      <c r="AP59" s="256"/>
      <c r="AQ59" s="10"/>
      <c r="AR59" s="16"/>
      <c r="AS59" s="255"/>
      <c r="AT59" s="59"/>
      <c r="AU59" s="255"/>
      <c r="AV59" s="255"/>
      <c r="AW59" s="256"/>
      <c r="AX59" s="10"/>
      <c r="AY59" s="16"/>
      <c r="AZ59" s="255"/>
      <c r="BA59" s="59"/>
      <c r="BB59" s="255"/>
      <c r="BC59" s="255"/>
      <c r="BD59" s="256"/>
      <c r="BE59" s="10"/>
      <c r="BF59" s="259"/>
    </row>
    <row r="60" spans="1:58" s="381" customFormat="1" ht="45" customHeight="1" x14ac:dyDescent="0.25">
      <c r="A60" s="260" t="s">
        <v>3256</v>
      </c>
      <c r="B60" s="88" t="s">
        <v>508</v>
      </c>
      <c r="C60" s="60" t="s">
        <v>627</v>
      </c>
      <c r="D60" s="10" t="s">
        <v>1647</v>
      </c>
      <c r="E60" s="10" t="s">
        <v>1646</v>
      </c>
      <c r="F60" s="16" t="s">
        <v>1648</v>
      </c>
      <c r="G60" s="10" t="s">
        <v>30</v>
      </c>
      <c r="H60" s="10" t="s">
        <v>52</v>
      </c>
      <c r="I60" s="16" t="s">
        <v>3</v>
      </c>
      <c r="J60" s="255">
        <v>45651</v>
      </c>
      <c r="K60" s="59" t="s">
        <v>1630</v>
      </c>
      <c r="L60" s="255">
        <f>J60+7</f>
        <v>45658</v>
      </c>
      <c r="M60" s="255">
        <v>45659</v>
      </c>
      <c r="N60" s="256">
        <f t="shared" si="7"/>
        <v>1</v>
      </c>
      <c r="O60" s="10" t="s">
        <v>1680</v>
      </c>
      <c r="P60" s="16" t="s">
        <v>18</v>
      </c>
      <c r="Q60" s="255">
        <v>45670</v>
      </c>
      <c r="R60" s="59" t="s">
        <v>1963</v>
      </c>
      <c r="S60" s="255">
        <f>Q60+7</f>
        <v>45677</v>
      </c>
      <c r="T60" s="255">
        <v>45673</v>
      </c>
      <c r="U60" s="256">
        <f>T60-S60</f>
        <v>-4</v>
      </c>
      <c r="V60" s="10" t="s">
        <v>1967</v>
      </c>
      <c r="W60" s="16" t="s">
        <v>18</v>
      </c>
      <c r="X60" s="255">
        <v>45695</v>
      </c>
      <c r="Y60" s="59" t="s">
        <v>2342</v>
      </c>
      <c r="Z60" s="255">
        <f>X60+7</f>
        <v>45702</v>
      </c>
      <c r="AA60" s="255">
        <v>45700</v>
      </c>
      <c r="AB60" s="256">
        <f>AA60-Z60</f>
        <v>-2</v>
      </c>
      <c r="AC60" s="10" t="s">
        <v>2370</v>
      </c>
      <c r="AD60" s="9" t="s">
        <v>508</v>
      </c>
      <c r="AE60" s="255">
        <v>46118</v>
      </c>
      <c r="AF60" s="59" t="s">
        <v>6267</v>
      </c>
      <c r="AG60" s="255" t="s">
        <v>626</v>
      </c>
      <c r="AH60" s="255" t="s">
        <v>626</v>
      </c>
      <c r="AI60" s="256" t="s">
        <v>626</v>
      </c>
      <c r="AJ60" s="10" t="s">
        <v>626</v>
      </c>
      <c r="AK60" s="16"/>
      <c r="AL60" s="255"/>
      <c r="AM60" s="59"/>
      <c r="AN60" s="255"/>
      <c r="AO60" s="255"/>
      <c r="AP60" s="256"/>
      <c r="AQ60" s="10"/>
      <c r="AR60" s="16"/>
      <c r="AS60" s="255"/>
      <c r="AT60" s="59"/>
      <c r="AU60" s="255"/>
      <c r="AV60" s="255"/>
      <c r="AW60" s="256"/>
      <c r="AX60" s="10"/>
      <c r="AY60" s="16"/>
      <c r="AZ60" s="255"/>
      <c r="BA60" s="59"/>
      <c r="BB60" s="255"/>
      <c r="BC60" s="255"/>
      <c r="BD60" s="256"/>
      <c r="BE60" s="10"/>
      <c r="BF60" s="259"/>
    </row>
    <row r="61" spans="1:58" s="381" customFormat="1" ht="45" customHeight="1" x14ac:dyDescent="0.25">
      <c r="A61" s="260" t="s">
        <v>3256</v>
      </c>
      <c r="B61" s="10" t="s">
        <v>5</v>
      </c>
      <c r="C61" s="60" t="s">
        <v>588</v>
      </c>
      <c r="D61" s="10" t="s">
        <v>2130</v>
      </c>
      <c r="E61" s="10" t="s">
        <v>2132</v>
      </c>
      <c r="F61" s="16" t="s">
        <v>2131</v>
      </c>
      <c r="G61" s="10" t="s">
        <v>30</v>
      </c>
      <c r="H61" s="10" t="s">
        <v>52</v>
      </c>
      <c r="I61" s="16" t="s">
        <v>3</v>
      </c>
      <c r="J61" s="255">
        <v>45681</v>
      </c>
      <c r="K61" s="59" t="s">
        <v>2133</v>
      </c>
      <c r="L61" s="255">
        <f t="shared" ref="L61:L66" si="8">J61+7</f>
        <v>45688</v>
      </c>
      <c r="M61" s="255">
        <v>45685</v>
      </c>
      <c r="N61" s="256">
        <f t="shared" si="7"/>
        <v>-3</v>
      </c>
      <c r="O61" s="10" t="s">
        <v>2142</v>
      </c>
      <c r="P61" s="16" t="s">
        <v>18</v>
      </c>
      <c r="Q61" s="255">
        <v>45685</v>
      </c>
      <c r="R61" s="59" t="s">
        <v>2185</v>
      </c>
      <c r="S61" s="255">
        <f>Q61+7</f>
        <v>45692</v>
      </c>
      <c r="T61" s="255">
        <v>45686</v>
      </c>
      <c r="U61" s="256">
        <f>T61-S61</f>
        <v>-6</v>
      </c>
      <c r="V61" s="10" t="s">
        <v>2191</v>
      </c>
      <c r="W61" s="16" t="s">
        <v>5</v>
      </c>
      <c r="X61" s="255">
        <v>46204</v>
      </c>
      <c r="Y61" s="59" t="s">
        <v>7168</v>
      </c>
      <c r="Z61" s="255">
        <f>X61+7</f>
        <v>46211</v>
      </c>
      <c r="AA61" s="255">
        <v>46215</v>
      </c>
      <c r="AB61" s="256">
        <f>AA61-Z61</f>
        <v>4</v>
      </c>
      <c r="AC61" s="10" t="s">
        <v>7187</v>
      </c>
      <c r="AD61" s="16"/>
      <c r="AE61" s="255"/>
      <c r="AF61" s="59"/>
      <c r="AG61" s="255"/>
      <c r="AH61" s="255"/>
      <c r="AI61" s="256"/>
      <c r="AJ61" s="10"/>
      <c r="AK61" s="16"/>
      <c r="AL61" s="255"/>
      <c r="AM61" s="59"/>
      <c r="AN61" s="255"/>
      <c r="AO61" s="255"/>
      <c r="AP61" s="256"/>
      <c r="AQ61" s="10"/>
      <c r="AR61" s="16"/>
      <c r="AS61" s="255"/>
      <c r="AT61" s="59"/>
      <c r="AU61" s="255"/>
      <c r="AV61" s="255"/>
      <c r="AW61" s="256"/>
      <c r="AX61" s="10"/>
      <c r="AY61" s="16"/>
      <c r="AZ61" s="255"/>
      <c r="BA61" s="59"/>
      <c r="BB61" s="255"/>
      <c r="BC61" s="255"/>
      <c r="BD61" s="256"/>
      <c r="BE61" s="10"/>
      <c r="BF61" s="259"/>
    </row>
    <row r="62" spans="1:58" s="381" customFormat="1" ht="45" customHeight="1" x14ac:dyDescent="0.25">
      <c r="A62" s="260" t="s">
        <v>3256</v>
      </c>
      <c r="B62" s="88" t="s">
        <v>508</v>
      </c>
      <c r="C62" s="59" t="s">
        <v>627</v>
      </c>
      <c r="D62" s="10" t="s">
        <v>2172</v>
      </c>
      <c r="E62" s="10" t="s">
        <v>2173</v>
      </c>
      <c r="F62" s="16" t="s">
        <v>2174</v>
      </c>
      <c r="G62" s="10" t="s">
        <v>30</v>
      </c>
      <c r="H62" s="10" t="s">
        <v>52</v>
      </c>
      <c r="I62" s="16" t="s">
        <v>3</v>
      </c>
      <c r="J62" s="255">
        <v>45684</v>
      </c>
      <c r="K62" s="59" t="s">
        <v>2175</v>
      </c>
      <c r="L62" s="255">
        <f t="shared" si="8"/>
        <v>45691</v>
      </c>
      <c r="M62" s="255">
        <v>45692</v>
      </c>
      <c r="N62" s="256">
        <f t="shared" si="7"/>
        <v>1</v>
      </c>
      <c r="O62" s="10" t="s">
        <v>2198</v>
      </c>
      <c r="P62" s="16" t="s">
        <v>508</v>
      </c>
      <c r="Q62" s="255">
        <v>45824</v>
      </c>
      <c r="R62" s="59" t="s">
        <v>3504</v>
      </c>
      <c r="S62" s="255" t="s">
        <v>626</v>
      </c>
      <c r="T62" s="255" t="s">
        <v>626</v>
      </c>
      <c r="U62" s="255" t="s">
        <v>626</v>
      </c>
      <c r="V62" s="255" t="s">
        <v>626</v>
      </c>
      <c r="W62" s="16"/>
      <c r="X62" s="255"/>
      <c r="Y62" s="59"/>
      <c r="Z62" s="255"/>
      <c r="AA62" s="255"/>
      <c r="AB62" s="256"/>
      <c r="AC62" s="10"/>
      <c r="AD62" s="16"/>
      <c r="AE62" s="255"/>
      <c r="AF62" s="59"/>
      <c r="AG62" s="255"/>
      <c r="AH62" s="255"/>
      <c r="AI62" s="256"/>
      <c r="AJ62" s="10"/>
      <c r="AK62" s="16"/>
      <c r="AL62" s="255"/>
      <c r="AM62" s="59"/>
      <c r="AN62" s="255"/>
      <c r="AO62" s="255"/>
      <c r="AP62" s="256"/>
      <c r="AQ62" s="10"/>
      <c r="AR62" s="16"/>
      <c r="AS62" s="255"/>
      <c r="AT62" s="59"/>
      <c r="AU62" s="255"/>
      <c r="AV62" s="255"/>
      <c r="AW62" s="256"/>
      <c r="AX62" s="10"/>
      <c r="AY62" s="16"/>
      <c r="AZ62" s="255"/>
      <c r="BA62" s="59"/>
      <c r="BB62" s="255"/>
      <c r="BC62" s="255"/>
      <c r="BD62" s="256"/>
      <c r="BE62" s="10"/>
      <c r="BF62" s="259"/>
    </row>
    <row r="63" spans="1:58" s="381" customFormat="1" ht="45" customHeight="1" x14ac:dyDescent="0.25">
      <c r="A63" s="260" t="s">
        <v>3256</v>
      </c>
      <c r="B63" s="10" t="s">
        <v>5</v>
      </c>
      <c r="C63" s="59" t="s">
        <v>208</v>
      </c>
      <c r="D63" s="10" t="s">
        <v>2247</v>
      </c>
      <c r="E63" s="10" t="s">
        <v>2248</v>
      </c>
      <c r="F63" s="16" t="s">
        <v>2249</v>
      </c>
      <c r="G63" s="10" t="s">
        <v>30</v>
      </c>
      <c r="H63" s="10" t="s">
        <v>52</v>
      </c>
      <c r="I63" s="16" t="s">
        <v>18</v>
      </c>
      <c r="J63" s="255">
        <v>45689</v>
      </c>
      <c r="K63" s="59" t="s">
        <v>2250</v>
      </c>
      <c r="L63" s="255">
        <f t="shared" si="8"/>
        <v>45696</v>
      </c>
      <c r="M63" s="255">
        <v>45692</v>
      </c>
      <c r="N63" s="256">
        <f t="shared" si="7"/>
        <v>-4</v>
      </c>
      <c r="O63" s="10" t="s">
        <v>2263</v>
      </c>
      <c r="P63" s="16" t="s">
        <v>5</v>
      </c>
      <c r="Q63" s="255">
        <v>46195</v>
      </c>
      <c r="R63" s="59" t="s">
        <v>7066</v>
      </c>
      <c r="S63" s="255">
        <f>Q63+7</f>
        <v>46202</v>
      </c>
      <c r="T63" s="255">
        <v>46201</v>
      </c>
      <c r="U63" s="256">
        <f>T63-S63</f>
        <v>-1</v>
      </c>
      <c r="V63" s="10" t="s">
        <v>7077</v>
      </c>
      <c r="W63" s="16"/>
      <c r="X63" s="255"/>
      <c r="Y63" s="59"/>
      <c r="Z63" s="255"/>
      <c r="AA63" s="255"/>
      <c r="AB63" s="256"/>
      <c r="AC63" s="10"/>
      <c r="AD63" s="16"/>
      <c r="AE63" s="255"/>
      <c r="AF63" s="59"/>
      <c r="AG63" s="255"/>
      <c r="AH63" s="255"/>
      <c r="AI63" s="256"/>
      <c r="AJ63" s="10"/>
      <c r="AK63" s="16"/>
      <c r="AL63" s="255"/>
      <c r="AM63" s="59"/>
      <c r="AN63" s="255"/>
      <c r="AO63" s="255"/>
      <c r="AP63" s="256"/>
      <c r="AQ63" s="10"/>
      <c r="AR63" s="16"/>
      <c r="AS63" s="255"/>
      <c r="AT63" s="59"/>
      <c r="AU63" s="255"/>
      <c r="AV63" s="255"/>
      <c r="AW63" s="256"/>
      <c r="AX63" s="10"/>
      <c r="AY63" s="16"/>
      <c r="AZ63" s="255"/>
      <c r="BA63" s="59"/>
      <c r="BB63" s="255"/>
      <c r="BC63" s="255"/>
      <c r="BD63" s="256"/>
      <c r="BE63" s="10"/>
      <c r="BF63" s="259"/>
    </row>
    <row r="64" spans="1:58" s="381" customFormat="1" ht="45" customHeight="1" x14ac:dyDescent="0.25">
      <c r="A64" s="260" t="s">
        <v>3256</v>
      </c>
      <c r="B64" s="10" t="s">
        <v>5</v>
      </c>
      <c r="C64" s="59" t="s">
        <v>2456</v>
      </c>
      <c r="D64" s="10" t="s">
        <v>2351</v>
      </c>
      <c r="E64" s="10" t="s">
        <v>2352</v>
      </c>
      <c r="F64" s="16" t="s">
        <v>2353</v>
      </c>
      <c r="G64" s="10" t="s">
        <v>30</v>
      </c>
      <c r="H64" s="10" t="s">
        <v>52</v>
      </c>
      <c r="I64" s="16" t="s">
        <v>18</v>
      </c>
      <c r="J64" s="255">
        <v>45695</v>
      </c>
      <c r="K64" s="59" t="s">
        <v>2354</v>
      </c>
      <c r="L64" s="255">
        <f t="shared" si="8"/>
        <v>45702</v>
      </c>
      <c r="M64" s="255">
        <v>45701</v>
      </c>
      <c r="N64" s="256">
        <f t="shared" si="7"/>
        <v>-1</v>
      </c>
      <c r="O64" s="10" t="s">
        <v>2373</v>
      </c>
      <c r="P64" s="16" t="s">
        <v>18</v>
      </c>
      <c r="Q64" s="255">
        <v>45714</v>
      </c>
      <c r="R64" s="59" t="s">
        <v>2614</v>
      </c>
      <c r="S64" s="255">
        <f>Q64+7</f>
        <v>45721</v>
      </c>
      <c r="T64" s="255">
        <v>45717</v>
      </c>
      <c r="U64" s="256">
        <f>T64-S64</f>
        <v>-4</v>
      </c>
      <c r="V64" s="10" t="s">
        <v>2621</v>
      </c>
      <c r="W64" s="16" t="s">
        <v>18</v>
      </c>
      <c r="X64" s="255">
        <v>45760</v>
      </c>
      <c r="Y64" s="59" t="s">
        <v>2967</v>
      </c>
      <c r="Z64" s="255">
        <f>X64+7</f>
        <v>45767</v>
      </c>
      <c r="AA64" s="255">
        <v>45762</v>
      </c>
      <c r="AB64" s="256">
        <f>AA64-Z64</f>
        <v>-5</v>
      </c>
      <c r="AC64" s="10" t="s">
        <v>2971</v>
      </c>
      <c r="AD64" s="16" t="s">
        <v>18</v>
      </c>
      <c r="AE64" s="255">
        <v>46194</v>
      </c>
      <c r="AF64" s="59" t="s">
        <v>7049</v>
      </c>
      <c r="AG64" s="255">
        <f>AE64+7</f>
        <v>46201</v>
      </c>
      <c r="AH64" s="255">
        <v>46201</v>
      </c>
      <c r="AI64" s="256">
        <f>AH64-AG64</f>
        <v>0</v>
      </c>
      <c r="AJ64" s="10" t="s">
        <v>7061</v>
      </c>
      <c r="AK64" s="16" t="s">
        <v>5</v>
      </c>
      <c r="AL64" s="255">
        <v>46209</v>
      </c>
      <c r="AM64" s="59" t="s">
        <v>7215</v>
      </c>
      <c r="AN64" s="255">
        <f>AL64+7</f>
        <v>46216</v>
      </c>
      <c r="AO64" s="255">
        <v>46221</v>
      </c>
      <c r="AP64" s="256">
        <f>AO64-AN64</f>
        <v>5</v>
      </c>
      <c r="AQ64" s="10" t="s">
        <v>7228</v>
      </c>
      <c r="AR64" s="16"/>
      <c r="AS64" s="255"/>
      <c r="AT64" s="59"/>
      <c r="AU64" s="255"/>
      <c r="AV64" s="255"/>
      <c r="AW64" s="256"/>
      <c r="AX64" s="10"/>
      <c r="AY64" s="16"/>
      <c r="AZ64" s="255"/>
      <c r="BA64" s="59"/>
      <c r="BB64" s="255"/>
      <c r="BC64" s="255"/>
      <c r="BD64" s="256"/>
      <c r="BE64" s="10"/>
      <c r="BF64" s="259"/>
    </row>
    <row r="65" spans="1:58" s="381" customFormat="1" ht="45" customHeight="1" x14ac:dyDescent="0.25">
      <c r="A65" s="260" t="s">
        <v>3256</v>
      </c>
      <c r="B65" s="88" t="s">
        <v>508</v>
      </c>
      <c r="C65" s="59" t="s">
        <v>627</v>
      </c>
      <c r="D65" s="10" t="s">
        <v>2925</v>
      </c>
      <c r="E65" s="10" t="s">
        <v>2926</v>
      </c>
      <c r="F65" s="16" t="s">
        <v>2927</v>
      </c>
      <c r="G65" s="10" t="s">
        <v>30</v>
      </c>
      <c r="H65" s="10" t="s">
        <v>52</v>
      </c>
      <c r="I65" s="16" t="s">
        <v>3</v>
      </c>
      <c r="J65" s="255">
        <v>45742</v>
      </c>
      <c r="K65" s="59" t="s">
        <v>2928</v>
      </c>
      <c r="L65" s="255">
        <f t="shared" si="8"/>
        <v>45749</v>
      </c>
      <c r="M65" s="255">
        <v>45760</v>
      </c>
      <c r="N65" s="256">
        <f t="shared" ref="N65:N75" si="9">M65-L65</f>
        <v>11</v>
      </c>
      <c r="O65" s="10" t="s">
        <v>2934</v>
      </c>
      <c r="P65" s="55" t="s">
        <v>508</v>
      </c>
      <c r="Q65" s="255">
        <v>46196</v>
      </c>
      <c r="R65" s="59" t="s">
        <v>7071</v>
      </c>
      <c r="S65" s="255" t="s">
        <v>626</v>
      </c>
      <c r="T65" s="255" t="s">
        <v>626</v>
      </c>
      <c r="U65" s="255" t="s">
        <v>626</v>
      </c>
      <c r="V65" s="255" t="s">
        <v>626</v>
      </c>
      <c r="W65" s="16"/>
      <c r="X65" s="255"/>
      <c r="Y65" s="59"/>
      <c r="Z65" s="255"/>
      <c r="AA65" s="255"/>
      <c r="AB65" s="256"/>
      <c r="AC65" s="10"/>
      <c r="AD65" s="16"/>
      <c r="AE65" s="255"/>
      <c r="AF65" s="59"/>
      <c r="AG65" s="255"/>
      <c r="AH65" s="255"/>
      <c r="AI65" s="256"/>
      <c r="AJ65" s="10"/>
      <c r="AK65" s="16"/>
      <c r="AL65" s="255"/>
      <c r="AM65" s="59"/>
      <c r="AN65" s="255"/>
      <c r="AO65" s="255"/>
      <c r="AP65" s="256"/>
      <c r="AQ65" s="10"/>
      <c r="AR65" s="16"/>
      <c r="AS65" s="255"/>
      <c r="AT65" s="59"/>
      <c r="AU65" s="255"/>
      <c r="AV65" s="255"/>
      <c r="AW65" s="256"/>
      <c r="AX65" s="10"/>
      <c r="AY65" s="16"/>
      <c r="AZ65" s="255"/>
      <c r="BA65" s="59"/>
      <c r="BB65" s="255"/>
      <c r="BC65" s="255"/>
      <c r="BD65" s="256"/>
      <c r="BE65" s="10"/>
      <c r="BF65" s="259"/>
    </row>
    <row r="66" spans="1:58" s="381" customFormat="1" ht="45" customHeight="1" x14ac:dyDescent="0.25">
      <c r="A66" s="260" t="s">
        <v>3256</v>
      </c>
      <c r="B66" s="16" t="s">
        <v>5</v>
      </c>
      <c r="C66" s="60" t="s">
        <v>208</v>
      </c>
      <c r="D66" s="10" t="s">
        <v>3065</v>
      </c>
      <c r="E66" s="10" t="s">
        <v>3066</v>
      </c>
      <c r="F66" s="16" t="s">
        <v>3067</v>
      </c>
      <c r="G66" s="10" t="s">
        <v>30</v>
      </c>
      <c r="H66" s="10" t="s">
        <v>52</v>
      </c>
      <c r="I66" s="16" t="s">
        <v>18</v>
      </c>
      <c r="J66" s="255">
        <v>45770</v>
      </c>
      <c r="K66" s="59" t="s">
        <v>3068</v>
      </c>
      <c r="L66" s="255">
        <f t="shared" si="8"/>
        <v>45777</v>
      </c>
      <c r="M66" s="255">
        <v>45776</v>
      </c>
      <c r="N66" s="256">
        <f t="shared" si="9"/>
        <v>-1</v>
      </c>
      <c r="O66" s="10" t="s">
        <v>3069</v>
      </c>
      <c r="P66" s="16" t="s">
        <v>5</v>
      </c>
      <c r="Q66" s="255">
        <v>46215</v>
      </c>
      <c r="R66" s="59" t="s">
        <v>7264</v>
      </c>
      <c r="S66" s="255">
        <f t="shared" ref="S66:S71" si="10">Q66+7</f>
        <v>46222</v>
      </c>
      <c r="T66" s="255">
        <v>46226</v>
      </c>
      <c r="U66" s="256">
        <f t="shared" ref="U66:U71" si="11">T66-S66</f>
        <v>4</v>
      </c>
      <c r="V66" s="10" t="s">
        <v>7271</v>
      </c>
      <c r="W66" s="16"/>
      <c r="X66" s="255"/>
      <c r="Y66" s="59"/>
      <c r="Z66" s="255"/>
      <c r="AA66" s="255"/>
      <c r="AB66" s="256"/>
      <c r="AC66" s="10"/>
      <c r="AD66" s="16"/>
      <c r="AE66" s="255"/>
      <c r="AF66" s="59"/>
      <c r="AG66" s="255"/>
      <c r="AH66" s="255"/>
      <c r="AI66" s="256"/>
      <c r="AJ66" s="10"/>
      <c r="AK66" s="16"/>
      <c r="AL66" s="255"/>
      <c r="AM66" s="59"/>
      <c r="AN66" s="255"/>
      <c r="AO66" s="255"/>
      <c r="AP66" s="256"/>
      <c r="AQ66" s="10"/>
      <c r="AR66" s="16"/>
      <c r="AS66" s="255"/>
      <c r="AT66" s="59"/>
      <c r="AU66" s="255"/>
      <c r="AV66" s="255"/>
      <c r="AW66" s="256"/>
      <c r="AX66" s="10"/>
      <c r="AY66" s="16"/>
      <c r="AZ66" s="255"/>
      <c r="BA66" s="59"/>
      <c r="BB66" s="255"/>
      <c r="BC66" s="255"/>
      <c r="BD66" s="256"/>
      <c r="BE66" s="10"/>
      <c r="BF66" s="259"/>
    </row>
    <row r="67" spans="1:58" s="381" customFormat="1" ht="45" customHeight="1" x14ac:dyDescent="0.25">
      <c r="A67" s="260" t="s">
        <v>3256</v>
      </c>
      <c r="B67" s="10" t="s">
        <v>5</v>
      </c>
      <c r="C67" s="60" t="s">
        <v>588</v>
      </c>
      <c r="D67" s="10" t="s">
        <v>3135</v>
      </c>
      <c r="E67" s="10" t="s">
        <v>3136</v>
      </c>
      <c r="F67" s="16" t="s">
        <v>3212</v>
      </c>
      <c r="G67" s="10" t="s">
        <v>30</v>
      </c>
      <c r="H67" s="10" t="s">
        <v>52</v>
      </c>
      <c r="I67" s="16" t="s">
        <v>3</v>
      </c>
      <c r="J67" s="255">
        <v>45778</v>
      </c>
      <c r="K67" s="59" t="s">
        <v>3137</v>
      </c>
      <c r="L67" s="255">
        <f t="shared" ref="L67:L73" si="12">J67+7</f>
        <v>45785</v>
      </c>
      <c r="M67" s="255">
        <v>45783</v>
      </c>
      <c r="N67" s="256">
        <f t="shared" si="9"/>
        <v>-2</v>
      </c>
      <c r="O67" s="10" t="s">
        <v>3164</v>
      </c>
      <c r="P67" s="16" t="s">
        <v>18</v>
      </c>
      <c r="Q67" s="255">
        <v>45784</v>
      </c>
      <c r="R67" s="59" t="s">
        <v>3213</v>
      </c>
      <c r="S67" s="255">
        <f t="shared" si="10"/>
        <v>45791</v>
      </c>
      <c r="T67" s="255">
        <v>45788</v>
      </c>
      <c r="U67" s="256">
        <f t="shared" si="11"/>
        <v>-3</v>
      </c>
      <c r="V67" s="10" t="s">
        <v>3225</v>
      </c>
      <c r="W67" s="16" t="s">
        <v>5</v>
      </c>
      <c r="X67" s="255">
        <v>46202</v>
      </c>
      <c r="Y67" s="59" t="s">
        <v>7128</v>
      </c>
      <c r="Z67" s="255">
        <f>X67+7</f>
        <v>46209</v>
      </c>
      <c r="AA67" s="255">
        <v>46208</v>
      </c>
      <c r="AB67" s="256">
        <f>AA67-Z67</f>
        <v>-1</v>
      </c>
      <c r="AC67" s="10" t="s">
        <v>7136</v>
      </c>
      <c r="AD67" s="16"/>
      <c r="AE67" s="255"/>
      <c r="AF67" s="59"/>
      <c r="AG67" s="255"/>
      <c r="AH67" s="255"/>
      <c r="AI67" s="256"/>
      <c r="AJ67" s="10"/>
      <c r="AK67" s="16"/>
      <c r="AL67" s="255"/>
      <c r="AM67" s="59"/>
      <c r="AN67" s="255"/>
      <c r="AO67" s="255"/>
      <c r="AP67" s="256"/>
      <c r="AQ67" s="10"/>
      <c r="AR67" s="16"/>
      <c r="AS67" s="255"/>
      <c r="AT67" s="59"/>
      <c r="AU67" s="255"/>
      <c r="AV67" s="255"/>
      <c r="AW67" s="256"/>
      <c r="AX67" s="10"/>
      <c r="AY67" s="16"/>
      <c r="AZ67" s="255"/>
      <c r="BA67" s="59"/>
      <c r="BB67" s="255"/>
      <c r="BC67" s="255"/>
      <c r="BD67" s="256"/>
      <c r="BE67" s="10"/>
      <c r="BF67" s="259"/>
    </row>
    <row r="68" spans="1:58" s="381" customFormat="1" ht="45" customHeight="1" x14ac:dyDescent="0.25">
      <c r="A68" s="260" t="s">
        <v>3256</v>
      </c>
      <c r="B68" s="16" t="s">
        <v>5</v>
      </c>
      <c r="C68" s="60" t="s">
        <v>208</v>
      </c>
      <c r="D68" s="10" t="s">
        <v>3258</v>
      </c>
      <c r="E68" s="10" t="s">
        <v>3257</v>
      </c>
      <c r="F68" s="16" t="s">
        <v>3264</v>
      </c>
      <c r="G68" s="10" t="s">
        <v>30</v>
      </c>
      <c r="H68" s="10" t="s">
        <v>52</v>
      </c>
      <c r="I68" s="16" t="s">
        <v>18</v>
      </c>
      <c r="J68" s="255">
        <v>45789</v>
      </c>
      <c r="K68" s="59" t="s">
        <v>3265</v>
      </c>
      <c r="L68" s="255">
        <f t="shared" si="12"/>
        <v>45796</v>
      </c>
      <c r="M68" s="255">
        <v>45797</v>
      </c>
      <c r="N68" s="256">
        <f t="shared" si="9"/>
        <v>1</v>
      </c>
      <c r="O68" s="10" t="s">
        <v>3277</v>
      </c>
      <c r="P68" s="16" t="s">
        <v>5</v>
      </c>
      <c r="Q68" s="255">
        <v>46200</v>
      </c>
      <c r="R68" s="59" t="s">
        <v>7104</v>
      </c>
      <c r="S68" s="255">
        <f t="shared" si="10"/>
        <v>46207</v>
      </c>
      <c r="T68" s="255">
        <v>46201</v>
      </c>
      <c r="U68" s="256">
        <f t="shared" si="11"/>
        <v>-6</v>
      </c>
      <c r="V68" s="10" t="s">
        <v>7119</v>
      </c>
      <c r="W68" s="16"/>
      <c r="X68" s="255"/>
      <c r="Y68" s="59"/>
      <c r="Z68" s="255"/>
      <c r="AA68" s="255"/>
      <c r="AB68" s="256"/>
      <c r="AC68" s="10"/>
      <c r="AD68" s="16"/>
      <c r="AE68" s="255"/>
      <c r="AF68" s="59"/>
      <c r="AG68" s="255"/>
      <c r="AH68" s="255"/>
      <c r="AI68" s="256"/>
      <c r="AJ68" s="10"/>
      <c r="AK68" s="16"/>
      <c r="AL68" s="255"/>
      <c r="AM68" s="59"/>
      <c r="AN68" s="255"/>
      <c r="AO68" s="255"/>
      <c r="AP68" s="256"/>
      <c r="AQ68" s="10"/>
      <c r="AR68" s="16"/>
      <c r="AS68" s="255"/>
      <c r="AT68" s="59"/>
      <c r="AU68" s="255"/>
      <c r="AV68" s="255"/>
      <c r="AW68" s="256"/>
      <c r="AX68" s="10"/>
      <c r="AY68" s="16"/>
      <c r="AZ68" s="255"/>
      <c r="BA68" s="59"/>
      <c r="BB68" s="255"/>
      <c r="BC68" s="255"/>
      <c r="BD68" s="256"/>
      <c r="BE68" s="10"/>
      <c r="BF68" s="259"/>
    </row>
    <row r="69" spans="1:58" s="381" customFormat="1" ht="45" customHeight="1" x14ac:dyDescent="0.25">
      <c r="A69" s="260" t="s">
        <v>3256</v>
      </c>
      <c r="B69" s="88" t="s">
        <v>508</v>
      </c>
      <c r="C69" s="59" t="s">
        <v>627</v>
      </c>
      <c r="D69" s="10" t="s">
        <v>6668</v>
      </c>
      <c r="E69" s="10" t="s">
        <v>6667</v>
      </c>
      <c r="F69" s="16" t="s">
        <v>6669</v>
      </c>
      <c r="G69" s="10" t="s">
        <v>30</v>
      </c>
      <c r="H69" s="10" t="s">
        <v>52</v>
      </c>
      <c r="I69" s="60" t="s">
        <v>14</v>
      </c>
      <c r="J69" s="255">
        <v>45852</v>
      </c>
      <c r="K69" s="59" t="s">
        <v>6671</v>
      </c>
      <c r="L69" s="255">
        <v>45804</v>
      </c>
      <c r="M69" s="255">
        <v>45811</v>
      </c>
      <c r="N69" s="256">
        <f t="shared" si="9"/>
        <v>7</v>
      </c>
      <c r="O69" s="10" t="s">
        <v>6672</v>
      </c>
      <c r="P69" s="60" t="s">
        <v>14</v>
      </c>
      <c r="Q69" s="255">
        <v>45852</v>
      </c>
      <c r="R69" s="59" t="s">
        <v>6670</v>
      </c>
      <c r="S69" s="255">
        <f t="shared" si="10"/>
        <v>45859</v>
      </c>
      <c r="T69" s="255">
        <v>45858</v>
      </c>
      <c r="U69" s="256">
        <f t="shared" si="11"/>
        <v>-1</v>
      </c>
      <c r="V69" s="10" t="s">
        <v>6673</v>
      </c>
      <c r="W69" s="9" t="s">
        <v>508</v>
      </c>
      <c r="X69" s="255">
        <v>46196</v>
      </c>
      <c r="Y69" s="59" t="s">
        <v>7068</v>
      </c>
      <c r="Z69" s="255" t="s">
        <v>626</v>
      </c>
      <c r="AA69" s="255" t="s">
        <v>626</v>
      </c>
      <c r="AB69" s="256" t="s">
        <v>626</v>
      </c>
      <c r="AC69" s="10" t="s">
        <v>626</v>
      </c>
      <c r="AD69" s="16"/>
      <c r="AE69" s="255"/>
      <c r="AF69" s="59"/>
      <c r="AG69" s="255"/>
      <c r="AH69" s="255"/>
      <c r="AI69" s="256"/>
      <c r="AJ69" s="10"/>
      <c r="AK69" s="16"/>
      <c r="AL69" s="255"/>
      <c r="AM69" s="59"/>
      <c r="AN69" s="255"/>
      <c r="AO69" s="255"/>
      <c r="AP69" s="256"/>
      <c r="AQ69" s="10"/>
      <c r="AR69" s="16"/>
      <c r="AS69" s="255"/>
      <c r="AT69" s="59"/>
      <c r="AU69" s="255"/>
      <c r="AV69" s="255"/>
      <c r="AW69" s="256"/>
      <c r="AX69" s="10"/>
      <c r="AY69" s="16"/>
      <c r="AZ69" s="255"/>
      <c r="BA69" s="59"/>
      <c r="BB69" s="255"/>
      <c r="BC69" s="255"/>
      <c r="BD69" s="256"/>
      <c r="BE69" s="10"/>
      <c r="BF69" s="259"/>
    </row>
    <row r="70" spans="1:58" s="381" customFormat="1" ht="45" customHeight="1" x14ac:dyDescent="0.25">
      <c r="A70" s="260" t="s">
        <v>3256</v>
      </c>
      <c r="B70" s="16" t="s">
        <v>18</v>
      </c>
      <c r="C70" s="60" t="s">
        <v>725</v>
      </c>
      <c r="D70" s="10" t="s">
        <v>3685</v>
      </c>
      <c r="E70" s="10" t="s">
        <v>3684</v>
      </c>
      <c r="F70" s="267" t="s">
        <v>3686</v>
      </c>
      <c r="G70" s="10" t="s">
        <v>30</v>
      </c>
      <c r="H70" s="10" t="s">
        <v>52</v>
      </c>
      <c r="I70" s="181" t="s">
        <v>3</v>
      </c>
      <c r="J70" s="255">
        <v>45854</v>
      </c>
      <c r="K70" s="59" t="s">
        <v>3687</v>
      </c>
      <c r="L70" s="255">
        <f t="shared" si="12"/>
        <v>45861</v>
      </c>
      <c r="M70" s="255">
        <v>45855</v>
      </c>
      <c r="N70" s="256">
        <f t="shared" si="9"/>
        <v>-6</v>
      </c>
      <c r="O70" s="10" t="s">
        <v>3688</v>
      </c>
      <c r="P70" s="181" t="s">
        <v>18</v>
      </c>
      <c r="Q70" s="255">
        <v>45860</v>
      </c>
      <c r="R70" s="59" t="s">
        <v>3756</v>
      </c>
      <c r="S70" s="255">
        <f t="shared" si="10"/>
        <v>45867</v>
      </c>
      <c r="T70" s="255">
        <v>45861</v>
      </c>
      <c r="U70" s="256">
        <f t="shared" si="11"/>
        <v>-6</v>
      </c>
      <c r="V70" s="10" t="s">
        <v>3761</v>
      </c>
      <c r="W70" s="181" t="s">
        <v>18</v>
      </c>
      <c r="X70" s="255">
        <v>45872</v>
      </c>
      <c r="Y70" s="59" t="s">
        <v>3868</v>
      </c>
      <c r="Z70" s="255">
        <f>X70+7</f>
        <v>45879</v>
      </c>
      <c r="AA70" s="255">
        <v>45880</v>
      </c>
      <c r="AB70" s="256">
        <f>AA70-Z70</f>
        <v>1</v>
      </c>
      <c r="AC70" s="10" t="s">
        <v>3880</v>
      </c>
      <c r="AD70" s="181" t="s">
        <v>18</v>
      </c>
      <c r="AE70" s="255">
        <v>46195</v>
      </c>
      <c r="AF70" s="59" t="s">
        <v>7063</v>
      </c>
      <c r="AG70" s="255">
        <f>AE70+7</f>
        <v>46202</v>
      </c>
      <c r="AH70" s="255">
        <v>46204</v>
      </c>
      <c r="AI70" s="256">
        <f>AH70-AG70</f>
        <v>2</v>
      </c>
      <c r="AJ70" s="10" t="s">
        <v>7073</v>
      </c>
      <c r="AK70" s="181"/>
      <c r="AL70" s="255"/>
      <c r="AM70" s="59"/>
      <c r="AN70" s="255"/>
      <c r="AO70" s="255"/>
      <c r="AP70" s="256"/>
      <c r="AQ70" s="10"/>
      <c r="AR70" s="181"/>
      <c r="AS70" s="255"/>
      <c r="AT70" s="59"/>
      <c r="AU70" s="255"/>
      <c r="AV70" s="255"/>
      <c r="AW70" s="256"/>
      <c r="AX70" s="10"/>
      <c r="AY70" s="181"/>
      <c r="AZ70" s="255"/>
      <c r="BA70" s="59"/>
      <c r="BB70" s="255"/>
      <c r="BC70" s="255"/>
      <c r="BD70" s="256"/>
      <c r="BE70" s="10"/>
      <c r="BF70" s="259"/>
    </row>
    <row r="71" spans="1:58" s="381" customFormat="1" ht="45" customHeight="1" x14ac:dyDescent="0.25">
      <c r="A71" s="260" t="s">
        <v>3256</v>
      </c>
      <c r="B71" s="16" t="s">
        <v>5</v>
      </c>
      <c r="C71" s="60" t="s">
        <v>588</v>
      </c>
      <c r="D71" s="10" t="s">
        <v>3869</v>
      </c>
      <c r="E71" s="10" t="s">
        <v>3870</v>
      </c>
      <c r="F71" s="16" t="s">
        <v>3931</v>
      </c>
      <c r="G71" s="10" t="s">
        <v>30</v>
      </c>
      <c r="H71" s="10" t="s">
        <v>52</v>
      </c>
      <c r="I71" s="16" t="s">
        <v>3</v>
      </c>
      <c r="J71" s="255">
        <v>45873</v>
      </c>
      <c r="K71" s="59" t="s">
        <v>3871</v>
      </c>
      <c r="L71" s="255">
        <f t="shared" si="12"/>
        <v>45880</v>
      </c>
      <c r="M71" s="255">
        <v>45880</v>
      </c>
      <c r="N71" s="256">
        <f t="shared" si="9"/>
        <v>0</v>
      </c>
      <c r="O71" s="10" t="s">
        <v>3881</v>
      </c>
      <c r="P71" s="16" t="s">
        <v>18</v>
      </c>
      <c r="Q71" s="255">
        <v>45882</v>
      </c>
      <c r="R71" s="59" t="s">
        <v>3930</v>
      </c>
      <c r="S71" s="255">
        <f t="shared" si="10"/>
        <v>45889</v>
      </c>
      <c r="T71" s="255">
        <v>45889</v>
      </c>
      <c r="U71" s="256">
        <f t="shared" si="11"/>
        <v>0</v>
      </c>
      <c r="V71" s="10" t="s">
        <v>3948</v>
      </c>
      <c r="W71" s="16" t="s">
        <v>5</v>
      </c>
      <c r="X71" s="255">
        <v>46230</v>
      </c>
      <c r="Y71" s="150" t="s">
        <v>7336</v>
      </c>
      <c r="Z71" s="255">
        <f>X71+7</f>
        <v>46237</v>
      </c>
      <c r="AA71" s="255">
        <v>46232</v>
      </c>
      <c r="AB71" s="256">
        <f>AA71-Z71</f>
        <v>-5</v>
      </c>
      <c r="AC71" s="151" t="s">
        <v>7343</v>
      </c>
      <c r="AD71" s="16"/>
      <c r="AE71" s="255"/>
      <c r="AF71" s="59"/>
      <c r="AG71" s="255"/>
      <c r="AH71" s="255"/>
      <c r="AI71" s="256"/>
      <c r="AJ71" s="10"/>
      <c r="AK71" s="16"/>
      <c r="AL71" s="255"/>
      <c r="AM71" s="59"/>
      <c r="AN71" s="255"/>
      <c r="AO71" s="255"/>
      <c r="AP71" s="256"/>
      <c r="AQ71" s="10"/>
      <c r="AR71" s="16"/>
      <c r="AS71" s="255"/>
      <c r="AT71" s="59"/>
      <c r="AU71" s="255"/>
      <c r="AV71" s="255"/>
      <c r="AW71" s="256"/>
      <c r="AX71" s="10"/>
      <c r="AY71" s="16"/>
      <c r="AZ71" s="255"/>
      <c r="BA71" s="59"/>
      <c r="BB71" s="255"/>
      <c r="BC71" s="255"/>
      <c r="BD71" s="256"/>
      <c r="BE71" s="10"/>
      <c r="BF71" s="259"/>
    </row>
    <row r="72" spans="1:58" s="381" customFormat="1" ht="45" customHeight="1" x14ac:dyDescent="0.25">
      <c r="A72" s="260" t="s">
        <v>3256</v>
      </c>
      <c r="B72" s="88" t="s">
        <v>508</v>
      </c>
      <c r="C72" s="59" t="s">
        <v>627</v>
      </c>
      <c r="D72" s="10" t="s">
        <v>4028</v>
      </c>
      <c r="E72" s="10" t="s">
        <v>4029</v>
      </c>
      <c r="F72" s="16" t="s">
        <v>4068</v>
      </c>
      <c r="G72" s="10" t="s">
        <v>30</v>
      </c>
      <c r="H72" s="10" t="s">
        <v>52</v>
      </c>
      <c r="I72" s="16" t="s">
        <v>3</v>
      </c>
      <c r="J72" s="255">
        <v>45894</v>
      </c>
      <c r="K72" s="59" t="s">
        <v>4030</v>
      </c>
      <c r="L72" s="255">
        <f t="shared" si="12"/>
        <v>45901</v>
      </c>
      <c r="M72" s="255">
        <v>45899</v>
      </c>
      <c r="N72" s="256">
        <f t="shared" si="9"/>
        <v>-2</v>
      </c>
      <c r="O72" s="10" t="s">
        <v>4048</v>
      </c>
      <c r="P72" s="9" t="s">
        <v>508</v>
      </c>
      <c r="Q72" s="255">
        <v>46118</v>
      </c>
      <c r="R72" s="59" t="s">
        <v>6267</v>
      </c>
      <c r="S72" s="255" t="s">
        <v>626</v>
      </c>
      <c r="T72" s="255" t="s">
        <v>626</v>
      </c>
      <c r="U72" s="256" t="s">
        <v>626</v>
      </c>
      <c r="V72" s="10" t="s">
        <v>626</v>
      </c>
      <c r="W72" s="16"/>
      <c r="X72" s="255"/>
      <c r="Y72" s="59"/>
      <c r="Z72" s="255"/>
      <c r="AA72" s="255"/>
      <c r="AB72" s="256"/>
      <c r="AC72" s="10"/>
      <c r="AD72" s="16"/>
      <c r="AE72" s="255"/>
      <c r="AF72" s="59"/>
      <c r="AG72" s="255"/>
      <c r="AH72" s="255"/>
      <c r="AI72" s="256"/>
      <c r="AJ72" s="10"/>
      <c r="AK72" s="16"/>
      <c r="AL72" s="255"/>
      <c r="AM72" s="59"/>
      <c r="AN72" s="255"/>
      <c r="AO72" s="255"/>
      <c r="AP72" s="256"/>
      <c r="AQ72" s="10"/>
      <c r="AR72" s="16"/>
      <c r="AS72" s="255"/>
      <c r="AT72" s="59"/>
      <c r="AU72" s="255"/>
      <c r="AV72" s="255"/>
      <c r="AW72" s="256"/>
      <c r="AX72" s="10"/>
      <c r="AY72" s="16"/>
      <c r="AZ72" s="255"/>
      <c r="BA72" s="59"/>
      <c r="BB72" s="255"/>
      <c r="BC72" s="255"/>
      <c r="BD72" s="256"/>
      <c r="BE72" s="10"/>
      <c r="BF72" s="259"/>
    </row>
    <row r="73" spans="1:58" s="381" customFormat="1" ht="45" customHeight="1" x14ac:dyDescent="0.25">
      <c r="A73" s="260" t="s">
        <v>3256</v>
      </c>
      <c r="B73" s="16" t="s">
        <v>5</v>
      </c>
      <c r="C73" s="60" t="s">
        <v>54</v>
      </c>
      <c r="D73" s="10" t="s">
        <v>4031</v>
      </c>
      <c r="E73" s="10" t="s">
        <v>4032</v>
      </c>
      <c r="F73" s="16" t="s">
        <v>4034</v>
      </c>
      <c r="G73" s="10" t="s">
        <v>30</v>
      </c>
      <c r="H73" s="10" t="s">
        <v>52</v>
      </c>
      <c r="I73" s="16" t="s">
        <v>5</v>
      </c>
      <c r="J73" s="255">
        <v>45894</v>
      </c>
      <c r="K73" s="59" t="s">
        <v>4033</v>
      </c>
      <c r="L73" s="255">
        <f t="shared" si="12"/>
        <v>45901</v>
      </c>
      <c r="M73" s="255">
        <v>45895</v>
      </c>
      <c r="N73" s="256">
        <f t="shared" si="9"/>
        <v>-6</v>
      </c>
      <c r="O73" s="10" t="s">
        <v>4049</v>
      </c>
      <c r="P73" s="16"/>
      <c r="Q73" s="255"/>
      <c r="R73" s="59"/>
      <c r="S73" s="255"/>
      <c r="T73" s="255"/>
      <c r="U73" s="256"/>
      <c r="V73" s="10"/>
      <c r="W73" s="16"/>
      <c r="X73" s="255"/>
      <c r="Y73" s="59"/>
      <c r="Z73" s="255"/>
      <c r="AA73" s="255"/>
      <c r="AB73" s="256"/>
      <c r="AC73" s="10"/>
      <c r="AD73" s="16"/>
      <c r="AE73" s="255"/>
      <c r="AF73" s="59"/>
      <c r="AG73" s="255"/>
      <c r="AH73" s="255"/>
      <c r="AI73" s="256"/>
      <c r="AJ73" s="10"/>
      <c r="AK73" s="16"/>
      <c r="AL73" s="255"/>
      <c r="AM73" s="59"/>
      <c r="AN73" s="255"/>
      <c r="AO73" s="255"/>
      <c r="AP73" s="256"/>
      <c r="AQ73" s="10"/>
      <c r="AR73" s="16"/>
      <c r="AS73" s="255"/>
      <c r="AT73" s="59"/>
      <c r="AU73" s="255"/>
      <c r="AV73" s="255"/>
      <c r="AW73" s="256"/>
      <c r="AX73" s="10"/>
      <c r="AY73" s="16"/>
      <c r="AZ73" s="255"/>
      <c r="BA73" s="59"/>
      <c r="BB73" s="255"/>
      <c r="BC73" s="255"/>
      <c r="BD73" s="256"/>
      <c r="BE73" s="10"/>
      <c r="BF73" s="259"/>
    </row>
    <row r="74" spans="1:58" s="381" customFormat="1" ht="45" customHeight="1" x14ac:dyDescent="0.25">
      <c r="A74" s="260" t="s">
        <v>3256</v>
      </c>
      <c r="B74" s="16" t="s">
        <v>5</v>
      </c>
      <c r="C74" s="60" t="s">
        <v>2456</v>
      </c>
      <c r="D74" s="10" t="s">
        <v>4079</v>
      </c>
      <c r="E74" s="10" t="s">
        <v>4080</v>
      </c>
      <c r="F74" s="16" t="s">
        <v>7213</v>
      </c>
      <c r="G74" s="10" t="s">
        <v>30</v>
      </c>
      <c r="H74" s="10" t="s">
        <v>52</v>
      </c>
      <c r="I74" s="16" t="s">
        <v>18</v>
      </c>
      <c r="J74" s="255">
        <v>45900</v>
      </c>
      <c r="K74" s="59" t="s">
        <v>4081</v>
      </c>
      <c r="L74" s="255">
        <f t="shared" ref="L74:L79" si="13">J74+7</f>
        <v>45907</v>
      </c>
      <c r="M74" s="255">
        <v>45904</v>
      </c>
      <c r="N74" s="256">
        <f t="shared" si="9"/>
        <v>-3</v>
      </c>
      <c r="O74" s="10" t="s">
        <v>4082</v>
      </c>
      <c r="P74" s="16" t="s">
        <v>18</v>
      </c>
      <c r="Q74" s="255">
        <v>45921</v>
      </c>
      <c r="R74" s="59" t="s">
        <v>4261</v>
      </c>
      <c r="S74" s="255">
        <f>Q74+7</f>
        <v>45928</v>
      </c>
      <c r="T74" s="255">
        <v>45927</v>
      </c>
      <c r="U74" s="256">
        <f>T74-S74</f>
        <v>-1</v>
      </c>
      <c r="V74" s="10" t="s">
        <v>4278</v>
      </c>
      <c r="W74" s="16" t="s">
        <v>18</v>
      </c>
      <c r="X74" s="255">
        <v>45936</v>
      </c>
      <c r="Y74" s="59" t="s">
        <v>4399</v>
      </c>
      <c r="Z74" s="255">
        <f>X74+7</f>
        <v>45943</v>
      </c>
      <c r="AA74" s="255">
        <v>45942</v>
      </c>
      <c r="AB74" s="256">
        <f>AA74-Z74</f>
        <v>-1</v>
      </c>
      <c r="AC74" s="10" t="s">
        <v>4410</v>
      </c>
      <c r="AD74" s="16" t="s">
        <v>18</v>
      </c>
      <c r="AE74" s="255">
        <v>46195</v>
      </c>
      <c r="AF74" s="59" t="s">
        <v>7055</v>
      </c>
      <c r="AG74" s="255">
        <f>AE74+7</f>
        <v>46202</v>
      </c>
      <c r="AH74" s="255">
        <v>46204</v>
      </c>
      <c r="AI74" s="256">
        <f>AH74-AG74</f>
        <v>2</v>
      </c>
      <c r="AJ74" s="10" t="s">
        <v>7074</v>
      </c>
      <c r="AK74" s="16" t="s">
        <v>5</v>
      </c>
      <c r="AL74" s="255">
        <v>46209</v>
      </c>
      <c r="AM74" s="59" t="s">
        <v>7214</v>
      </c>
      <c r="AN74" s="255">
        <f>AL74+7</f>
        <v>46216</v>
      </c>
      <c r="AO74" s="255">
        <v>46216</v>
      </c>
      <c r="AP74" s="256">
        <f>AO74-AN74</f>
        <v>0</v>
      </c>
      <c r="AQ74" s="10" t="s">
        <v>7222</v>
      </c>
      <c r="AR74" s="16"/>
      <c r="AS74" s="255"/>
      <c r="AT74" s="59"/>
      <c r="AU74" s="255"/>
      <c r="AV74" s="255"/>
      <c r="AW74" s="256"/>
      <c r="AX74" s="10"/>
      <c r="AY74" s="16"/>
      <c r="AZ74" s="255"/>
      <c r="BA74" s="59"/>
      <c r="BB74" s="255"/>
      <c r="BC74" s="255"/>
      <c r="BD74" s="256"/>
      <c r="BE74" s="10"/>
      <c r="BF74" s="259"/>
    </row>
    <row r="75" spans="1:58" s="381" customFormat="1" ht="45" customHeight="1" x14ac:dyDescent="0.25">
      <c r="A75" s="260" t="s">
        <v>3256</v>
      </c>
      <c r="B75" s="78" t="s">
        <v>508</v>
      </c>
      <c r="C75" s="59" t="s">
        <v>627</v>
      </c>
      <c r="D75" s="10" t="s">
        <v>4320</v>
      </c>
      <c r="E75" s="10" t="s">
        <v>4321</v>
      </c>
      <c r="F75" s="10" t="s">
        <v>4322</v>
      </c>
      <c r="G75" s="10" t="s">
        <v>30</v>
      </c>
      <c r="H75" s="10" t="s">
        <v>52</v>
      </c>
      <c r="I75" s="10" t="s">
        <v>3</v>
      </c>
      <c r="J75" s="255">
        <v>45927</v>
      </c>
      <c r="K75" s="59" t="s">
        <v>4319</v>
      </c>
      <c r="L75" s="255">
        <f t="shared" si="13"/>
        <v>45934</v>
      </c>
      <c r="M75" s="255">
        <v>45936</v>
      </c>
      <c r="N75" s="256">
        <f t="shared" si="9"/>
        <v>2</v>
      </c>
      <c r="O75" s="10" t="s">
        <v>4324</v>
      </c>
      <c r="P75" s="9" t="s">
        <v>508</v>
      </c>
      <c r="Q75" s="255">
        <v>46233</v>
      </c>
      <c r="R75" s="150" t="s">
        <v>7389</v>
      </c>
      <c r="S75" s="255"/>
      <c r="T75" s="255"/>
      <c r="U75" s="256"/>
      <c r="V75" s="10"/>
      <c r="W75" s="10"/>
      <c r="X75" s="255"/>
      <c r="Y75" s="59"/>
      <c r="Z75" s="255"/>
      <c r="AA75" s="255"/>
      <c r="AB75" s="256"/>
      <c r="AC75" s="10"/>
      <c r="AD75" s="10"/>
      <c r="AE75" s="255"/>
      <c r="AF75" s="59"/>
      <c r="AG75" s="255"/>
      <c r="AH75" s="255"/>
      <c r="AI75" s="256"/>
      <c r="AJ75" s="10"/>
      <c r="AK75" s="10"/>
      <c r="AL75" s="255"/>
      <c r="AM75" s="59"/>
      <c r="AN75" s="255"/>
      <c r="AO75" s="255"/>
      <c r="AP75" s="256"/>
      <c r="AQ75" s="10"/>
      <c r="AR75" s="10"/>
      <c r="AS75" s="255"/>
      <c r="AT75" s="59"/>
      <c r="AU75" s="255"/>
      <c r="AV75" s="255"/>
      <c r="AW75" s="256"/>
      <c r="AX75" s="10"/>
      <c r="AY75" s="10"/>
      <c r="AZ75" s="255"/>
      <c r="BA75" s="59"/>
      <c r="BB75" s="255"/>
      <c r="BC75" s="255"/>
      <c r="BD75" s="256"/>
      <c r="BE75" s="10"/>
      <c r="BF75" s="259"/>
    </row>
    <row r="76" spans="1:58" s="381" customFormat="1" ht="45" customHeight="1" x14ac:dyDescent="0.25">
      <c r="A76" s="260" t="s">
        <v>3256</v>
      </c>
      <c r="B76" s="88" t="s">
        <v>508</v>
      </c>
      <c r="C76" s="59" t="s">
        <v>627</v>
      </c>
      <c r="D76" s="10" t="s">
        <v>4744</v>
      </c>
      <c r="E76" s="10" t="s">
        <v>4745</v>
      </c>
      <c r="F76" s="16" t="s">
        <v>4746</v>
      </c>
      <c r="G76" s="10" t="s">
        <v>30</v>
      </c>
      <c r="H76" s="10" t="s">
        <v>52</v>
      </c>
      <c r="I76" s="16" t="s">
        <v>331</v>
      </c>
      <c r="J76" s="255">
        <v>45965</v>
      </c>
      <c r="K76" s="59" t="s">
        <v>4747</v>
      </c>
      <c r="L76" s="255">
        <f t="shared" si="13"/>
        <v>45972</v>
      </c>
      <c r="M76" s="255" t="s">
        <v>626</v>
      </c>
      <c r="N76" s="256" t="s">
        <v>626</v>
      </c>
      <c r="O76" s="10" t="s">
        <v>4760</v>
      </c>
      <c r="P76" s="16" t="s">
        <v>508</v>
      </c>
      <c r="Q76" s="255">
        <v>46096</v>
      </c>
      <c r="R76" s="59" t="s">
        <v>6063</v>
      </c>
      <c r="S76" s="255" t="s">
        <v>626</v>
      </c>
      <c r="T76" s="255" t="s">
        <v>626</v>
      </c>
      <c r="U76" s="256" t="s">
        <v>626</v>
      </c>
      <c r="V76" s="10" t="s">
        <v>626</v>
      </c>
      <c r="W76" s="16"/>
      <c r="X76" s="255"/>
      <c r="Y76" s="59"/>
      <c r="Z76" s="255"/>
      <c r="AA76" s="255"/>
      <c r="AB76" s="256"/>
      <c r="AC76" s="10"/>
      <c r="AD76" s="16"/>
      <c r="AE76" s="255"/>
      <c r="AF76" s="59"/>
      <c r="AG76" s="255"/>
      <c r="AH76" s="255"/>
      <c r="AI76" s="256"/>
      <c r="AJ76" s="10"/>
      <c r="AK76" s="16"/>
      <c r="AL76" s="255"/>
      <c r="AM76" s="59"/>
      <c r="AN76" s="255"/>
      <c r="AO76" s="255"/>
      <c r="AP76" s="256"/>
      <c r="AQ76" s="10"/>
      <c r="AR76" s="16"/>
      <c r="AS76" s="255"/>
      <c r="AT76" s="59"/>
      <c r="AU76" s="255"/>
      <c r="AV76" s="255"/>
      <c r="AW76" s="256"/>
      <c r="AX76" s="10"/>
      <c r="AY76" s="16"/>
      <c r="AZ76" s="255"/>
      <c r="BA76" s="59"/>
      <c r="BB76" s="255"/>
      <c r="BC76" s="255"/>
      <c r="BD76" s="256"/>
      <c r="BE76" s="10"/>
      <c r="BF76" s="259"/>
    </row>
    <row r="77" spans="1:58" s="381" customFormat="1" ht="45" customHeight="1" x14ac:dyDescent="0.25">
      <c r="A77" s="260" t="s">
        <v>3256</v>
      </c>
      <c r="B77" s="16" t="s">
        <v>5</v>
      </c>
      <c r="C77" s="59" t="s">
        <v>208</v>
      </c>
      <c r="D77" s="10" t="s">
        <v>4858</v>
      </c>
      <c r="E77" s="10" t="s">
        <v>4859</v>
      </c>
      <c r="F77" s="16" t="s">
        <v>4861</v>
      </c>
      <c r="G77" s="10" t="s">
        <v>30</v>
      </c>
      <c r="H77" s="10" t="s">
        <v>52</v>
      </c>
      <c r="I77" s="16" t="s">
        <v>3</v>
      </c>
      <c r="J77" s="255">
        <v>45973</v>
      </c>
      <c r="K77" s="59" t="s">
        <v>4860</v>
      </c>
      <c r="L77" s="255">
        <f t="shared" si="13"/>
        <v>45980</v>
      </c>
      <c r="M77" s="255">
        <v>45980</v>
      </c>
      <c r="N77" s="256">
        <f>M77-L77</f>
        <v>0</v>
      </c>
      <c r="O77" s="10" t="s">
        <v>4908</v>
      </c>
      <c r="P77" s="16" t="s">
        <v>5</v>
      </c>
      <c r="Q77" s="255">
        <v>45981</v>
      </c>
      <c r="R77" s="59" t="s">
        <v>5001</v>
      </c>
      <c r="S77" s="255">
        <f>Q77+7</f>
        <v>45988</v>
      </c>
      <c r="T77" s="255">
        <v>45998</v>
      </c>
      <c r="U77" s="256">
        <f>T77-S77</f>
        <v>10</v>
      </c>
      <c r="V77" s="10"/>
      <c r="W77" s="16"/>
      <c r="X77" s="255"/>
      <c r="Y77" s="59"/>
      <c r="Z77" s="255"/>
      <c r="AA77" s="255"/>
      <c r="AB77" s="256"/>
      <c r="AC77" s="10"/>
      <c r="AD77" s="16"/>
      <c r="AE77" s="255"/>
      <c r="AF77" s="59"/>
      <c r="AG77" s="255"/>
      <c r="AH77" s="255"/>
      <c r="AI77" s="256"/>
      <c r="AJ77" s="10"/>
      <c r="AK77" s="16"/>
      <c r="AL77" s="255"/>
      <c r="AM77" s="59"/>
      <c r="AN77" s="255"/>
      <c r="AO77" s="255"/>
      <c r="AP77" s="256"/>
      <c r="AQ77" s="10"/>
      <c r="AR77" s="16"/>
      <c r="AS77" s="255"/>
      <c r="AT77" s="59"/>
      <c r="AU77" s="255"/>
      <c r="AV77" s="255"/>
      <c r="AW77" s="256"/>
      <c r="AX77" s="10"/>
      <c r="AY77" s="16"/>
      <c r="AZ77" s="255"/>
      <c r="BA77" s="59"/>
      <c r="BB77" s="255"/>
      <c r="BC77" s="255"/>
      <c r="BD77" s="256"/>
      <c r="BE77" s="10"/>
      <c r="BF77" s="259"/>
    </row>
    <row r="78" spans="1:58" s="381" customFormat="1" ht="45" customHeight="1" x14ac:dyDescent="0.25">
      <c r="A78" s="260" t="s">
        <v>3256</v>
      </c>
      <c r="B78" s="88" t="s">
        <v>508</v>
      </c>
      <c r="C78" s="59" t="s">
        <v>627</v>
      </c>
      <c r="D78" s="10" t="s">
        <v>4864</v>
      </c>
      <c r="E78" s="10" t="s">
        <v>4863</v>
      </c>
      <c r="F78" s="16" t="s">
        <v>4862</v>
      </c>
      <c r="G78" s="10" t="s">
        <v>30</v>
      </c>
      <c r="H78" s="10" t="s">
        <v>52</v>
      </c>
      <c r="I78" s="16" t="s">
        <v>18</v>
      </c>
      <c r="J78" s="255">
        <v>45973</v>
      </c>
      <c r="K78" s="59" t="s">
        <v>4865</v>
      </c>
      <c r="L78" s="255">
        <f t="shared" si="13"/>
        <v>45980</v>
      </c>
      <c r="M78" s="255">
        <v>45980</v>
      </c>
      <c r="N78" s="256">
        <f>M78-L78</f>
        <v>0</v>
      </c>
      <c r="O78" s="10" t="s">
        <v>4909</v>
      </c>
      <c r="P78" s="9" t="s">
        <v>508</v>
      </c>
      <c r="Q78" s="255">
        <v>46196</v>
      </c>
      <c r="R78" s="59" t="s">
        <v>7068</v>
      </c>
      <c r="S78" s="255" t="s">
        <v>626</v>
      </c>
      <c r="T78" s="255" t="s">
        <v>626</v>
      </c>
      <c r="U78" s="256" t="s">
        <v>626</v>
      </c>
      <c r="V78" s="10" t="s">
        <v>626</v>
      </c>
      <c r="W78" s="16"/>
      <c r="X78" s="255"/>
      <c r="Y78" s="59"/>
      <c r="Z78" s="255"/>
      <c r="AA78" s="255"/>
      <c r="AB78" s="256"/>
      <c r="AC78" s="10"/>
      <c r="AD78" s="16"/>
      <c r="AE78" s="255"/>
      <c r="AF78" s="59"/>
      <c r="AG78" s="255"/>
      <c r="AH78" s="255"/>
      <c r="AI78" s="256"/>
      <c r="AJ78" s="10"/>
      <c r="AK78" s="16"/>
      <c r="AL78" s="255"/>
      <c r="AM78" s="59"/>
      <c r="AN78" s="255"/>
      <c r="AO78" s="255"/>
      <c r="AP78" s="256"/>
      <c r="AQ78" s="10"/>
      <c r="AR78" s="16"/>
      <c r="AS78" s="255"/>
      <c r="AT78" s="59"/>
      <c r="AU78" s="255"/>
      <c r="AV78" s="255"/>
      <c r="AW78" s="256"/>
      <c r="AX78" s="10"/>
      <c r="AY78" s="16"/>
      <c r="AZ78" s="255"/>
      <c r="BA78" s="59"/>
      <c r="BB78" s="255"/>
      <c r="BC78" s="255"/>
      <c r="BD78" s="256"/>
      <c r="BE78" s="10"/>
      <c r="BF78" s="259"/>
    </row>
    <row r="79" spans="1:58" s="381" customFormat="1" ht="45" customHeight="1" x14ac:dyDescent="0.25">
      <c r="A79" s="260" t="s">
        <v>3256</v>
      </c>
      <c r="B79" s="16" t="s">
        <v>18</v>
      </c>
      <c r="C79" s="59" t="s">
        <v>54</v>
      </c>
      <c r="D79" s="10" t="s">
        <v>4885</v>
      </c>
      <c r="E79" s="10" t="s">
        <v>4886</v>
      </c>
      <c r="F79" s="16" t="s">
        <v>4912</v>
      </c>
      <c r="G79" s="10" t="s">
        <v>30</v>
      </c>
      <c r="H79" s="10" t="s">
        <v>52</v>
      </c>
      <c r="I79" s="16" t="s">
        <v>18</v>
      </c>
      <c r="J79" s="255">
        <v>45974</v>
      </c>
      <c r="K79" s="59" t="s">
        <v>4887</v>
      </c>
      <c r="L79" s="255">
        <f t="shared" si="13"/>
        <v>45981</v>
      </c>
      <c r="M79" s="255">
        <v>45984</v>
      </c>
      <c r="N79" s="256">
        <f>M79-L79</f>
        <v>3</v>
      </c>
      <c r="O79" s="10" t="s">
        <v>4911</v>
      </c>
      <c r="P79" s="16"/>
      <c r="Q79" s="255"/>
      <c r="R79" s="59"/>
      <c r="S79" s="255"/>
      <c r="T79" s="255"/>
      <c r="U79" s="256"/>
      <c r="V79" s="10"/>
      <c r="W79" s="16"/>
      <c r="X79" s="255"/>
      <c r="Y79" s="59"/>
      <c r="Z79" s="255"/>
      <c r="AA79" s="255"/>
      <c r="AB79" s="256"/>
      <c r="AC79" s="10"/>
      <c r="AD79" s="16"/>
      <c r="AE79" s="255"/>
      <c r="AF79" s="59"/>
      <c r="AG79" s="255"/>
      <c r="AH79" s="255"/>
      <c r="AI79" s="256"/>
      <c r="AJ79" s="10"/>
      <c r="AK79" s="16"/>
      <c r="AL79" s="255"/>
      <c r="AM79" s="59"/>
      <c r="AN79" s="255"/>
      <c r="AO79" s="255"/>
      <c r="AP79" s="256"/>
      <c r="AQ79" s="10"/>
      <c r="AR79" s="16"/>
      <c r="AS79" s="255"/>
      <c r="AT79" s="59"/>
      <c r="AU79" s="255"/>
      <c r="AV79" s="255"/>
      <c r="AW79" s="256"/>
      <c r="AX79" s="10"/>
      <c r="AY79" s="16"/>
      <c r="AZ79" s="255"/>
      <c r="BA79" s="59"/>
      <c r="BB79" s="255"/>
      <c r="BC79" s="255"/>
      <c r="BD79" s="256"/>
      <c r="BE79" s="10"/>
      <c r="BF79" s="259"/>
    </row>
    <row r="80" spans="1:58" s="381" customFormat="1" ht="45" customHeight="1" x14ac:dyDescent="0.25">
      <c r="A80" s="260" t="s">
        <v>3256</v>
      </c>
      <c r="B80" s="16" t="s">
        <v>5</v>
      </c>
      <c r="C80" s="59" t="s">
        <v>588</v>
      </c>
      <c r="D80" s="10" t="s">
        <v>4965</v>
      </c>
      <c r="E80" s="10" t="s">
        <v>4966</v>
      </c>
      <c r="F80" s="16" t="s">
        <v>4967</v>
      </c>
      <c r="G80" s="10" t="s">
        <v>30</v>
      </c>
      <c r="H80" s="10" t="s">
        <v>52</v>
      </c>
      <c r="I80" s="16" t="s">
        <v>3</v>
      </c>
      <c r="J80" s="255">
        <v>45979</v>
      </c>
      <c r="K80" s="59" t="s">
        <v>4968</v>
      </c>
      <c r="L80" s="255">
        <f>J80+7</f>
        <v>45986</v>
      </c>
      <c r="M80" s="255">
        <v>45987</v>
      </c>
      <c r="N80" s="256">
        <f>M80-L80</f>
        <v>1</v>
      </c>
      <c r="O80" s="10" t="s">
        <v>4975</v>
      </c>
      <c r="P80" s="16" t="s">
        <v>18</v>
      </c>
      <c r="Q80" s="255">
        <v>45987</v>
      </c>
      <c r="R80" s="59" t="s">
        <v>5057</v>
      </c>
      <c r="S80" s="255">
        <f>Q80+7</f>
        <v>45994</v>
      </c>
      <c r="T80" s="255">
        <v>45997</v>
      </c>
      <c r="U80" s="256">
        <f t="shared" ref="U80:U88" si="14">T80-S80</f>
        <v>3</v>
      </c>
      <c r="V80" s="10" t="s">
        <v>5062</v>
      </c>
      <c r="W80" s="16" t="s">
        <v>5</v>
      </c>
      <c r="X80" s="255">
        <v>46202</v>
      </c>
      <c r="Y80" s="59" t="s">
        <v>7129</v>
      </c>
      <c r="Z80" s="255">
        <f>X80+7</f>
        <v>46209</v>
      </c>
      <c r="AA80" s="255">
        <v>46208</v>
      </c>
      <c r="AB80" s="256">
        <f>AA80-Z80</f>
        <v>-1</v>
      </c>
      <c r="AC80" s="10" t="s">
        <v>7137</v>
      </c>
      <c r="AD80" s="16"/>
      <c r="AE80" s="255"/>
      <c r="AF80" s="59"/>
      <c r="AG80" s="255"/>
      <c r="AH80" s="255"/>
      <c r="AI80" s="256"/>
      <c r="AJ80" s="10"/>
      <c r="AK80" s="16"/>
      <c r="AL80" s="255"/>
      <c r="AM80" s="59"/>
      <c r="AN80" s="255"/>
      <c r="AO80" s="255"/>
      <c r="AP80" s="256"/>
      <c r="AQ80" s="10"/>
      <c r="AR80" s="16"/>
      <c r="AS80" s="255"/>
      <c r="AT80" s="59"/>
      <c r="AU80" s="255"/>
      <c r="AV80" s="255"/>
      <c r="AW80" s="256"/>
      <c r="AX80" s="10"/>
      <c r="AY80" s="16"/>
      <c r="AZ80" s="255"/>
      <c r="BA80" s="59"/>
      <c r="BB80" s="255"/>
      <c r="BC80" s="255"/>
      <c r="BD80" s="256"/>
      <c r="BE80" s="10"/>
      <c r="BF80" s="259"/>
    </row>
    <row r="81" spans="1:58" s="381" customFormat="1" ht="45" customHeight="1" x14ac:dyDescent="0.25">
      <c r="A81" s="260" t="s">
        <v>3256</v>
      </c>
      <c r="B81" s="16" t="s">
        <v>5</v>
      </c>
      <c r="C81" s="59" t="s">
        <v>208</v>
      </c>
      <c r="D81" s="10" t="s">
        <v>4986</v>
      </c>
      <c r="E81" s="10" t="s">
        <v>4987</v>
      </c>
      <c r="F81" s="16" t="s">
        <v>4985</v>
      </c>
      <c r="G81" s="10" t="s">
        <v>30</v>
      </c>
      <c r="H81" s="10" t="s">
        <v>52</v>
      </c>
      <c r="I81" s="16" t="s">
        <v>18</v>
      </c>
      <c r="J81" s="255">
        <v>45980</v>
      </c>
      <c r="K81" s="59" t="s">
        <v>4998</v>
      </c>
      <c r="L81" s="255">
        <f t="shared" ref="L81:L87" si="15">J81+7</f>
        <v>45987</v>
      </c>
      <c r="M81" s="255">
        <v>45987</v>
      </c>
      <c r="N81" s="256">
        <f t="shared" ref="N81:N92" si="16">M81-L81</f>
        <v>0</v>
      </c>
      <c r="O81" s="10" t="s">
        <v>4993</v>
      </c>
      <c r="P81" s="16" t="s">
        <v>5</v>
      </c>
      <c r="Q81" s="255">
        <v>45990</v>
      </c>
      <c r="R81" s="59" t="s">
        <v>5069</v>
      </c>
      <c r="S81" s="255">
        <f t="shared" ref="S81:S88" si="17">Q81+7</f>
        <v>45997</v>
      </c>
      <c r="T81" s="255">
        <v>45995</v>
      </c>
      <c r="U81" s="256">
        <f t="shared" si="14"/>
        <v>-2</v>
      </c>
      <c r="V81" s="10" t="s">
        <v>5128</v>
      </c>
      <c r="W81" s="16"/>
      <c r="X81" s="255"/>
      <c r="Y81" s="59"/>
      <c r="Z81" s="255"/>
      <c r="AA81" s="255"/>
      <c r="AB81" s="256"/>
      <c r="AC81" s="10"/>
      <c r="AD81" s="16"/>
      <c r="AE81" s="255"/>
      <c r="AF81" s="59"/>
      <c r="AG81" s="255"/>
      <c r="AH81" s="255"/>
      <c r="AI81" s="256"/>
      <c r="AJ81" s="10"/>
      <c r="AK81" s="16"/>
      <c r="AL81" s="255"/>
      <c r="AM81" s="59"/>
      <c r="AN81" s="255"/>
      <c r="AO81" s="255"/>
      <c r="AP81" s="256"/>
      <c r="AQ81" s="10"/>
      <c r="AR81" s="16"/>
      <c r="AS81" s="255"/>
      <c r="AT81" s="59"/>
      <c r="AU81" s="255"/>
      <c r="AV81" s="255"/>
      <c r="AW81" s="256"/>
      <c r="AX81" s="10"/>
      <c r="AY81" s="16"/>
      <c r="AZ81" s="255"/>
      <c r="BA81" s="59"/>
      <c r="BB81" s="255"/>
      <c r="BC81" s="255"/>
      <c r="BD81" s="256"/>
      <c r="BE81" s="10"/>
      <c r="BF81" s="259"/>
    </row>
    <row r="82" spans="1:58" s="381" customFormat="1" ht="45" customHeight="1" x14ac:dyDescent="0.25">
      <c r="A82" s="260" t="s">
        <v>3256</v>
      </c>
      <c r="B82" s="16" t="s">
        <v>5</v>
      </c>
      <c r="C82" s="59" t="s">
        <v>588</v>
      </c>
      <c r="D82" s="10" t="s">
        <v>4996</v>
      </c>
      <c r="E82" s="10" t="s">
        <v>4997</v>
      </c>
      <c r="F82" s="16" t="s">
        <v>4995</v>
      </c>
      <c r="G82" s="10" t="s">
        <v>30</v>
      </c>
      <c r="H82" s="10" t="s">
        <v>52</v>
      </c>
      <c r="I82" s="16" t="s">
        <v>3</v>
      </c>
      <c r="J82" s="255">
        <v>45981</v>
      </c>
      <c r="K82" s="59" t="s">
        <v>4999</v>
      </c>
      <c r="L82" s="255">
        <f t="shared" si="15"/>
        <v>45988</v>
      </c>
      <c r="M82" s="255">
        <v>45998</v>
      </c>
      <c r="N82" s="256">
        <f t="shared" si="16"/>
        <v>10</v>
      </c>
      <c r="O82" s="10" t="s">
        <v>5152</v>
      </c>
      <c r="P82" s="16" t="s">
        <v>18</v>
      </c>
      <c r="Q82" s="255">
        <v>46000</v>
      </c>
      <c r="R82" s="59" t="s">
        <v>5170</v>
      </c>
      <c r="S82" s="255">
        <f t="shared" si="17"/>
        <v>46007</v>
      </c>
      <c r="T82" s="255">
        <v>46005</v>
      </c>
      <c r="U82" s="256">
        <f t="shared" si="14"/>
        <v>-2</v>
      </c>
      <c r="V82" s="10" t="s">
        <v>5177</v>
      </c>
      <c r="W82" s="16" t="s">
        <v>5</v>
      </c>
      <c r="X82" s="255">
        <v>46200</v>
      </c>
      <c r="Y82" s="59" t="s">
        <v>7105</v>
      </c>
      <c r="Z82" s="255">
        <f>X82+7</f>
        <v>46207</v>
      </c>
      <c r="AA82" s="255">
        <v>46208</v>
      </c>
      <c r="AB82" s="256">
        <f>AA82-Z82</f>
        <v>1</v>
      </c>
      <c r="AC82" s="10" t="s">
        <v>7121</v>
      </c>
      <c r="AD82" s="16"/>
      <c r="AE82" s="255"/>
      <c r="AF82" s="59"/>
      <c r="AG82" s="255"/>
      <c r="AH82" s="255"/>
      <c r="AI82" s="256"/>
      <c r="AJ82" s="10"/>
      <c r="AK82" s="16"/>
      <c r="AL82" s="255"/>
      <c r="AM82" s="59"/>
      <c r="AN82" s="255"/>
      <c r="AO82" s="255"/>
      <c r="AP82" s="256"/>
      <c r="AQ82" s="10"/>
      <c r="AR82" s="16"/>
      <c r="AS82" s="255"/>
      <c r="AT82" s="59"/>
      <c r="AU82" s="255"/>
      <c r="AV82" s="255"/>
      <c r="AW82" s="256"/>
      <c r="AX82" s="10"/>
      <c r="AY82" s="16"/>
      <c r="AZ82" s="255"/>
      <c r="BA82" s="59"/>
      <c r="BB82" s="255"/>
      <c r="BC82" s="255"/>
      <c r="BD82" s="256"/>
      <c r="BE82" s="10"/>
      <c r="BF82" s="259"/>
    </row>
    <row r="83" spans="1:58" s="381" customFormat="1" ht="45" customHeight="1" x14ac:dyDescent="0.25">
      <c r="A83" s="260" t="s">
        <v>3256</v>
      </c>
      <c r="B83" s="16" t="s">
        <v>5</v>
      </c>
      <c r="C83" s="59" t="s">
        <v>208</v>
      </c>
      <c r="D83" s="10" t="s">
        <v>5098</v>
      </c>
      <c r="E83" s="10" t="s">
        <v>5099</v>
      </c>
      <c r="F83" s="267" t="s">
        <v>5100</v>
      </c>
      <c r="G83" s="10" t="s">
        <v>30</v>
      </c>
      <c r="H83" s="10" t="s">
        <v>52</v>
      </c>
      <c r="I83" s="16" t="s">
        <v>18</v>
      </c>
      <c r="J83" s="255">
        <v>45993</v>
      </c>
      <c r="K83" s="267" t="s">
        <v>5101</v>
      </c>
      <c r="L83" s="255">
        <f t="shared" si="15"/>
        <v>46000</v>
      </c>
      <c r="M83" s="255">
        <v>46000</v>
      </c>
      <c r="N83" s="256">
        <f t="shared" si="16"/>
        <v>0</v>
      </c>
      <c r="O83" s="10" t="s">
        <v>5126</v>
      </c>
      <c r="P83" s="16" t="s">
        <v>5</v>
      </c>
      <c r="Q83" s="255">
        <v>46007</v>
      </c>
      <c r="R83" s="267" t="s">
        <v>5290</v>
      </c>
      <c r="S83" s="255">
        <f t="shared" si="17"/>
        <v>46014</v>
      </c>
      <c r="T83" s="255">
        <v>46008</v>
      </c>
      <c r="U83" s="256">
        <f t="shared" si="14"/>
        <v>-6</v>
      </c>
      <c r="V83" s="10" t="s">
        <v>5310</v>
      </c>
      <c r="W83" s="16"/>
      <c r="X83" s="255"/>
      <c r="Y83" s="267"/>
      <c r="Z83" s="255"/>
      <c r="AA83" s="255"/>
      <c r="AB83" s="256"/>
      <c r="AC83" s="10"/>
      <c r="AD83" s="16"/>
      <c r="AE83" s="255"/>
      <c r="AF83" s="267"/>
      <c r="AG83" s="255"/>
      <c r="AH83" s="255"/>
      <c r="AI83" s="256"/>
      <c r="AJ83" s="10"/>
      <c r="AK83" s="16"/>
      <c r="AL83" s="255"/>
      <c r="AM83" s="267"/>
      <c r="AN83" s="255"/>
      <c r="AO83" s="255"/>
      <c r="AP83" s="256"/>
      <c r="AQ83" s="10"/>
      <c r="AR83" s="16"/>
      <c r="AS83" s="255"/>
      <c r="AT83" s="267"/>
      <c r="AU83" s="255"/>
      <c r="AV83" s="255"/>
      <c r="AW83" s="256"/>
      <c r="AX83" s="10"/>
      <c r="AY83" s="16"/>
      <c r="AZ83" s="255"/>
      <c r="BA83" s="267"/>
      <c r="BB83" s="255"/>
      <c r="BC83" s="255"/>
      <c r="BD83" s="256"/>
      <c r="BE83" s="10"/>
      <c r="BF83" s="259"/>
    </row>
    <row r="84" spans="1:58" s="381" customFormat="1" ht="45" customHeight="1" x14ac:dyDescent="0.25">
      <c r="A84" s="260" t="s">
        <v>3256</v>
      </c>
      <c r="B84" s="16" t="s">
        <v>5</v>
      </c>
      <c r="C84" s="59" t="s">
        <v>725</v>
      </c>
      <c r="D84" s="10" t="s">
        <v>5119</v>
      </c>
      <c r="E84" s="10" t="s">
        <v>5120</v>
      </c>
      <c r="F84" s="16" t="s">
        <v>7179</v>
      </c>
      <c r="G84" s="10" t="s">
        <v>30</v>
      </c>
      <c r="H84" s="10" t="s">
        <v>52</v>
      </c>
      <c r="I84" s="16" t="s">
        <v>3</v>
      </c>
      <c r="J84" s="255">
        <v>45995</v>
      </c>
      <c r="K84" s="59" t="s">
        <v>5121</v>
      </c>
      <c r="L84" s="255">
        <f t="shared" si="15"/>
        <v>46002</v>
      </c>
      <c r="M84" s="255">
        <v>45998</v>
      </c>
      <c r="N84" s="256">
        <f t="shared" si="16"/>
        <v>-4</v>
      </c>
      <c r="O84" s="10" t="s">
        <v>5136</v>
      </c>
      <c r="P84" s="16" t="s">
        <v>3</v>
      </c>
      <c r="Q84" s="255">
        <v>45999</v>
      </c>
      <c r="R84" s="59" t="s">
        <v>5157</v>
      </c>
      <c r="S84" s="255">
        <f t="shared" si="17"/>
        <v>46006</v>
      </c>
      <c r="T84" s="255">
        <v>46004</v>
      </c>
      <c r="U84" s="256">
        <f t="shared" si="14"/>
        <v>-2</v>
      </c>
      <c r="V84" s="10" t="s">
        <v>5171</v>
      </c>
      <c r="W84" s="16" t="s">
        <v>18</v>
      </c>
      <c r="X84" s="255">
        <v>46022</v>
      </c>
      <c r="Y84" s="59" t="s">
        <v>5443</v>
      </c>
      <c r="Z84" s="255">
        <f>X84+7</f>
        <v>46029</v>
      </c>
      <c r="AA84" s="255">
        <v>46034</v>
      </c>
      <c r="AB84" s="256">
        <f>AA84-Z84</f>
        <v>5</v>
      </c>
      <c r="AC84" s="10" t="s">
        <v>5446</v>
      </c>
      <c r="AD84" s="16" t="s">
        <v>5</v>
      </c>
      <c r="AE84" s="255">
        <v>46205</v>
      </c>
      <c r="AF84" s="59" t="s">
        <v>7180</v>
      </c>
      <c r="AG84" s="255">
        <f>AE84+7</f>
        <v>46212</v>
      </c>
      <c r="AH84" s="255">
        <v>46212</v>
      </c>
      <c r="AI84" s="256">
        <f>AH84-AG84</f>
        <v>0</v>
      </c>
      <c r="AJ84" s="10" t="s">
        <v>7196</v>
      </c>
      <c r="AK84" s="16"/>
      <c r="AL84" s="255"/>
      <c r="AM84" s="59"/>
      <c r="AN84" s="255"/>
      <c r="AO84" s="255"/>
      <c r="AP84" s="256"/>
      <c r="AQ84" s="10"/>
      <c r="AR84" s="16"/>
      <c r="AS84" s="255"/>
      <c r="AT84" s="59"/>
      <c r="AU84" s="255"/>
      <c r="AV84" s="255"/>
      <c r="AW84" s="256"/>
      <c r="AX84" s="10"/>
      <c r="AY84" s="16"/>
      <c r="AZ84" s="255"/>
      <c r="BA84" s="59"/>
      <c r="BB84" s="255"/>
      <c r="BC84" s="255"/>
      <c r="BD84" s="256"/>
      <c r="BE84" s="10"/>
      <c r="BF84" s="259"/>
    </row>
    <row r="85" spans="1:58" s="381" customFormat="1" ht="45" customHeight="1" x14ac:dyDescent="0.25">
      <c r="A85" s="260" t="s">
        <v>3256</v>
      </c>
      <c r="B85" s="16" t="s">
        <v>5</v>
      </c>
      <c r="C85" s="59" t="s">
        <v>208</v>
      </c>
      <c r="D85" s="10" t="s">
        <v>5123</v>
      </c>
      <c r="E85" s="10" t="s">
        <v>5122</v>
      </c>
      <c r="F85" s="16" t="s">
        <v>482</v>
      </c>
      <c r="G85" s="10" t="s">
        <v>30</v>
      </c>
      <c r="H85" s="10" t="s">
        <v>52</v>
      </c>
      <c r="I85" s="16" t="s">
        <v>18</v>
      </c>
      <c r="J85" s="255">
        <v>45995</v>
      </c>
      <c r="K85" s="59" t="s">
        <v>5124</v>
      </c>
      <c r="L85" s="255">
        <f t="shared" si="15"/>
        <v>46002</v>
      </c>
      <c r="M85" s="255">
        <v>46000</v>
      </c>
      <c r="N85" s="256">
        <f t="shared" si="16"/>
        <v>-2</v>
      </c>
      <c r="O85" s="10" t="s">
        <v>5146</v>
      </c>
      <c r="P85" s="16" t="s">
        <v>5</v>
      </c>
      <c r="Q85" s="255">
        <v>46204</v>
      </c>
      <c r="R85" s="59" t="s">
        <v>7165</v>
      </c>
      <c r="S85" s="255">
        <f t="shared" si="17"/>
        <v>46211</v>
      </c>
      <c r="T85" s="255">
        <v>46212</v>
      </c>
      <c r="U85" s="256">
        <f t="shared" si="14"/>
        <v>1</v>
      </c>
      <c r="V85" s="10" t="s">
        <v>7184</v>
      </c>
      <c r="W85" s="16"/>
      <c r="X85" s="255"/>
      <c r="Y85" s="59"/>
      <c r="Z85" s="255"/>
      <c r="AA85" s="255"/>
      <c r="AB85" s="256"/>
      <c r="AC85" s="10"/>
      <c r="AD85" s="16"/>
      <c r="AE85" s="255"/>
      <c r="AF85" s="59"/>
      <c r="AG85" s="255"/>
      <c r="AH85" s="255"/>
      <c r="AI85" s="256"/>
      <c r="AJ85" s="10"/>
      <c r="AK85" s="16"/>
      <c r="AL85" s="255"/>
      <c r="AM85" s="59"/>
      <c r="AN85" s="255"/>
      <c r="AO85" s="255"/>
      <c r="AP85" s="256"/>
      <c r="AQ85" s="10"/>
      <c r="AR85" s="16"/>
      <c r="AS85" s="255"/>
      <c r="AT85" s="59"/>
      <c r="AU85" s="255"/>
      <c r="AV85" s="255"/>
      <c r="AW85" s="256"/>
      <c r="AX85" s="10"/>
      <c r="AY85" s="16"/>
      <c r="AZ85" s="255"/>
      <c r="BA85" s="59"/>
      <c r="BB85" s="255"/>
      <c r="BC85" s="255"/>
      <c r="BD85" s="256"/>
      <c r="BE85" s="10"/>
      <c r="BF85" s="259"/>
    </row>
    <row r="86" spans="1:58" s="381" customFormat="1" ht="45" customHeight="1" x14ac:dyDescent="0.25">
      <c r="A86" s="260" t="s">
        <v>3256</v>
      </c>
      <c r="B86" s="16" t="s">
        <v>5</v>
      </c>
      <c r="C86" s="59" t="s">
        <v>208</v>
      </c>
      <c r="D86" s="10" t="s">
        <v>5155</v>
      </c>
      <c r="E86" s="10" t="s">
        <v>5154</v>
      </c>
      <c r="F86" s="16" t="s">
        <v>5153</v>
      </c>
      <c r="G86" s="10" t="s">
        <v>30</v>
      </c>
      <c r="H86" s="10" t="s">
        <v>52</v>
      </c>
      <c r="I86" s="16" t="s">
        <v>3</v>
      </c>
      <c r="J86" s="255">
        <v>45998</v>
      </c>
      <c r="K86" s="59" t="s">
        <v>5156</v>
      </c>
      <c r="L86" s="255">
        <f t="shared" si="15"/>
        <v>46005</v>
      </c>
      <c r="M86" s="255">
        <v>46006</v>
      </c>
      <c r="N86" s="256">
        <f t="shared" si="16"/>
        <v>1</v>
      </c>
      <c r="O86" s="10" t="s">
        <v>5168</v>
      </c>
      <c r="P86" s="16" t="s">
        <v>5</v>
      </c>
      <c r="Q86" s="255">
        <v>46015</v>
      </c>
      <c r="R86" s="59" t="s">
        <v>5381</v>
      </c>
      <c r="S86" s="255">
        <f t="shared" si="17"/>
        <v>46022</v>
      </c>
      <c r="T86" s="255">
        <v>46018</v>
      </c>
      <c r="U86" s="256">
        <f t="shared" si="14"/>
        <v>-4</v>
      </c>
      <c r="V86" s="10" t="s">
        <v>5384</v>
      </c>
      <c r="W86" s="16"/>
      <c r="X86" s="255"/>
      <c r="Y86" s="59"/>
      <c r="Z86" s="255"/>
      <c r="AA86" s="255"/>
      <c r="AB86" s="256"/>
      <c r="AC86" s="10"/>
      <c r="AD86" s="16"/>
      <c r="AE86" s="255"/>
      <c r="AF86" s="59"/>
      <c r="AG86" s="255"/>
      <c r="AH86" s="255"/>
      <c r="AI86" s="256"/>
      <c r="AJ86" s="10"/>
      <c r="AK86" s="16"/>
      <c r="AL86" s="255"/>
      <c r="AM86" s="59"/>
      <c r="AN86" s="255"/>
      <c r="AO86" s="255"/>
      <c r="AP86" s="256"/>
      <c r="AQ86" s="10"/>
      <c r="AR86" s="16"/>
      <c r="AS86" s="255"/>
      <c r="AT86" s="59"/>
      <c r="AU86" s="255"/>
      <c r="AV86" s="255"/>
      <c r="AW86" s="256"/>
      <c r="AX86" s="10"/>
      <c r="AY86" s="16"/>
      <c r="AZ86" s="255"/>
      <c r="BA86" s="59"/>
      <c r="BB86" s="255"/>
      <c r="BC86" s="255"/>
      <c r="BD86" s="256"/>
      <c r="BE86" s="10"/>
      <c r="BF86" s="259"/>
    </row>
    <row r="87" spans="1:58" s="381" customFormat="1" ht="45" customHeight="1" x14ac:dyDescent="0.25">
      <c r="A87" s="260" t="s">
        <v>3256</v>
      </c>
      <c r="B87" s="16" t="s">
        <v>5</v>
      </c>
      <c r="C87" s="59" t="s">
        <v>208</v>
      </c>
      <c r="D87" s="10" t="s">
        <v>6075</v>
      </c>
      <c r="E87" s="10" t="s">
        <v>6076</v>
      </c>
      <c r="F87" s="16" t="s">
        <v>6074</v>
      </c>
      <c r="G87" s="10" t="s">
        <v>30</v>
      </c>
      <c r="H87" s="10" t="s">
        <v>52</v>
      </c>
      <c r="I87" s="16" t="s">
        <v>18</v>
      </c>
      <c r="J87" s="255">
        <v>46096</v>
      </c>
      <c r="K87" s="59" t="s">
        <v>6077</v>
      </c>
      <c r="L87" s="255">
        <f t="shared" si="15"/>
        <v>46103</v>
      </c>
      <c r="M87" s="255">
        <v>46097</v>
      </c>
      <c r="N87" s="256">
        <f t="shared" si="16"/>
        <v>-6</v>
      </c>
      <c r="O87" s="10" t="s">
        <v>6086</v>
      </c>
      <c r="P87" s="16" t="s">
        <v>5</v>
      </c>
      <c r="Q87" s="255">
        <v>46194</v>
      </c>
      <c r="R87" s="59" t="s">
        <v>7052</v>
      </c>
      <c r="S87" s="255">
        <f t="shared" si="17"/>
        <v>46201</v>
      </c>
      <c r="T87" s="255">
        <v>46198</v>
      </c>
      <c r="U87" s="256">
        <f t="shared" si="14"/>
        <v>-3</v>
      </c>
      <c r="V87" s="10" t="s">
        <v>7056</v>
      </c>
      <c r="W87" s="16"/>
      <c r="X87" s="255"/>
      <c r="Y87" s="59"/>
      <c r="Z87" s="255"/>
      <c r="AA87" s="255"/>
      <c r="AB87" s="256"/>
      <c r="AC87" s="10"/>
      <c r="AD87" s="16"/>
      <c r="AE87" s="255"/>
      <c r="AF87" s="59"/>
      <c r="AG87" s="255"/>
      <c r="AH87" s="255"/>
      <c r="AI87" s="256"/>
      <c r="AJ87" s="10"/>
      <c r="AK87" s="16"/>
      <c r="AL87" s="255"/>
      <c r="AM87" s="59"/>
      <c r="AN87" s="255"/>
      <c r="AO87" s="255"/>
      <c r="AP87" s="256"/>
      <c r="AQ87" s="10"/>
      <c r="AR87" s="16"/>
      <c r="AS87" s="255"/>
      <c r="AT87" s="59"/>
      <c r="AU87" s="255"/>
      <c r="AV87" s="255"/>
      <c r="AW87" s="256"/>
      <c r="AX87" s="10"/>
      <c r="AY87" s="16"/>
      <c r="AZ87" s="255"/>
      <c r="BA87" s="59"/>
      <c r="BB87" s="255"/>
      <c r="BC87" s="255"/>
      <c r="BD87" s="256"/>
      <c r="BE87" s="10"/>
      <c r="BF87" s="259"/>
    </row>
    <row r="88" spans="1:58" s="381" customFormat="1" ht="45" customHeight="1" x14ac:dyDescent="0.25">
      <c r="A88" s="260" t="s">
        <v>3256</v>
      </c>
      <c r="B88" s="16" t="s">
        <v>5</v>
      </c>
      <c r="C88" s="60" t="s">
        <v>588</v>
      </c>
      <c r="D88" s="10" t="s">
        <v>6092</v>
      </c>
      <c r="E88" s="10" t="s">
        <v>6093</v>
      </c>
      <c r="F88" s="16" t="s">
        <v>6095</v>
      </c>
      <c r="G88" s="10" t="s">
        <v>30</v>
      </c>
      <c r="H88" s="10" t="s">
        <v>52</v>
      </c>
      <c r="I88" s="16" t="s">
        <v>3</v>
      </c>
      <c r="J88" s="255">
        <v>46098</v>
      </c>
      <c r="K88" s="59" t="s">
        <v>6094</v>
      </c>
      <c r="L88" s="255">
        <f t="shared" ref="L88:L101" si="18">J88+7</f>
        <v>46105</v>
      </c>
      <c r="M88" s="255">
        <v>46112</v>
      </c>
      <c r="N88" s="256">
        <f t="shared" si="16"/>
        <v>7</v>
      </c>
      <c r="O88" s="10" t="s">
        <v>6100</v>
      </c>
      <c r="P88" s="16" t="s">
        <v>3</v>
      </c>
      <c r="Q88" s="255">
        <v>46134</v>
      </c>
      <c r="R88" s="59" t="s">
        <v>6484</v>
      </c>
      <c r="S88" s="255">
        <f t="shared" si="17"/>
        <v>46141</v>
      </c>
      <c r="T88" s="255">
        <v>46138</v>
      </c>
      <c r="U88" s="256">
        <f t="shared" si="14"/>
        <v>-3</v>
      </c>
      <c r="V88" s="10" t="s">
        <v>6500</v>
      </c>
      <c r="W88" s="16" t="s">
        <v>5</v>
      </c>
      <c r="X88" s="255">
        <v>46139</v>
      </c>
      <c r="Y88" s="59" t="s">
        <v>6550</v>
      </c>
      <c r="Z88" s="255">
        <f>X88+7</f>
        <v>46146</v>
      </c>
      <c r="AA88" s="255">
        <v>46142</v>
      </c>
      <c r="AB88" s="256">
        <f>AA88-Z88</f>
        <v>-4</v>
      </c>
      <c r="AC88" s="10" t="s">
        <v>6558</v>
      </c>
      <c r="AD88" s="16"/>
      <c r="AE88" s="255"/>
      <c r="AF88" s="59"/>
      <c r="AG88" s="255"/>
      <c r="AH88" s="255"/>
      <c r="AI88" s="256"/>
      <c r="AJ88" s="10"/>
      <c r="AK88" s="16"/>
      <c r="AL88" s="255"/>
      <c r="AM88" s="59"/>
      <c r="AN88" s="255"/>
      <c r="AO88" s="255"/>
      <c r="AP88" s="256"/>
      <c r="AQ88" s="10"/>
      <c r="AR88" s="16"/>
      <c r="AS88" s="255"/>
      <c r="AT88" s="59"/>
      <c r="AU88" s="255"/>
      <c r="AV88" s="255"/>
      <c r="AW88" s="256"/>
      <c r="AX88" s="10"/>
      <c r="AY88" s="16"/>
      <c r="AZ88" s="255"/>
      <c r="BA88" s="59"/>
      <c r="BB88" s="255"/>
      <c r="BC88" s="255"/>
      <c r="BD88" s="256"/>
      <c r="BE88" s="10"/>
      <c r="BF88" s="259"/>
    </row>
    <row r="89" spans="1:58" s="381" customFormat="1" ht="45" customHeight="1" x14ac:dyDescent="0.25">
      <c r="A89" s="260" t="s">
        <v>3256</v>
      </c>
      <c r="B89" s="88" t="s">
        <v>508</v>
      </c>
      <c r="C89" s="59" t="s">
        <v>627</v>
      </c>
      <c r="D89" s="10" t="s">
        <v>6173</v>
      </c>
      <c r="E89" s="10" t="s">
        <v>6174</v>
      </c>
      <c r="F89" s="16" t="s">
        <v>6175</v>
      </c>
      <c r="G89" s="10" t="s">
        <v>30</v>
      </c>
      <c r="H89" s="10" t="s">
        <v>52</v>
      </c>
      <c r="I89" s="16" t="s">
        <v>18</v>
      </c>
      <c r="J89" s="255">
        <v>46110</v>
      </c>
      <c r="K89" s="59" t="s">
        <v>6185</v>
      </c>
      <c r="L89" s="255">
        <f t="shared" si="18"/>
        <v>46117</v>
      </c>
      <c r="M89" s="255">
        <v>46111</v>
      </c>
      <c r="N89" s="256">
        <f t="shared" si="16"/>
        <v>-6</v>
      </c>
      <c r="O89" s="10" t="s">
        <v>6183</v>
      </c>
      <c r="P89" s="9" t="s">
        <v>508</v>
      </c>
      <c r="Q89" s="255">
        <v>46118</v>
      </c>
      <c r="R89" s="59" t="s">
        <v>6267</v>
      </c>
      <c r="S89" s="255" t="s">
        <v>626</v>
      </c>
      <c r="T89" s="255" t="s">
        <v>626</v>
      </c>
      <c r="U89" s="256" t="s">
        <v>626</v>
      </c>
      <c r="V89" s="10" t="s">
        <v>626</v>
      </c>
      <c r="W89" s="16"/>
      <c r="X89" s="255"/>
      <c r="Y89" s="59"/>
      <c r="Z89" s="59"/>
      <c r="AA89" s="255"/>
      <c r="AB89" s="255"/>
      <c r="AC89" s="10"/>
      <c r="AD89" s="16"/>
      <c r="AE89" s="255"/>
      <c r="AF89" s="59"/>
      <c r="AG89" s="59"/>
      <c r="AH89" s="255"/>
      <c r="AI89" s="255"/>
      <c r="AJ89" s="10"/>
      <c r="AK89" s="16"/>
      <c r="AL89" s="255"/>
      <c r="AM89" s="59"/>
      <c r="AN89" s="59"/>
      <c r="AO89" s="255"/>
      <c r="AP89" s="255"/>
      <c r="AQ89" s="10"/>
      <c r="AR89" s="16"/>
      <c r="AS89" s="255"/>
      <c r="AT89" s="59"/>
      <c r="AU89" s="59"/>
      <c r="AV89" s="255"/>
      <c r="AW89" s="255"/>
      <c r="AX89" s="10"/>
      <c r="AY89" s="16"/>
      <c r="AZ89" s="255"/>
      <c r="BA89" s="59"/>
      <c r="BB89" s="59"/>
      <c r="BC89" s="255"/>
      <c r="BD89" s="255"/>
      <c r="BE89" s="10"/>
      <c r="BF89" s="259"/>
    </row>
    <row r="90" spans="1:58" s="381" customFormat="1" ht="45" customHeight="1" x14ac:dyDescent="0.25">
      <c r="A90" s="260" t="s">
        <v>3256</v>
      </c>
      <c r="B90" s="16" t="s">
        <v>5</v>
      </c>
      <c r="C90" s="60" t="s">
        <v>54</v>
      </c>
      <c r="D90" s="10" t="s">
        <v>6257</v>
      </c>
      <c r="E90" s="10" t="s">
        <v>6258</v>
      </c>
      <c r="F90" s="16" t="s">
        <v>6259</v>
      </c>
      <c r="G90" s="10" t="s">
        <v>30</v>
      </c>
      <c r="H90" s="10" t="s">
        <v>52</v>
      </c>
      <c r="I90" s="16" t="s">
        <v>5</v>
      </c>
      <c r="J90" s="255">
        <v>46124</v>
      </c>
      <c r="K90" s="59" t="s">
        <v>6334</v>
      </c>
      <c r="L90" s="255">
        <f t="shared" si="18"/>
        <v>46131</v>
      </c>
      <c r="M90" s="255">
        <v>46125</v>
      </c>
      <c r="N90" s="256">
        <f t="shared" si="16"/>
        <v>-6</v>
      </c>
      <c r="O90" s="10" t="s">
        <v>6344</v>
      </c>
      <c r="P90" s="16"/>
      <c r="Q90" s="255"/>
      <c r="R90" s="59"/>
      <c r="S90" s="59"/>
      <c r="T90" s="255"/>
      <c r="U90" s="255"/>
      <c r="V90" s="10"/>
      <c r="W90" s="16"/>
      <c r="X90" s="255"/>
      <c r="Y90" s="59"/>
      <c r="Z90" s="59"/>
      <c r="AA90" s="255"/>
      <c r="AB90" s="255"/>
      <c r="AC90" s="10"/>
      <c r="AD90" s="16"/>
      <c r="AE90" s="255"/>
      <c r="AF90" s="59"/>
      <c r="AG90" s="59"/>
      <c r="AH90" s="255"/>
      <c r="AI90" s="255"/>
      <c r="AJ90" s="10"/>
      <c r="AK90" s="16"/>
      <c r="AL90" s="255"/>
      <c r="AM90" s="59"/>
      <c r="AN90" s="59"/>
      <c r="AO90" s="255"/>
      <c r="AP90" s="255"/>
      <c r="AQ90" s="10"/>
      <c r="AR90" s="16"/>
      <c r="AS90" s="255"/>
      <c r="AT90" s="59"/>
      <c r="AU90" s="59"/>
      <c r="AV90" s="255"/>
      <c r="AW90" s="255"/>
      <c r="AX90" s="10"/>
      <c r="AY90" s="16"/>
      <c r="AZ90" s="255"/>
      <c r="BA90" s="59"/>
      <c r="BB90" s="59"/>
      <c r="BC90" s="255"/>
      <c r="BD90" s="255"/>
      <c r="BE90" s="10"/>
      <c r="BF90" s="259"/>
    </row>
    <row r="91" spans="1:58" s="381" customFormat="1" ht="45" customHeight="1" x14ac:dyDescent="0.25">
      <c r="A91" s="260" t="s">
        <v>3256</v>
      </c>
      <c r="B91" s="88" t="s">
        <v>508</v>
      </c>
      <c r="C91" s="59" t="s">
        <v>627</v>
      </c>
      <c r="D91" s="10" t="s">
        <v>6335</v>
      </c>
      <c r="E91" s="10" t="s">
        <v>6336</v>
      </c>
      <c r="F91" s="16" t="s">
        <v>6372</v>
      </c>
      <c r="G91" s="10" t="s">
        <v>30</v>
      </c>
      <c r="H91" s="10" t="s">
        <v>52</v>
      </c>
      <c r="I91" s="16" t="s">
        <v>3</v>
      </c>
      <c r="J91" s="255">
        <v>46126</v>
      </c>
      <c r="K91" s="59" t="s">
        <v>6373</v>
      </c>
      <c r="L91" s="255">
        <f t="shared" si="18"/>
        <v>46133</v>
      </c>
      <c r="M91" s="255">
        <v>46134</v>
      </c>
      <c r="N91" s="256">
        <f t="shared" si="16"/>
        <v>1</v>
      </c>
      <c r="O91" s="10" t="s">
        <v>6375</v>
      </c>
      <c r="P91" s="9" t="s">
        <v>508</v>
      </c>
      <c r="Q91" s="255">
        <v>46196</v>
      </c>
      <c r="R91" s="59" t="s">
        <v>7068</v>
      </c>
      <c r="S91" s="255" t="s">
        <v>626</v>
      </c>
      <c r="T91" s="255" t="s">
        <v>626</v>
      </c>
      <c r="U91" s="256" t="s">
        <v>626</v>
      </c>
      <c r="V91" s="10" t="s">
        <v>626</v>
      </c>
      <c r="W91" s="16"/>
      <c r="X91" s="255"/>
      <c r="Y91" s="59"/>
      <c r="Z91" s="59"/>
      <c r="AA91" s="255"/>
      <c r="AB91" s="255"/>
      <c r="AC91" s="10"/>
      <c r="AD91" s="16"/>
      <c r="AE91" s="255"/>
      <c r="AF91" s="59"/>
      <c r="AG91" s="59"/>
      <c r="AH91" s="255"/>
      <c r="AI91" s="255"/>
      <c r="AJ91" s="10"/>
      <c r="AK91" s="16"/>
      <c r="AL91" s="255"/>
      <c r="AM91" s="59"/>
      <c r="AN91" s="59"/>
      <c r="AO91" s="255"/>
      <c r="AP91" s="255"/>
      <c r="AQ91" s="10"/>
      <c r="AR91" s="16"/>
      <c r="AS91" s="255"/>
      <c r="AT91" s="59"/>
      <c r="AU91" s="59"/>
      <c r="AV91" s="255"/>
      <c r="AW91" s="255"/>
      <c r="AX91" s="10"/>
      <c r="AY91" s="16"/>
      <c r="AZ91" s="255"/>
      <c r="BA91" s="59"/>
      <c r="BB91" s="59"/>
      <c r="BC91" s="255"/>
      <c r="BD91" s="255"/>
      <c r="BE91" s="10"/>
      <c r="BF91" s="259"/>
    </row>
    <row r="92" spans="1:58" s="381" customFormat="1" ht="43.5" customHeight="1" x14ac:dyDescent="0.25">
      <c r="A92" s="260" t="s">
        <v>3256</v>
      </c>
      <c r="B92" s="88" t="s">
        <v>508</v>
      </c>
      <c r="C92" s="59" t="s">
        <v>627</v>
      </c>
      <c r="D92" s="10" t="s">
        <v>6399</v>
      </c>
      <c r="E92" s="10" t="s">
        <v>6400</v>
      </c>
      <c r="F92" s="16" t="s">
        <v>6401</v>
      </c>
      <c r="G92" s="10" t="s">
        <v>30</v>
      </c>
      <c r="H92" s="10" t="s">
        <v>52</v>
      </c>
      <c r="I92" s="16" t="s">
        <v>3</v>
      </c>
      <c r="J92" s="255">
        <v>46128</v>
      </c>
      <c r="K92" s="59" t="s">
        <v>6402</v>
      </c>
      <c r="L92" s="255">
        <f t="shared" si="18"/>
        <v>46135</v>
      </c>
      <c r="M92" s="255">
        <v>46134</v>
      </c>
      <c r="N92" s="256">
        <f t="shared" si="16"/>
        <v>-1</v>
      </c>
      <c r="O92" s="10" t="s">
        <v>6432</v>
      </c>
      <c r="P92" s="9" t="s">
        <v>508</v>
      </c>
      <c r="Q92" s="255">
        <v>46196</v>
      </c>
      <c r="R92" s="59" t="s">
        <v>7068</v>
      </c>
      <c r="S92" s="255" t="s">
        <v>626</v>
      </c>
      <c r="T92" s="255" t="s">
        <v>626</v>
      </c>
      <c r="U92" s="256" t="s">
        <v>626</v>
      </c>
      <c r="V92" s="10" t="s">
        <v>626</v>
      </c>
      <c r="W92" s="16"/>
      <c r="X92" s="255"/>
      <c r="Y92" s="59"/>
      <c r="Z92" s="59"/>
      <c r="AA92" s="255"/>
      <c r="AB92" s="255"/>
      <c r="AC92" s="10"/>
      <c r="AD92" s="16"/>
      <c r="AE92" s="255"/>
      <c r="AF92" s="59"/>
      <c r="AG92" s="59"/>
      <c r="AH92" s="255"/>
      <c r="AI92" s="255"/>
      <c r="AJ92" s="10"/>
      <c r="AK92" s="16"/>
      <c r="AL92" s="255"/>
      <c r="AM92" s="59"/>
      <c r="AN92" s="59"/>
      <c r="AO92" s="255"/>
      <c r="AP92" s="255"/>
      <c r="AQ92" s="10"/>
      <c r="AR92" s="16"/>
      <c r="AS92" s="255"/>
      <c r="AT92" s="59"/>
      <c r="AU92" s="59"/>
      <c r="AV92" s="255"/>
      <c r="AW92" s="255"/>
      <c r="AX92" s="10"/>
      <c r="AY92" s="16"/>
      <c r="AZ92" s="255"/>
      <c r="BA92" s="59"/>
      <c r="BB92" s="59"/>
      <c r="BC92" s="255"/>
      <c r="BD92" s="255"/>
      <c r="BE92" s="10"/>
      <c r="BF92" s="259"/>
    </row>
    <row r="93" spans="1:58" s="381" customFormat="1" ht="43.5" customHeight="1" x14ac:dyDescent="0.25">
      <c r="A93" s="260" t="s">
        <v>3256</v>
      </c>
      <c r="B93" s="16" t="s">
        <v>18</v>
      </c>
      <c r="C93" s="60" t="s">
        <v>54</v>
      </c>
      <c r="D93" s="10" t="s">
        <v>6695</v>
      </c>
      <c r="E93" s="10" t="s">
        <v>6696</v>
      </c>
      <c r="F93" s="16" t="s">
        <v>6697</v>
      </c>
      <c r="G93" s="10" t="s">
        <v>30</v>
      </c>
      <c r="H93" s="10" t="s">
        <v>52</v>
      </c>
      <c r="I93" s="16" t="s">
        <v>18</v>
      </c>
      <c r="J93" s="255">
        <v>46149</v>
      </c>
      <c r="K93" s="59" t="s">
        <v>6698</v>
      </c>
      <c r="L93" s="255">
        <f t="shared" si="18"/>
        <v>46156</v>
      </c>
      <c r="M93" s="255">
        <v>46160</v>
      </c>
      <c r="N93" s="256">
        <f t="shared" ref="N93:N101" si="19">M93-L93</f>
        <v>4</v>
      </c>
      <c r="O93" s="10" t="s">
        <v>6700</v>
      </c>
      <c r="P93" s="16"/>
      <c r="Q93" s="255"/>
      <c r="R93" s="59"/>
      <c r="S93" s="59"/>
      <c r="T93" s="255"/>
      <c r="U93" s="255"/>
      <c r="V93" s="10"/>
      <c r="W93" s="16"/>
      <c r="X93" s="255"/>
      <c r="Y93" s="59"/>
      <c r="Z93" s="59"/>
      <c r="AA93" s="255"/>
      <c r="AB93" s="255"/>
      <c r="AC93" s="10"/>
      <c r="AD93" s="16"/>
      <c r="AE93" s="255"/>
      <c r="AF93" s="59"/>
      <c r="AG93" s="59"/>
      <c r="AH93" s="255"/>
      <c r="AI93" s="255"/>
      <c r="AJ93" s="10"/>
      <c r="AK93" s="16"/>
      <c r="AL93" s="255"/>
      <c r="AM93" s="59"/>
      <c r="AN93" s="59"/>
      <c r="AO93" s="255"/>
      <c r="AP93" s="255"/>
      <c r="AQ93" s="10"/>
      <c r="AR93" s="16"/>
      <c r="AS93" s="255"/>
      <c r="AT93" s="59"/>
      <c r="AU93" s="59"/>
      <c r="AV93" s="255"/>
      <c r="AW93" s="255"/>
      <c r="AX93" s="10"/>
      <c r="AY93" s="16"/>
      <c r="AZ93" s="255"/>
      <c r="BA93" s="59"/>
      <c r="BB93" s="59"/>
      <c r="BC93" s="255"/>
      <c r="BD93" s="255"/>
      <c r="BE93" s="10"/>
      <c r="BF93" s="259"/>
    </row>
    <row r="94" spans="1:58" s="381" customFormat="1" ht="45" customHeight="1" x14ac:dyDescent="0.25">
      <c r="A94" s="260" t="s">
        <v>3256</v>
      </c>
      <c r="B94" s="16" t="s">
        <v>5</v>
      </c>
      <c r="C94" s="60" t="s">
        <v>208</v>
      </c>
      <c r="D94" s="10" t="s">
        <v>6833</v>
      </c>
      <c r="E94" s="10" t="s">
        <v>6834</v>
      </c>
      <c r="F94" s="16" t="s">
        <v>6859</v>
      </c>
      <c r="G94" s="10" t="s">
        <v>30</v>
      </c>
      <c r="H94" s="10" t="s">
        <v>52</v>
      </c>
      <c r="I94" s="16" t="s">
        <v>18</v>
      </c>
      <c r="J94" s="255">
        <v>46159</v>
      </c>
      <c r="K94" s="59" t="s">
        <v>6835</v>
      </c>
      <c r="L94" s="255">
        <f t="shared" si="18"/>
        <v>46166</v>
      </c>
      <c r="M94" s="255">
        <v>46173</v>
      </c>
      <c r="N94" s="256">
        <f t="shared" si="19"/>
        <v>7</v>
      </c>
      <c r="O94" s="10" t="s">
        <v>6846</v>
      </c>
      <c r="P94" s="16" t="s">
        <v>5</v>
      </c>
      <c r="Q94" s="255">
        <v>46201</v>
      </c>
      <c r="R94" s="59" t="s">
        <v>7114</v>
      </c>
      <c r="S94" s="255">
        <f>Q94+7</f>
        <v>46208</v>
      </c>
      <c r="T94" s="255">
        <v>46208</v>
      </c>
      <c r="U94" s="256">
        <f>T94-S94</f>
        <v>0</v>
      </c>
      <c r="V94" s="10" t="s">
        <v>7122</v>
      </c>
      <c r="W94" s="16"/>
      <c r="X94" s="255"/>
      <c r="Y94" s="59"/>
      <c r="Z94" s="59"/>
      <c r="AA94" s="255"/>
      <c r="AB94" s="255"/>
      <c r="AC94" s="10"/>
      <c r="AD94" s="16"/>
      <c r="AE94" s="255"/>
      <c r="AF94" s="59"/>
      <c r="AG94" s="59"/>
      <c r="AH94" s="255"/>
      <c r="AI94" s="255"/>
      <c r="AJ94" s="10"/>
      <c r="AK94" s="16"/>
      <c r="AL94" s="255"/>
      <c r="AM94" s="59"/>
      <c r="AN94" s="59"/>
      <c r="AO94" s="255"/>
      <c r="AP94" s="255"/>
      <c r="AQ94" s="10"/>
      <c r="AR94" s="16"/>
      <c r="AS94" s="255"/>
      <c r="AT94" s="59"/>
      <c r="AU94" s="59"/>
      <c r="AV94" s="255"/>
      <c r="AW94" s="255"/>
      <c r="AX94" s="10"/>
      <c r="AY94" s="16"/>
      <c r="AZ94" s="255"/>
      <c r="BA94" s="59"/>
      <c r="BB94" s="59"/>
      <c r="BC94" s="255"/>
      <c r="BD94" s="255"/>
      <c r="BE94" s="10"/>
      <c r="BF94" s="259"/>
    </row>
    <row r="95" spans="1:58" s="381" customFormat="1" ht="45" customHeight="1" x14ac:dyDescent="0.25">
      <c r="A95" s="260" t="s">
        <v>3256</v>
      </c>
      <c r="B95" s="16" t="s">
        <v>14</v>
      </c>
      <c r="C95" s="60" t="s">
        <v>208</v>
      </c>
      <c r="D95" s="10" t="s">
        <v>6856</v>
      </c>
      <c r="E95" s="10" t="s">
        <v>6857</v>
      </c>
      <c r="F95" s="16" t="s">
        <v>6858</v>
      </c>
      <c r="G95" s="10" t="s">
        <v>30</v>
      </c>
      <c r="H95" s="10" t="s">
        <v>52</v>
      </c>
      <c r="I95" s="16" t="s">
        <v>14</v>
      </c>
      <c r="J95" s="255">
        <v>46160</v>
      </c>
      <c r="K95" s="59" t="s">
        <v>6860</v>
      </c>
      <c r="L95" s="255">
        <f t="shared" si="18"/>
        <v>46167</v>
      </c>
      <c r="M95" s="255">
        <v>46173</v>
      </c>
      <c r="N95" s="256">
        <f t="shared" si="19"/>
        <v>6</v>
      </c>
      <c r="O95" s="10" t="s">
        <v>6864</v>
      </c>
      <c r="P95" s="16" t="s">
        <v>14</v>
      </c>
      <c r="Q95" s="255">
        <v>46197</v>
      </c>
      <c r="R95" s="59" t="s">
        <v>7085</v>
      </c>
      <c r="S95" s="255">
        <f>Q95+7</f>
        <v>46204</v>
      </c>
      <c r="T95" s="255">
        <v>46204</v>
      </c>
      <c r="U95" s="256">
        <f>T95-S95</f>
        <v>0</v>
      </c>
      <c r="V95" s="10" t="s">
        <v>7088</v>
      </c>
      <c r="W95" s="16"/>
      <c r="X95" s="255"/>
      <c r="Y95" s="59"/>
      <c r="Z95" s="59"/>
      <c r="AA95" s="255"/>
      <c r="AB95" s="255"/>
      <c r="AC95" s="10"/>
      <c r="AD95" s="16"/>
      <c r="AE95" s="255"/>
      <c r="AF95" s="59"/>
      <c r="AG95" s="59"/>
      <c r="AH95" s="255"/>
      <c r="AI95" s="255"/>
      <c r="AJ95" s="10"/>
      <c r="AK95" s="16"/>
      <c r="AL95" s="255"/>
      <c r="AM95" s="59"/>
      <c r="AN95" s="59"/>
      <c r="AO95" s="255"/>
      <c r="AP95" s="255"/>
      <c r="AQ95" s="10"/>
      <c r="AR95" s="16"/>
      <c r="AS95" s="255"/>
      <c r="AT95" s="59"/>
      <c r="AU95" s="59"/>
      <c r="AV95" s="255"/>
      <c r="AW95" s="255"/>
      <c r="AX95" s="10"/>
      <c r="AY95" s="16"/>
      <c r="AZ95" s="255"/>
      <c r="BA95" s="59"/>
      <c r="BB95" s="59"/>
      <c r="BC95" s="255"/>
      <c r="BD95" s="255"/>
      <c r="BE95" s="10"/>
      <c r="BF95" s="259"/>
    </row>
    <row r="96" spans="1:58" s="381" customFormat="1" ht="45" customHeight="1" x14ac:dyDescent="0.25">
      <c r="A96" s="260" t="s">
        <v>3256</v>
      </c>
      <c r="B96" s="16" t="s">
        <v>18</v>
      </c>
      <c r="C96" s="60" t="s">
        <v>54</v>
      </c>
      <c r="D96" s="10" t="s">
        <v>6882</v>
      </c>
      <c r="E96" s="10" t="s">
        <v>6883</v>
      </c>
      <c r="F96" s="16" t="s">
        <v>6885</v>
      </c>
      <c r="G96" s="10" t="s">
        <v>30</v>
      </c>
      <c r="H96" s="10" t="s">
        <v>52</v>
      </c>
      <c r="I96" s="16" t="s">
        <v>18</v>
      </c>
      <c r="J96" s="255">
        <v>46163</v>
      </c>
      <c r="K96" s="59" t="s">
        <v>6884</v>
      </c>
      <c r="L96" s="255">
        <f t="shared" si="18"/>
        <v>46170</v>
      </c>
      <c r="M96" s="255">
        <v>46174</v>
      </c>
      <c r="N96" s="256">
        <f t="shared" si="19"/>
        <v>4</v>
      </c>
      <c r="O96" s="10" t="s">
        <v>6893</v>
      </c>
      <c r="P96" s="16"/>
      <c r="Q96" s="255"/>
      <c r="R96" s="59"/>
      <c r="S96" s="59"/>
      <c r="T96" s="255"/>
      <c r="U96" s="255"/>
      <c r="V96" s="10"/>
      <c r="W96" s="16"/>
      <c r="X96" s="255"/>
      <c r="Y96" s="59"/>
      <c r="Z96" s="59"/>
      <c r="AA96" s="255"/>
      <c r="AB96" s="255"/>
      <c r="AC96" s="10"/>
      <c r="AD96" s="16"/>
      <c r="AE96" s="255"/>
      <c r="AF96" s="59"/>
      <c r="AG96" s="59"/>
      <c r="AH96" s="255"/>
      <c r="AI96" s="255"/>
      <c r="AJ96" s="10"/>
      <c r="AK96" s="16"/>
      <c r="AL96" s="255"/>
      <c r="AM96" s="59"/>
      <c r="AN96" s="59"/>
      <c r="AO96" s="255"/>
      <c r="AP96" s="255"/>
      <c r="AQ96" s="10"/>
      <c r="AR96" s="16"/>
      <c r="AS96" s="255"/>
      <c r="AT96" s="59"/>
      <c r="AU96" s="59"/>
      <c r="AV96" s="255"/>
      <c r="AW96" s="255"/>
      <c r="AX96" s="10"/>
      <c r="AY96" s="16"/>
      <c r="AZ96" s="255"/>
      <c r="BA96" s="59"/>
      <c r="BB96" s="59"/>
      <c r="BC96" s="255"/>
      <c r="BD96" s="255"/>
      <c r="BE96" s="10"/>
      <c r="BF96" s="259"/>
    </row>
    <row r="97" spans="1:58" s="381" customFormat="1" ht="45" customHeight="1" x14ac:dyDescent="0.25">
      <c r="A97" s="260" t="s">
        <v>3256</v>
      </c>
      <c r="B97" s="16" t="s">
        <v>5</v>
      </c>
      <c r="C97" s="60" t="s">
        <v>208</v>
      </c>
      <c r="D97" s="10" t="s">
        <v>6960</v>
      </c>
      <c r="E97" s="10" t="s">
        <v>6961</v>
      </c>
      <c r="F97" s="16" t="s">
        <v>6962</v>
      </c>
      <c r="G97" s="10" t="s">
        <v>30</v>
      </c>
      <c r="H97" s="10" t="s">
        <v>52</v>
      </c>
      <c r="I97" s="16" t="s">
        <v>3</v>
      </c>
      <c r="J97" s="255">
        <v>46183</v>
      </c>
      <c r="K97" s="59" t="s">
        <v>6963</v>
      </c>
      <c r="L97" s="255">
        <f t="shared" si="18"/>
        <v>46190</v>
      </c>
      <c r="M97" s="255">
        <v>46191</v>
      </c>
      <c r="N97" s="256">
        <f t="shared" si="19"/>
        <v>1</v>
      </c>
      <c r="O97" s="10" t="s">
        <v>6973</v>
      </c>
      <c r="P97" s="16" t="s">
        <v>5</v>
      </c>
      <c r="Q97" s="255">
        <v>46202</v>
      </c>
      <c r="R97" s="59" t="s">
        <v>7145</v>
      </c>
      <c r="S97" s="255">
        <f>Q97+7</f>
        <v>46209</v>
      </c>
      <c r="T97" s="255">
        <v>46209</v>
      </c>
      <c r="U97" s="256">
        <f>T97-S97</f>
        <v>0</v>
      </c>
      <c r="V97" s="10" t="s">
        <v>7160</v>
      </c>
      <c r="W97" s="16"/>
      <c r="X97" s="255"/>
      <c r="Y97" s="59"/>
      <c r="Z97" s="59"/>
      <c r="AA97" s="255"/>
      <c r="AB97" s="255"/>
      <c r="AC97" s="10"/>
      <c r="AD97" s="16"/>
      <c r="AE97" s="255"/>
      <c r="AF97" s="59"/>
      <c r="AG97" s="59"/>
      <c r="AH97" s="255"/>
      <c r="AI97" s="255"/>
      <c r="AJ97" s="10"/>
      <c r="AK97" s="16"/>
      <c r="AL97" s="255"/>
      <c r="AM97" s="59"/>
      <c r="AN97" s="59"/>
      <c r="AO97" s="255"/>
      <c r="AP97" s="255"/>
      <c r="AQ97" s="10"/>
      <c r="AR97" s="16"/>
      <c r="AS97" s="255"/>
      <c r="AT97" s="59"/>
      <c r="AU97" s="59"/>
      <c r="AV97" s="255"/>
      <c r="AW97" s="255"/>
      <c r="AX97" s="10"/>
      <c r="AY97" s="16"/>
      <c r="AZ97" s="255"/>
      <c r="BA97" s="59"/>
      <c r="BB97" s="59"/>
      <c r="BC97" s="255"/>
      <c r="BD97" s="255"/>
      <c r="BE97" s="10"/>
      <c r="BF97" s="259"/>
    </row>
    <row r="98" spans="1:58" s="381" customFormat="1" ht="45" customHeight="1" x14ac:dyDescent="0.25">
      <c r="A98" s="260" t="s">
        <v>3256</v>
      </c>
      <c r="B98" s="16" t="s">
        <v>5</v>
      </c>
      <c r="C98" s="60" t="s">
        <v>588</v>
      </c>
      <c r="D98" s="10" t="s">
        <v>7273</v>
      </c>
      <c r="E98" s="10" t="s">
        <v>7274</v>
      </c>
      <c r="F98" s="16" t="s">
        <v>7275</v>
      </c>
      <c r="G98" s="10" t="s">
        <v>30</v>
      </c>
      <c r="H98" s="10" t="s">
        <v>52</v>
      </c>
      <c r="I98" s="16" t="s">
        <v>18</v>
      </c>
      <c r="J98" s="255">
        <v>46216</v>
      </c>
      <c r="K98" s="59" t="s">
        <v>7276</v>
      </c>
      <c r="L98" s="255">
        <f t="shared" si="18"/>
        <v>46223</v>
      </c>
      <c r="M98" s="255">
        <v>46229</v>
      </c>
      <c r="N98" s="256">
        <f t="shared" si="19"/>
        <v>6</v>
      </c>
      <c r="O98" s="10" t="s">
        <v>7279</v>
      </c>
      <c r="P98" s="16" t="s">
        <v>18</v>
      </c>
      <c r="Q98" s="255">
        <v>46230</v>
      </c>
      <c r="R98" s="150" t="s">
        <v>7335</v>
      </c>
      <c r="S98" s="255">
        <f>Q98+7</f>
        <v>46237</v>
      </c>
      <c r="T98" s="255">
        <v>46233</v>
      </c>
      <c r="U98" s="256">
        <f>T98-S98</f>
        <v>-4</v>
      </c>
      <c r="V98" s="151" t="s">
        <v>7344</v>
      </c>
      <c r="W98" s="16" t="s">
        <v>5</v>
      </c>
      <c r="X98" s="255">
        <v>46233</v>
      </c>
      <c r="Y98" s="150" t="s">
        <v>7368</v>
      </c>
      <c r="Z98" s="255">
        <f>X98+7</f>
        <v>46240</v>
      </c>
      <c r="AA98" s="255">
        <v>46236</v>
      </c>
      <c r="AB98" s="256">
        <f>AA98-Z98</f>
        <v>-4</v>
      </c>
      <c r="AC98" s="151" t="s">
        <v>7377</v>
      </c>
      <c r="AD98" s="16"/>
      <c r="AE98" s="255"/>
      <c r="AF98" s="59"/>
      <c r="AG98" s="59"/>
      <c r="AH98" s="255"/>
      <c r="AI98" s="255"/>
      <c r="AJ98" s="10"/>
      <c r="AK98" s="16"/>
      <c r="AL98" s="255"/>
      <c r="AM98" s="59"/>
      <c r="AN98" s="59"/>
      <c r="AO98" s="255"/>
      <c r="AP98" s="255"/>
      <c r="AQ98" s="10"/>
      <c r="AR98" s="16"/>
      <c r="AS98" s="255"/>
      <c r="AT98" s="59"/>
      <c r="AU98" s="59"/>
      <c r="AV98" s="255"/>
      <c r="AW98" s="255"/>
      <c r="AX98" s="10"/>
      <c r="AY98" s="16"/>
      <c r="AZ98" s="255"/>
      <c r="BA98" s="59"/>
      <c r="BB98" s="59"/>
      <c r="BC98" s="255"/>
      <c r="BD98" s="255"/>
      <c r="BE98" s="10"/>
      <c r="BF98" s="259"/>
    </row>
    <row r="99" spans="1:58" s="381" customFormat="1" ht="45" customHeight="1" x14ac:dyDescent="0.25">
      <c r="A99" s="260" t="s">
        <v>3256</v>
      </c>
      <c r="B99" s="16" t="s">
        <v>5</v>
      </c>
      <c r="C99" s="60" t="s">
        <v>208</v>
      </c>
      <c r="D99" s="10" t="s">
        <v>7310</v>
      </c>
      <c r="E99" s="10" t="s">
        <v>7311</v>
      </c>
      <c r="F99" s="16" t="s">
        <v>7312</v>
      </c>
      <c r="G99" s="10" t="s">
        <v>30</v>
      </c>
      <c r="H99" s="10" t="s">
        <v>52</v>
      </c>
      <c r="I99" s="16" t="s">
        <v>3</v>
      </c>
      <c r="J99" s="255">
        <v>46219</v>
      </c>
      <c r="K99" s="59" t="s">
        <v>7313</v>
      </c>
      <c r="L99" s="255">
        <f t="shared" si="18"/>
        <v>46226</v>
      </c>
      <c r="M99" s="255">
        <v>46226</v>
      </c>
      <c r="N99" s="256">
        <f t="shared" si="19"/>
        <v>0</v>
      </c>
      <c r="O99" s="10" t="s">
        <v>7317</v>
      </c>
      <c r="P99" s="16" t="s">
        <v>5</v>
      </c>
      <c r="Q99" s="255">
        <v>46228</v>
      </c>
      <c r="R99" s="59"/>
      <c r="S99" s="255">
        <f>Q99+7</f>
        <v>46235</v>
      </c>
      <c r="T99" s="255">
        <v>46230</v>
      </c>
      <c r="U99" s="256">
        <f>T99-S99</f>
        <v>-5</v>
      </c>
      <c r="V99" s="151" t="s">
        <v>7327</v>
      </c>
      <c r="W99" s="16"/>
      <c r="X99" s="255"/>
      <c r="Y99" s="59"/>
      <c r="Z99" s="59"/>
      <c r="AA99" s="255"/>
      <c r="AB99" s="255"/>
      <c r="AC99" s="10"/>
      <c r="AD99" s="16"/>
      <c r="AE99" s="255"/>
      <c r="AF99" s="59"/>
      <c r="AG99" s="59"/>
      <c r="AH99" s="255"/>
      <c r="AI99" s="255"/>
      <c r="AJ99" s="10"/>
      <c r="AK99" s="16"/>
      <c r="AL99" s="255"/>
      <c r="AM99" s="59"/>
      <c r="AN99" s="59"/>
      <c r="AO99" s="255"/>
      <c r="AP99" s="255"/>
      <c r="AQ99" s="10"/>
      <c r="AR99" s="16"/>
      <c r="AS99" s="255"/>
      <c r="AT99" s="59"/>
      <c r="AU99" s="59"/>
      <c r="AV99" s="255"/>
      <c r="AW99" s="255"/>
      <c r="AX99" s="10"/>
      <c r="AY99" s="16"/>
      <c r="AZ99" s="255"/>
      <c r="BA99" s="59"/>
      <c r="BB99" s="59"/>
      <c r="BC99" s="255"/>
      <c r="BD99" s="255"/>
      <c r="BE99" s="10"/>
      <c r="BF99" s="259"/>
    </row>
    <row r="100" spans="1:58" s="381" customFormat="1" ht="45" customHeight="1" x14ac:dyDescent="0.25">
      <c r="A100" s="260" t="s">
        <v>3256</v>
      </c>
      <c r="B100" s="16" t="s">
        <v>5</v>
      </c>
      <c r="C100" s="60" t="s">
        <v>208</v>
      </c>
      <c r="D100" s="10" t="s">
        <v>7351</v>
      </c>
      <c r="E100" s="10" t="s">
        <v>7352</v>
      </c>
      <c r="F100" s="16" t="s">
        <v>7411</v>
      </c>
      <c r="G100" s="10" t="s">
        <v>30</v>
      </c>
      <c r="H100" s="10" t="s">
        <v>52</v>
      </c>
      <c r="I100" s="16" t="s">
        <v>3</v>
      </c>
      <c r="J100" s="255">
        <v>46231</v>
      </c>
      <c r="K100" s="59" t="s">
        <v>7353</v>
      </c>
      <c r="L100" s="255">
        <f t="shared" si="18"/>
        <v>46238</v>
      </c>
      <c r="M100" s="255">
        <v>46236</v>
      </c>
      <c r="N100" s="256">
        <f t="shared" si="19"/>
        <v>-2</v>
      </c>
      <c r="O100" s="10" t="s">
        <v>7356</v>
      </c>
      <c r="P100" s="16" t="s">
        <v>5</v>
      </c>
      <c r="Q100" s="255">
        <v>46237</v>
      </c>
      <c r="R100" s="59" t="s">
        <v>7412</v>
      </c>
      <c r="S100" s="255">
        <f>Q100+7</f>
        <v>46244</v>
      </c>
      <c r="T100" s="255">
        <v>46239</v>
      </c>
      <c r="U100" s="256">
        <f>T100-S100</f>
        <v>-5</v>
      </c>
      <c r="V100" s="151" t="s">
        <v>7419</v>
      </c>
      <c r="W100" s="16"/>
      <c r="X100" s="255"/>
      <c r="Y100" s="59"/>
      <c r="Z100" s="59"/>
      <c r="AA100" s="255"/>
      <c r="AB100" s="255"/>
      <c r="AC100" s="10"/>
      <c r="AD100" s="16"/>
      <c r="AE100" s="255"/>
      <c r="AF100" s="59"/>
      <c r="AG100" s="59"/>
      <c r="AH100" s="255"/>
      <c r="AI100" s="255"/>
      <c r="AJ100" s="10"/>
      <c r="AK100" s="16"/>
      <c r="AL100" s="255"/>
      <c r="AM100" s="59"/>
      <c r="AN100" s="59"/>
      <c r="AO100" s="255"/>
      <c r="AP100" s="255"/>
      <c r="AQ100" s="10"/>
      <c r="AR100" s="16"/>
      <c r="AS100" s="255"/>
      <c r="AT100" s="59"/>
      <c r="AU100" s="59"/>
      <c r="AV100" s="255"/>
      <c r="AW100" s="255"/>
      <c r="AX100" s="10"/>
      <c r="AY100" s="16"/>
      <c r="AZ100" s="255"/>
      <c r="BA100" s="59"/>
      <c r="BB100" s="59"/>
      <c r="BC100" s="255"/>
      <c r="BD100" s="255"/>
      <c r="BE100" s="10"/>
      <c r="BF100" s="259"/>
    </row>
    <row r="101" spans="1:58" s="381" customFormat="1" ht="45" customHeight="1" x14ac:dyDescent="0.25">
      <c r="A101" s="260" t="s">
        <v>3256</v>
      </c>
      <c r="B101" s="494" t="s">
        <v>4</v>
      </c>
      <c r="C101" s="495" t="s">
        <v>54</v>
      </c>
      <c r="D101" s="496" t="s">
        <v>7523</v>
      </c>
      <c r="E101" s="10" t="s">
        <v>7524</v>
      </c>
      <c r="F101" s="16" t="s">
        <v>7521</v>
      </c>
      <c r="G101" s="10" t="s">
        <v>30</v>
      </c>
      <c r="H101" s="10" t="s">
        <v>52</v>
      </c>
      <c r="I101" s="494" t="s">
        <v>4</v>
      </c>
      <c r="J101" s="497">
        <v>46260</v>
      </c>
      <c r="K101" s="498" t="s">
        <v>7525</v>
      </c>
      <c r="L101" s="497">
        <f t="shared" si="18"/>
        <v>46267</v>
      </c>
      <c r="M101" s="497"/>
      <c r="N101" s="256">
        <f t="shared" si="19"/>
        <v>-46267</v>
      </c>
      <c r="O101" s="10" t="s">
        <v>7527</v>
      </c>
      <c r="P101" s="494"/>
      <c r="Q101" s="497"/>
      <c r="R101" s="498"/>
      <c r="S101" s="497"/>
      <c r="T101" s="497"/>
      <c r="U101" s="499"/>
      <c r="V101" s="500"/>
      <c r="W101" s="494"/>
      <c r="X101" s="497"/>
      <c r="Y101" s="498"/>
      <c r="Z101" s="498"/>
      <c r="AA101" s="497"/>
      <c r="AB101" s="497"/>
      <c r="AC101" s="496"/>
      <c r="AD101" s="494"/>
      <c r="AE101" s="497"/>
      <c r="AF101" s="498"/>
      <c r="AG101" s="498"/>
      <c r="AH101" s="497"/>
      <c r="AI101" s="497"/>
      <c r="AJ101" s="496"/>
      <c r="AK101" s="494"/>
      <c r="AL101" s="497"/>
      <c r="AM101" s="498"/>
      <c r="AN101" s="498"/>
      <c r="AO101" s="497"/>
      <c r="AP101" s="497"/>
      <c r="AQ101" s="496"/>
      <c r="AR101" s="494"/>
      <c r="AS101" s="497"/>
      <c r="AT101" s="498"/>
      <c r="AU101" s="498"/>
      <c r="AV101" s="497"/>
      <c r="AW101" s="497"/>
      <c r="AX101" s="496"/>
      <c r="AY101" s="494"/>
      <c r="AZ101" s="497"/>
      <c r="BA101" s="498"/>
      <c r="BB101" s="498"/>
      <c r="BC101" s="497"/>
      <c r="BD101" s="497"/>
      <c r="BE101" s="496"/>
      <c r="BF101" s="501"/>
    </row>
    <row r="102" spans="1:58" s="381" customFormat="1" ht="45" customHeight="1" thickBot="1" x14ac:dyDescent="0.3">
      <c r="A102" s="261"/>
      <c r="B102" s="262"/>
      <c r="C102" s="262"/>
      <c r="D102" s="263"/>
      <c r="E102" s="263"/>
      <c r="F102" s="263"/>
      <c r="G102" s="263"/>
      <c r="H102" s="263"/>
      <c r="I102" s="262"/>
      <c r="J102" s="265"/>
      <c r="K102" s="264"/>
      <c r="L102" s="264"/>
      <c r="M102" s="265"/>
      <c r="N102" s="265"/>
      <c r="O102" s="263"/>
      <c r="P102" s="262"/>
      <c r="Q102" s="265"/>
      <c r="R102" s="264"/>
      <c r="S102" s="264"/>
      <c r="T102" s="265"/>
      <c r="U102" s="265"/>
      <c r="V102" s="263"/>
      <c r="W102" s="262"/>
      <c r="X102" s="265"/>
      <c r="Y102" s="264"/>
      <c r="Z102" s="264"/>
      <c r="AA102" s="265"/>
      <c r="AB102" s="265"/>
      <c r="AC102" s="263"/>
      <c r="AD102" s="262"/>
      <c r="AE102" s="265"/>
      <c r="AF102" s="264"/>
      <c r="AG102" s="264"/>
      <c r="AH102" s="265"/>
      <c r="AI102" s="265"/>
      <c r="AJ102" s="263"/>
      <c r="AK102" s="262"/>
      <c r="AL102" s="265"/>
      <c r="AM102" s="264"/>
      <c r="AN102" s="264"/>
      <c r="AO102" s="265"/>
      <c r="AP102" s="265"/>
      <c r="AQ102" s="263"/>
      <c r="AR102" s="262"/>
      <c r="AS102" s="265"/>
      <c r="AT102" s="264"/>
      <c r="AU102" s="264"/>
      <c r="AV102" s="265"/>
      <c r="AW102" s="265"/>
      <c r="AX102" s="263"/>
      <c r="AY102" s="262"/>
      <c r="AZ102" s="265"/>
      <c r="BA102" s="264"/>
      <c r="BB102" s="264"/>
      <c r="BC102" s="265"/>
      <c r="BD102" s="265"/>
      <c r="BE102" s="263"/>
      <c r="BF102" s="266"/>
    </row>
  </sheetData>
  <autoFilter ref="A11:BG100" xr:uid="{00000000-0001-0000-0200-000000000000}"/>
  <mergeCells count="18">
    <mergeCell ref="I1:I2"/>
    <mergeCell ref="J1:J2"/>
    <mergeCell ref="G10:G11"/>
    <mergeCell ref="B10:B11"/>
    <mergeCell ref="C10:C11"/>
    <mergeCell ref="D10:D11"/>
    <mergeCell ref="E10:E11"/>
    <mergeCell ref="F10:F11"/>
    <mergeCell ref="A10:A11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0:A1048576">
    <cfRule type="cellIs" dxfId="6469" priority="361" operator="equal">
      <formula>"D - Rejected"</formula>
    </cfRule>
    <cfRule type="cellIs" dxfId="6468" priority="362" operator="equal">
      <formula>"B- Incorporate Comments - Proceed"</formula>
    </cfRule>
    <cfRule type="cellIs" dxfId="6467" priority="363" operator="equal">
      <formula>"C - Revise and Resubmit - Do Not Proceed"</formula>
    </cfRule>
    <cfRule type="cellIs" dxfId="6466" priority="364" operator="equal">
      <formula>"A - Work May Proceed"</formula>
    </cfRule>
    <cfRule type="cellIs" dxfId="6465" priority="360" operator="equal">
      <formula>"E - Review not Required - Proceed"</formula>
    </cfRule>
  </conditionalFormatting>
  <conditionalFormatting sqref="B13 B24 B75">
    <cfRule type="cellIs" dxfId="6464" priority="66" stopIfTrue="1" operator="equal">
      <formula>"A - Work May Proceed"</formula>
    </cfRule>
  </conditionalFormatting>
  <conditionalFormatting sqref="B16:B17">
    <cfRule type="cellIs" dxfId="6463" priority="91" stopIfTrue="1" operator="equal">
      <formula>"A - Work May Proceed"</formula>
    </cfRule>
  </conditionalFormatting>
  <conditionalFormatting sqref="B26:B29">
    <cfRule type="cellIs" dxfId="6462" priority="519" stopIfTrue="1" operator="equal">
      <formula>"A - Work May Proceed"</formula>
    </cfRule>
  </conditionalFormatting>
  <conditionalFormatting sqref="B31:B32">
    <cfRule type="cellIs" dxfId="6461" priority="89" stopIfTrue="1" operator="equal">
      <formula>"A - Work May Proceed"</formula>
    </cfRule>
  </conditionalFormatting>
  <conditionalFormatting sqref="B70:E73 B74:F74 B76:XFD82 B83:E83 B84:XFD97 B102:XFD1048576 BF12:XFD73 I74:XFD74 S75:XFD75 BB83:XFD83 AD98:XFD98 W99:XFD101">
    <cfRule type="cellIs" dxfId="6460" priority="511" operator="equal">
      <formula>"D - Rejected"</formula>
    </cfRule>
    <cfRule type="cellIs" dxfId="6459" priority="512" operator="equal">
      <formula>"B- Incorporate Comments - Proceed"</formula>
    </cfRule>
    <cfRule type="cellIs" dxfId="6458" priority="513" operator="equal">
      <formula>"C - Revise and Resubmit - Do Not Proceed"</formula>
    </cfRule>
    <cfRule type="cellIs" dxfId="6457" priority="510" operator="equal">
      <formula>"E - Review not Required - Proceed"</formula>
    </cfRule>
  </conditionalFormatting>
  <conditionalFormatting sqref="B1:H4 B9:H9 B10:O10 D11:O11 B12:XFD12 B84:XFD97 B102:XFD1048576 B11 BF13:XFD82 BB83:XFD83 AD98:XFD98 W99:XFD101">
    <cfRule type="cellIs" dxfId="6456" priority="574" operator="equal">
      <formula>"A - Work May Proceed"</formula>
    </cfRule>
  </conditionalFormatting>
  <conditionalFormatting sqref="B5:I7 B8:J8 J5:J6">
    <cfRule type="cellIs" dxfId="6455" priority="520" operator="equal">
      <formula>"E - Review not Required - Proceed"</formula>
    </cfRule>
    <cfRule type="cellIs" dxfId="6454" priority="521" operator="equal">
      <formula>"D - Rejected"</formula>
    </cfRule>
    <cfRule type="cellIs" dxfId="6453" priority="522" operator="equal">
      <formula>"B- Incorporate Comments - Proceed"</formula>
    </cfRule>
    <cfRule type="cellIs" dxfId="6452" priority="523" operator="equal">
      <formula>"C - Revise and Resubmit - Do Not Proceed"</formula>
    </cfRule>
  </conditionalFormatting>
  <conditionalFormatting sqref="B27:O69 P10:BE11 B13:O25 C26:O26 B70:E73 B83:E83 G70:H70 J70 Q70 X70 AL70 AS70 AZ70 G71:J72 P71:Q72 W71:X72 AR71:AS72 AY71:AZ72">
    <cfRule type="cellIs" dxfId="6451" priority="529" operator="equal">
      <formula>"A - Work May Proceed"</formula>
    </cfRule>
  </conditionalFormatting>
  <conditionalFormatting sqref="B75:Q75 B74:BE74 B76:BE82 S75:BE75">
    <cfRule type="cellIs" dxfId="6450" priority="84" operator="equal">
      <formula>"A - Work May Proceed"</formula>
    </cfRule>
  </conditionalFormatting>
  <conditionalFormatting sqref="B75:Q75">
    <cfRule type="cellIs" dxfId="6449" priority="80" operator="equal">
      <formula>"E - Review not Required - Proceed"</formula>
    </cfRule>
    <cfRule type="cellIs" dxfId="6448" priority="81" operator="equal">
      <formula>"D - Rejected"</formula>
    </cfRule>
    <cfRule type="cellIs" dxfId="6447" priority="82" operator="equal">
      <formula>"B- Incorporate Comments - Proceed"</formula>
    </cfRule>
    <cfRule type="cellIs" dxfId="6446" priority="83" operator="equal">
      <formula>"C - Revise and Resubmit - Do Not Proceed"</formula>
    </cfRule>
  </conditionalFormatting>
  <conditionalFormatting sqref="B98:Q98 B99:M99 B100:N101 G72:H99 N75:N99 S98:U98 W98:X98">
    <cfRule type="cellIs" dxfId="6445" priority="98" operator="equal">
      <formula>"E - Review not Required - Proceed"</formula>
    </cfRule>
    <cfRule type="cellIs" dxfId="6444" priority="99" operator="equal">
      <formula>"D - Rejected"</formula>
    </cfRule>
    <cfRule type="cellIs" dxfId="6443" priority="100" operator="equal">
      <formula>"B- Incorporate Comments - Proceed"</formula>
    </cfRule>
    <cfRule type="cellIs" dxfId="6442" priority="101" operator="equal">
      <formula>"C - Revise and Resubmit - Do Not Proceed"</formula>
    </cfRule>
  </conditionalFormatting>
  <conditionalFormatting sqref="B98:Q98 B99:N101 S98:U98 W98:X98 Z98:AB98">
    <cfRule type="cellIs" dxfId="6441" priority="102" operator="equal">
      <formula>"A - Work May Proceed"</formula>
    </cfRule>
  </conditionalFormatting>
  <conditionalFormatting sqref="B14:BE21 B25:BE38 B13:O13 B24:O24 B12:BE12 B22:U22 B23:BE23 B39:U39 S13:BE13 W22:X22 Z22:AB22 AD22:BE22 S24:BE24 W39:BE39">
    <cfRule type="cellIs" dxfId="6440" priority="117" operator="equal">
      <formula>"D - Rejected"</formula>
    </cfRule>
    <cfRule type="cellIs" dxfId="6439" priority="118" operator="equal">
      <formula>"B- Incorporate Comments - Proceed"</formula>
    </cfRule>
    <cfRule type="cellIs" dxfId="6438" priority="119" operator="equal">
      <formula>"C - Revise and Resubmit - Do Not Proceed"</formula>
    </cfRule>
    <cfRule type="cellIs" dxfId="6437" priority="116" operator="equal">
      <formula>"E - Review not Required - Proceed"</formula>
    </cfRule>
  </conditionalFormatting>
  <conditionalFormatting sqref="B40:BE69">
    <cfRule type="cellIs" dxfId="6436" priority="74" operator="equal">
      <formula>"B- Incorporate Comments - Proceed"</formula>
    </cfRule>
    <cfRule type="cellIs" dxfId="6435" priority="72" operator="equal">
      <formula>"E - Review not Required - Proceed"</formula>
    </cfRule>
    <cfRule type="cellIs" dxfId="6434" priority="73" operator="equal">
      <formula>"D - Rejected"</formula>
    </cfRule>
    <cfRule type="cellIs" dxfId="6433" priority="75" operator="equal">
      <formula>"C - Revise and Resubmit - Do Not Proceed"</formula>
    </cfRule>
  </conditionalFormatting>
  <conditionalFormatting sqref="D1:D1048576">
    <cfRule type="duplicateValues" dxfId="6432" priority="52"/>
  </conditionalFormatting>
  <conditionalFormatting sqref="F71:F73">
    <cfRule type="cellIs" dxfId="6431" priority="445" operator="equal">
      <formula>"A - Work May Proceed"</formula>
    </cfRule>
  </conditionalFormatting>
  <conditionalFormatting sqref="F71:X71 F72:BE73">
    <cfRule type="cellIs" dxfId="6430" priority="201" operator="equal">
      <formula>"B- Incorporate Comments - Proceed"</formula>
    </cfRule>
    <cfRule type="cellIs" dxfId="6429" priority="202" operator="equal">
      <formula>"C - Revise and Resubmit - Do Not Proceed"</formula>
    </cfRule>
    <cfRule type="cellIs" dxfId="6428" priority="200" operator="equal">
      <formula>"D - Rejected"</formula>
    </cfRule>
    <cfRule type="cellIs" dxfId="6427" priority="199" operator="equal">
      <formula>"E - Review not Required - Proceed"</formula>
    </cfRule>
  </conditionalFormatting>
  <conditionalFormatting sqref="G83:J83 L83:Q83 S83:X83 Z83:AE83 AG83:AL83 AN83:AS83 AU83:AZ83">
    <cfRule type="cellIs" dxfId="6426" priority="430" operator="equal">
      <formula>"A - Work May Proceed"</formula>
    </cfRule>
  </conditionalFormatting>
  <conditionalFormatting sqref="G83:J83">
    <cfRule type="cellIs" dxfId="6425" priority="528" operator="equal">
      <formula>"C - Revise and Resubmit - Do Not Proceed"</formula>
    </cfRule>
    <cfRule type="cellIs" dxfId="6424" priority="527" operator="equal">
      <formula>"B- Incorporate Comments - Proceed"</formula>
    </cfRule>
    <cfRule type="cellIs" dxfId="6423" priority="526" operator="equal">
      <formula>"D - Rejected"</formula>
    </cfRule>
    <cfRule type="cellIs" dxfId="6422" priority="525" operator="equal">
      <formula>"E - Review not Required - Proceed"</formula>
    </cfRule>
  </conditionalFormatting>
  <conditionalFormatting sqref="G70:BE70 Z71:AB71 AD71:BE71">
    <cfRule type="cellIs" dxfId="6421" priority="125" operator="equal">
      <formula>"D - Rejected"</formula>
    </cfRule>
    <cfRule type="cellIs" dxfId="6420" priority="126" operator="equal">
      <formula>"B- Incorporate Comments - Proceed"</formula>
    </cfRule>
    <cfRule type="cellIs" dxfId="6419" priority="127" operator="equal">
      <formula>"C - Revise and Resubmit - Do Not Proceed"</formula>
    </cfRule>
    <cfRule type="cellIs" dxfId="6418" priority="124" operator="equal">
      <formula>"E - Review not Required - Proceed"</formula>
    </cfRule>
  </conditionalFormatting>
  <conditionalFormatting sqref="G73:BE73">
    <cfRule type="cellIs" dxfId="6417" priority="440" operator="equal">
      <formula>"A - Work May Proceed"</formula>
    </cfRule>
  </conditionalFormatting>
  <conditionalFormatting sqref="I11">
    <cfRule type="cellIs" dxfId="6416" priority="651" operator="between">
      <formula>"CANCELLED"</formula>
      <formula>"CANCELLED"</formula>
    </cfRule>
    <cfRule type="cellIs" dxfId="6415" priority="647" operator="between">
      <formula>"A - Work May Proceed"</formula>
      <formula>"A - Work May Proceed"</formula>
    </cfRule>
    <cfRule type="cellIs" dxfId="6414" priority="646" operator="between">
      <formula>"B - Incorporate Comments - Proceed"</formula>
      <formula>"B - Incorporate Comments - Proceed"</formula>
    </cfRule>
    <cfRule type="cellIs" dxfId="6413" priority="645" operator="between">
      <formula>"C - Revise and Resubmit - Do Not Proceed"</formula>
      <formula>"C - Revise and Resubmit - Do Not Proceed"</formula>
    </cfRule>
    <cfRule type="cellIs" dxfId="6412" priority="643" operator="between">
      <formula>"E - Review not Required - Proceed"</formula>
      <formula>"E - Review not Required - Proceed"</formula>
    </cfRule>
    <cfRule type="cellIs" dxfId="6411" priority="653" operator="between">
      <formula>"C - Revise and Resubmit - Do Not Proceed"</formula>
      <formula>"C - Revise and Resubmit - Do Not Proceed"</formula>
    </cfRule>
    <cfRule type="cellIs" dxfId="6410" priority="644" operator="between">
      <formula>"'D - Rejected "</formula>
      <formula>"'D - Rejected "</formula>
    </cfRule>
    <cfRule type="cellIs" dxfId="6409" priority="641" operator="equal">
      <formula>"B - Incorporate Comments - Proceed "</formula>
    </cfRule>
    <cfRule type="cellIs" dxfId="6408" priority="640" operator="equal">
      <formula>"For Information"</formula>
    </cfRule>
    <cfRule type="cellIs" dxfId="6407" priority="639" operator="equal">
      <formula>"B - Incorporate Comments - Proceed"</formula>
    </cfRule>
    <cfRule type="cellIs" dxfId="6406" priority="652" operator="between">
      <formula>"A - Work May Proceed"</formula>
      <formula>"A - Work May Proceed"</formula>
    </cfRule>
    <cfRule type="cellIs" dxfId="6405" priority="642" operator="equal">
      <formula>"E - Review Not Required - Proceed"</formula>
    </cfRule>
    <cfRule type="cellIs" dxfId="6404" priority="648" operator="between">
      <formula>"B - Incorporate Comments - Proceed"</formula>
      <formula>"B - Incorporate Comments - Proceed"</formula>
    </cfRule>
    <cfRule type="cellIs" dxfId="6403" priority="649" operator="between">
      <formula>"E - Review not Required - Proceed"</formula>
      <formula>"E - Review not Required - Proceed"</formula>
    </cfRule>
    <cfRule type="cellIs" dxfId="6402" priority="654" stopIfTrue="1" operator="between">
      <formula>"B - Incorporate Comments - Proceed "</formula>
      <formula>"B - Incorporate Comments - Proceed "</formula>
    </cfRule>
    <cfRule type="cellIs" dxfId="6401" priority="650" operator="between">
      <formula>"D - Rejected "</formula>
      <formula>"D - Rejected "</formula>
    </cfRule>
  </conditionalFormatting>
  <conditionalFormatting sqref="I70">
    <cfRule type="cellIs" dxfId="6400" priority="464" stopIfTrue="1" operator="equal">
      <formula>"A - Work May Proceed"</formula>
    </cfRule>
  </conditionalFormatting>
  <conditionalFormatting sqref="J5:J6 B5:I7 B8:J8">
    <cfRule type="cellIs" dxfId="6399" priority="524" stopIfTrue="1" operator="equal">
      <formula>"A - Work May Proceed"</formula>
    </cfRule>
  </conditionalFormatting>
  <conditionalFormatting sqref="K70:O72">
    <cfRule type="cellIs" dxfId="6398" priority="450" operator="equal">
      <formula>"A - Work May Proceed"</formula>
    </cfRule>
  </conditionalFormatting>
  <conditionalFormatting sqref="L75:L78 Z75:Z78 AG75:AG78 AN75:AN78 AU75:AU78 BB75:BB78 AB75:AB88 AI75:AI88 AP75:AP88 AW75:AW88 BD75:BD88 U79:U88">
    <cfRule type="cellIs" dxfId="6397" priority="429" operator="equal">
      <formula>"C - Revise and Resubmit - Do Not Proceed"</formula>
    </cfRule>
    <cfRule type="cellIs" dxfId="6396" priority="428" operator="equal">
      <formula>"B- Incorporate Comments - Proceed"</formula>
    </cfRule>
    <cfRule type="cellIs" dxfId="6395" priority="427" operator="equal">
      <formula>"D - Rejected"</formula>
    </cfRule>
    <cfRule type="cellIs" dxfId="6394" priority="426" operator="equal">
      <formula>"E - Review not Required - Proceed"</formula>
    </cfRule>
  </conditionalFormatting>
  <conditionalFormatting sqref="L83:Q83">
    <cfRule type="cellIs" dxfId="6393" priority="341" operator="equal">
      <formula>"D - Rejected"</formula>
    </cfRule>
    <cfRule type="cellIs" dxfId="6392" priority="342" operator="equal">
      <formula>"B- Incorporate Comments - Proceed"</formula>
    </cfRule>
    <cfRule type="cellIs" dxfId="6391" priority="343" operator="equal">
      <formula>"C - Revise and Resubmit - Do Not Proceed"</formula>
    </cfRule>
    <cfRule type="cellIs" dxfId="6390" priority="340" operator="equal">
      <formula>"E - Review not Required - Proceed"</formula>
    </cfRule>
  </conditionalFormatting>
  <conditionalFormatting sqref="O99:U101">
    <cfRule type="cellIs" dxfId="6389" priority="5" operator="equal">
      <formula>"A - Work May Proceed"</formula>
    </cfRule>
    <cfRule type="cellIs" dxfId="6388" priority="4" operator="equal">
      <formula>"C - Revise and Resubmit - Do Not Proceed"</formula>
    </cfRule>
    <cfRule type="cellIs" dxfId="6387" priority="3" operator="equal">
      <formula>"B- Incorporate Comments - Proceed"</formula>
    </cfRule>
    <cfRule type="cellIs" dxfId="6386" priority="2" operator="equal">
      <formula>"D - Rejected"</formula>
    </cfRule>
    <cfRule type="cellIs" dxfId="6385" priority="1" operator="equal">
      <formula>"E - Review not Required - Proceed"</formula>
    </cfRule>
  </conditionalFormatting>
  <conditionalFormatting sqref="P11">
    <cfRule type="cellIs" dxfId="6384" priority="345" operator="equal">
      <formula>"For Information"</formula>
    </cfRule>
    <cfRule type="cellIs" dxfId="6383" priority="344" operator="equal">
      <formula>"B - Incorporate Comments - Proceed"</formula>
    </cfRule>
    <cfRule type="cellIs" dxfId="6382" priority="347" operator="equal">
      <formula>"E - Review Not Required - Proceed"</formula>
    </cfRule>
    <cfRule type="cellIs" dxfId="6381" priority="356" operator="between">
      <formula>"CANCELLED"</formula>
      <formula>"CANCELLED"</formula>
    </cfRule>
    <cfRule type="cellIs" dxfId="6380" priority="359" stopIfTrue="1" operator="between">
      <formula>"B - Incorporate Comments - Proceed "</formula>
      <formula>"B - Incorporate Comments - Proceed "</formula>
    </cfRule>
    <cfRule type="cellIs" dxfId="6379" priority="358" operator="between">
      <formula>"C - Revise and Resubmit - Do Not Proceed"</formula>
      <formula>"C - Revise and Resubmit - Do Not Proceed"</formula>
    </cfRule>
    <cfRule type="cellIs" dxfId="6378" priority="357" operator="between">
      <formula>"A - Work May Proceed"</formula>
      <formula>"A - Work May Proceed"</formula>
    </cfRule>
    <cfRule type="cellIs" dxfId="6377" priority="355" operator="between">
      <formula>"D - Rejected "</formula>
      <formula>"D - Rejected "</formula>
    </cfRule>
    <cfRule type="cellIs" dxfId="6376" priority="354" operator="between">
      <formula>"E - Review not Required - Proceed"</formula>
      <formula>"E - Review not Required - Proceed"</formula>
    </cfRule>
    <cfRule type="cellIs" dxfId="6375" priority="353" operator="between">
      <formula>"B - Incorporate Comments - Proceed"</formula>
      <formula>"B - Incorporate Comments - Proceed"</formula>
    </cfRule>
    <cfRule type="cellIs" dxfId="6374" priority="352" operator="between">
      <formula>"A - Work May Proceed"</formula>
      <formula>"A - Work May Proceed"</formula>
    </cfRule>
    <cfRule type="cellIs" dxfId="6373" priority="351" operator="between">
      <formula>"B - Incorporate Comments - Proceed"</formula>
      <formula>"B - Incorporate Comments - Proceed"</formula>
    </cfRule>
    <cfRule type="cellIs" dxfId="6372" priority="350" operator="between">
      <formula>"C - Revise and Resubmit - Do Not Proceed"</formula>
      <formula>"C - Revise and Resubmit - Do Not Proceed"</formula>
    </cfRule>
    <cfRule type="cellIs" dxfId="6371" priority="349" operator="between">
      <formula>"'D - Rejected "</formula>
      <formula>"'D - Rejected "</formula>
    </cfRule>
    <cfRule type="cellIs" dxfId="6370" priority="348" operator="between">
      <formula>"E - Review not Required - Proceed"</formula>
      <formula>"E - Review not Required - Proceed"</formula>
    </cfRule>
    <cfRule type="cellIs" dxfId="6369" priority="346" operator="equal">
      <formula>"B - Incorporate Comments - Proceed "</formula>
    </cfRule>
  </conditionalFormatting>
  <conditionalFormatting sqref="P70">
    <cfRule type="cellIs" dxfId="6368" priority="334" stopIfTrue="1" operator="equal">
      <formula>"A - Work May Proceed"</formula>
    </cfRule>
  </conditionalFormatting>
  <conditionalFormatting sqref="P13:Q13">
    <cfRule type="cellIs" dxfId="6367" priority="41" operator="equal">
      <formula>"C - Revise and Resubmit - Do Not Proceed"</formula>
    </cfRule>
    <cfRule type="cellIs" dxfId="6366" priority="40" operator="equal">
      <formula>"B- Incorporate Comments - Proceed"</formula>
    </cfRule>
    <cfRule type="cellIs" dxfId="6365" priority="39" operator="equal">
      <formula>"D - Rejected"</formula>
    </cfRule>
    <cfRule type="cellIs" dxfId="6364" priority="38" operator="equal">
      <formula>"E - Review not Required - Proceed"</formula>
    </cfRule>
    <cfRule type="cellIs" dxfId="6363" priority="42" operator="equal">
      <formula>"A - Work May Proceed"</formula>
    </cfRule>
  </conditionalFormatting>
  <conditionalFormatting sqref="P24:Q24">
    <cfRule type="cellIs" dxfId="6362" priority="31" operator="equal">
      <formula>"C - Revise and Resubmit - Do Not Proceed"</formula>
    </cfRule>
    <cfRule type="cellIs" dxfId="6361" priority="30" operator="equal">
      <formula>"B- Incorporate Comments - Proceed"</formula>
    </cfRule>
    <cfRule type="cellIs" dxfId="6360" priority="29" operator="equal">
      <formula>"D - Rejected"</formula>
    </cfRule>
    <cfRule type="cellIs" dxfId="6359" priority="28" operator="equal">
      <formula>"E - Review not Required - Proceed"</formula>
    </cfRule>
    <cfRule type="cellIs" dxfId="6358" priority="32" operator="equal">
      <formula>"A - Work May Proceed"</formula>
    </cfRule>
  </conditionalFormatting>
  <conditionalFormatting sqref="P39:U39">
    <cfRule type="cellIs" dxfId="6357" priority="61" operator="equal">
      <formula>"A - Work May Proceed"</formula>
    </cfRule>
  </conditionalFormatting>
  <conditionalFormatting sqref="P69:X69">
    <cfRule type="cellIs" dxfId="6356" priority="121" operator="equal">
      <formula>"A - Work May Proceed"</formula>
    </cfRule>
  </conditionalFormatting>
  <conditionalFormatting sqref="P10:BE11 B1:H4 B9:H9 B10:O10 D11:O11 B11">
    <cfRule type="cellIs" dxfId="6355" priority="570" operator="equal">
      <formula>"E - Review not Required - Proceed"</formula>
    </cfRule>
    <cfRule type="cellIs" dxfId="6354" priority="571" operator="equal">
      <formula>"D - Rejected"</formula>
    </cfRule>
    <cfRule type="cellIs" dxfId="6353" priority="572" operator="equal">
      <formula>"B- Incorporate Comments - Proceed"</formula>
    </cfRule>
    <cfRule type="cellIs" dxfId="6352" priority="573" operator="equal">
      <formula>"C - Revise and Resubmit - Do Not Proceed"</formula>
    </cfRule>
  </conditionalFormatting>
  <conditionalFormatting sqref="R70:V72">
    <cfRule type="cellIs" dxfId="6351" priority="333" operator="equal">
      <formula>"A - Work May Proceed"</formula>
    </cfRule>
  </conditionalFormatting>
  <conditionalFormatting sqref="S14:U15">
    <cfRule type="cellIs" dxfId="6350" priority="122" operator="equal">
      <formula>"A - Work May Proceed"</formula>
    </cfRule>
  </conditionalFormatting>
  <conditionalFormatting sqref="S18:U18 S19:S20 U19:U20">
    <cfRule type="cellIs" dxfId="6349" priority="123" operator="equal">
      <formula>"A - Work May Proceed"</formula>
    </cfRule>
  </conditionalFormatting>
  <conditionalFormatting sqref="S66:U66">
    <cfRule type="cellIs" dxfId="6348" priority="64" operator="equal">
      <formula>"B- Incorporate Comments - Proceed"</formula>
    </cfRule>
    <cfRule type="cellIs" dxfId="6347" priority="62" operator="equal">
      <formula>"E - Review not Required - Proceed"</formula>
    </cfRule>
    <cfRule type="cellIs" dxfId="6346" priority="63" operator="equal">
      <formula>"D - Rejected"</formula>
    </cfRule>
    <cfRule type="cellIs" dxfId="6345" priority="65" operator="equal">
      <formula>"C - Revise and Resubmit - Do Not Proceed"</formula>
    </cfRule>
  </conditionalFormatting>
  <conditionalFormatting sqref="S83:X83">
    <cfRule type="cellIs" dxfId="6344" priority="311" operator="equal">
      <formula>"B- Incorporate Comments - Proceed"</formula>
    </cfRule>
    <cfRule type="cellIs" dxfId="6343" priority="312" operator="equal">
      <formula>"C - Revise and Resubmit - Do Not Proceed"</formula>
    </cfRule>
    <cfRule type="cellIs" dxfId="6342" priority="309" operator="equal">
      <formula>"E - Review not Required - Proceed"</formula>
    </cfRule>
    <cfRule type="cellIs" dxfId="6341" priority="310" operator="equal">
      <formula>"D - Rejected"</formula>
    </cfRule>
  </conditionalFormatting>
  <conditionalFormatting sqref="S13:BE13 P14:BE21 P22:U22 W22:X22 Z22:AB22 AD22:BE22 P23:BE23 S24:BE24 P25:BE38 W39:BE39 P40:BE68">
    <cfRule type="cellIs" dxfId="6340" priority="71" operator="equal">
      <formula>"A - Work May Proceed"</formula>
    </cfRule>
  </conditionalFormatting>
  <conditionalFormatting sqref="U94:U95">
    <cfRule type="cellIs" dxfId="6339" priority="78" operator="equal">
      <formula>"B- Incorporate Comments - Proceed"</formula>
    </cfRule>
    <cfRule type="cellIs" dxfId="6338" priority="79" operator="equal">
      <formula>"C - Revise and Resubmit - Do Not Proceed"</formula>
    </cfRule>
    <cfRule type="cellIs" dxfId="6337" priority="76" operator="equal">
      <formula>"E - Review not Required - Proceed"</formula>
    </cfRule>
    <cfRule type="cellIs" dxfId="6336" priority="77" operator="equal">
      <formula>"D - Rejected"</formula>
    </cfRule>
  </conditionalFormatting>
  <conditionalFormatting sqref="U97:U98">
    <cfRule type="cellIs" dxfId="6335" priority="67" operator="equal">
      <formula>"E - Review not Required - Proceed"</formula>
    </cfRule>
    <cfRule type="cellIs" dxfId="6334" priority="68" operator="equal">
      <formula>"D - Rejected"</formula>
    </cfRule>
    <cfRule type="cellIs" dxfId="6333" priority="69" operator="equal">
      <formula>"B- Incorporate Comments - Proceed"</formula>
    </cfRule>
    <cfRule type="cellIs" dxfId="6332" priority="70" operator="equal">
      <formula>"C - Revise and Resubmit - Do Not Proceed"</formula>
    </cfRule>
  </conditionalFormatting>
  <conditionalFormatting sqref="W11">
    <cfRule type="cellIs" dxfId="6331" priority="321" operator="between">
      <formula>"A - Work May Proceed"</formula>
      <formula>"A - Work May Proceed"</formula>
    </cfRule>
    <cfRule type="cellIs" dxfId="6330" priority="315" operator="equal">
      <formula>"B - Incorporate Comments - Proceed "</formula>
    </cfRule>
    <cfRule type="cellIs" dxfId="6329" priority="314" operator="equal">
      <formula>"For Information"</formula>
    </cfRule>
    <cfRule type="cellIs" dxfId="6328" priority="313" operator="equal">
      <formula>"B - Incorporate Comments - Proceed"</formula>
    </cfRule>
    <cfRule type="cellIs" dxfId="6327" priority="316" operator="equal">
      <formula>"E - Review Not Required - Proceed"</formula>
    </cfRule>
    <cfRule type="cellIs" dxfId="6326" priority="317" operator="between">
      <formula>"E - Review not Required - Proceed"</formula>
      <formula>"E - Review not Required - Proceed"</formula>
    </cfRule>
    <cfRule type="cellIs" dxfId="6325" priority="318" operator="between">
      <formula>"'D - Rejected "</formula>
      <formula>"'D - Rejected "</formula>
    </cfRule>
    <cfRule type="cellIs" dxfId="6324" priority="319" operator="between">
      <formula>"C - Revise and Resubmit - Do Not Proceed"</formula>
      <formula>"C - Revise and Resubmit - Do Not Proceed"</formula>
    </cfRule>
    <cfRule type="cellIs" dxfId="6323" priority="320" operator="between">
      <formula>"B - Incorporate Comments - Proceed"</formula>
      <formula>"B - Incorporate Comments - Proceed"</formula>
    </cfRule>
    <cfRule type="cellIs" dxfId="6322" priority="322" operator="between">
      <formula>"B - Incorporate Comments - Proceed"</formula>
      <formula>"B - Incorporate Comments - Proceed"</formula>
    </cfRule>
    <cfRule type="cellIs" dxfId="6321" priority="323" operator="between">
      <formula>"E - Review not Required - Proceed"</formula>
      <formula>"E - Review not Required - Proceed"</formula>
    </cfRule>
    <cfRule type="cellIs" dxfId="6320" priority="324" operator="between">
      <formula>"D - Rejected "</formula>
      <formula>"D - Rejected "</formula>
    </cfRule>
    <cfRule type="cellIs" dxfId="6319" priority="325" operator="between">
      <formula>"CANCELLED"</formula>
      <formula>"CANCELLED"</formula>
    </cfRule>
    <cfRule type="cellIs" dxfId="6318" priority="326" operator="between">
      <formula>"A - Work May Proceed"</formula>
      <formula>"A - Work May Proceed"</formula>
    </cfRule>
    <cfRule type="cellIs" dxfId="6317" priority="327" operator="between">
      <formula>"C - Revise and Resubmit - Do Not Proceed"</formula>
      <formula>"C - Revise and Resubmit - Do Not Proceed"</formula>
    </cfRule>
    <cfRule type="cellIs" dxfId="6316" priority="328" stopIfTrue="1" operator="between">
      <formula>"B - Incorporate Comments - Proceed "</formula>
      <formula>"B - Incorporate Comments - Proceed "</formula>
    </cfRule>
  </conditionalFormatting>
  <conditionalFormatting sqref="W70">
    <cfRule type="cellIs" dxfId="6315" priority="308" stopIfTrue="1" operator="equal">
      <formula>"A - Work May Proceed"</formula>
    </cfRule>
  </conditionalFormatting>
  <conditionalFormatting sqref="Y69:AC70 Z71:AB71 Y72:AC72">
    <cfRule type="cellIs" dxfId="6314" priority="120" operator="equal">
      <formula>"A - Work May Proceed"</formula>
    </cfRule>
  </conditionalFormatting>
  <conditionalFormatting sqref="Z98:AB98">
    <cfRule type="cellIs" dxfId="6313" priority="50" operator="equal">
      <formula>"B- Incorporate Comments - Proceed"</formula>
    </cfRule>
    <cfRule type="cellIs" dxfId="6312" priority="49" operator="equal">
      <formula>"D - Rejected"</formula>
    </cfRule>
    <cfRule type="cellIs" dxfId="6311" priority="48" operator="equal">
      <formula>"E - Review not Required - Proceed"</formula>
    </cfRule>
    <cfRule type="cellIs" dxfId="6310" priority="51" operator="equal">
      <formula>"C - Revise and Resubmit - Do Not Proceed"</formula>
    </cfRule>
  </conditionalFormatting>
  <conditionalFormatting sqref="Z83:AE83">
    <cfRule type="cellIs" dxfId="6309" priority="285" operator="equal">
      <formula>"B- Incorporate Comments - Proceed"</formula>
    </cfRule>
    <cfRule type="cellIs" dxfId="6308" priority="283" operator="equal">
      <formula>"E - Review not Required - Proceed"</formula>
    </cfRule>
    <cfRule type="cellIs" dxfId="6307" priority="284" operator="equal">
      <formula>"D - Rejected"</formula>
    </cfRule>
    <cfRule type="cellIs" dxfId="6306" priority="286" operator="equal">
      <formula>"C - Revise and Resubmit - Do Not Proceed"</formula>
    </cfRule>
  </conditionalFormatting>
  <conditionalFormatting sqref="AD11">
    <cfRule type="cellIs" dxfId="6305" priority="289" operator="equal">
      <formula>"B - Incorporate Comments - Proceed "</formula>
    </cfRule>
    <cfRule type="cellIs" dxfId="6304" priority="288" operator="equal">
      <formula>"For Information"</formula>
    </cfRule>
    <cfRule type="cellIs" dxfId="6303" priority="287" operator="equal">
      <formula>"B - Incorporate Comments - Proceed"</formula>
    </cfRule>
    <cfRule type="cellIs" dxfId="6302" priority="299" operator="between">
      <formula>"CANCELLED"</formula>
      <formula>"CANCELLED"</formula>
    </cfRule>
    <cfRule type="cellIs" dxfId="6301" priority="294" operator="between">
      <formula>"B - Incorporate Comments - Proceed"</formula>
      <formula>"B - Incorporate Comments - Proceed"</formula>
    </cfRule>
    <cfRule type="cellIs" dxfId="6300" priority="295" operator="between">
      <formula>"A - Work May Proceed"</formula>
      <formula>"A - Work May Proceed"</formula>
    </cfRule>
    <cfRule type="cellIs" dxfId="6299" priority="296" operator="between">
      <formula>"B - Incorporate Comments - Proceed"</formula>
      <formula>"B - Incorporate Comments - Proceed"</formula>
    </cfRule>
    <cfRule type="cellIs" dxfId="6298" priority="297" operator="between">
      <formula>"E - Review not Required - Proceed"</formula>
      <formula>"E - Review not Required - Proceed"</formula>
    </cfRule>
    <cfRule type="cellIs" dxfId="6297" priority="293" operator="between">
      <formula>"C - Revise and Resubmit - Do Not Proceed"</formula>
      <formula>"C - Revise and Resubmit - Do Not Proceed"</formula>
    </cfRule>
    <cfRule type="cellIs" dxfId="6296" priority="298" operator="between">
      <formula>"D - Rejected "</formula>
      <formula>"D - Rejected "</formula>
    </cfRule>
    <cfRule type="cellIs" dxfId="6295" priority="292" operator="between">
      <formula>"'D - Rejected "</formula>
      <formula>"'D - Rejected "</formula>
    </cfRule>
    <cfRule type="cellIs" dxfId="6294" priority="300" operator="between">
      <formula>"A - Work May Proceed"</formula>
      <formula>"A - Work May Proceed"</formula>
    </cfRule>
    <cfRule type="cellIs" dxfId="6293" priority="301" operator="between">
      <formula>"C - Revise and Resubmit - Do Not Proceed"</formula>
      <formula>"C - Revise and Resubmit - Do Not Proceed"</formula>
    </cfRule>
    <cfRule type="cellIs" dxfId="6292" priority="302" stopIfTrue="1" operator="between">
      <formula>"B - Incorporate Comments - Proceed "</formula>
      <formula>"B - Incorporate Comments - Proceed "</formula>
    </cfRule>
    <cfRule type="cellIs" dxfId="6291" priority="291" operator="between">
      <formula>"E - Review not Required - Proceed"</formula>
      <formula>"E - Review not Required - Proceed"</formula>
    </cfRule>
    <cfRule type="cellIs" dxfId="6290" priority="290" operator="equal">
      <formula>"E - Review Not Required - Proceed"</formula>
    </cfRule>
  </conditionalFormatting>
  <conditionalFormatting sqref="AD70">
    <cfRule type="cellIs" dxfId="6289" priority="282" stopIfTrue="1" operator="equal">
      <formula>"A - Work May Proceed"</formula>
    </cfRule>
  </conditionalFormatting>
  <conditionalFormatting sqref="AD71:AL72">
    <cfRule type="cellIs" dxfId="6288" priority="281" operator="equal">
      <formula>"A - Work May Proceed"</formula>
    </cfRule>
  </conditionalFormatting>
  <conditionalFormatting sqref="AD69:BE69">
    <cfRule type="cellIs" dxfId="6287" priority="163" operator="equal">
      <formula>"A - Work May Proceed"</formula>
    </cfRule>
  </conditionalFormatting>
  <conditionalFormatting sqref="AE70:AJ70">
    <cfRule type="cellIs" dxfId="6286" priority="128" operator="equal">
      <formula>"A - Work May Proceed"</formula>
    </cfRule>
  </conditionalFormatting>
  <conditionalFormatting sqref="AG83:AL83">
    <cfRule type="cellIs" dxfId="6285" priority="258" operator="equal">
      <formula>"D - Rejected"</formula>
    </cfRule>
    <cfRule type="cellIs" dxfId="6284" priority="257" operator="equal">
      <formula>"E - Review not Required - Proceed"</formula>
    </cfRule>
    <cfRule type="cellIs" dxfId="6283" priority="260" operator="equal">
      <formula>"C - Revise and Resubmit - Do Not Proceed"</formula>
    </cfRule>
    <cfRule type="cellIs" dxfId="6282" priority="259" operator="equal">
      <formula>"B- Incorporate Comments - Proceed"</formula>
    </cfRule>
  </conditionalFormatting>
  <conditionalFormatting sqref="AK11">
    <cfRule type="cellIs" dxfId="6281" priority="264" operator="equal">
      <formula>"E - Review Not Required - Proceed"</formula>
    </cfRule>
    <cfRule type="cellIs" dxfId="6280" priority="269" operator="between">
      <formula>"A - Work May Proceed"</formula>
      <formula>"A - Work May Proceed"</formula>
    </cfRule>
    <cfRule type="cellIs" dxfId="6279" priority="262" operator="equal">
      <formula>"For Information"</formula>
    </cfRule>
    <cfRule type="cellIs" dxfId="6278" priority="270" operator="between">
      <formula>"B - Incorporate Comments - Proceed"</formula>
      <formula>"B - Incorporate Comments - Proceed"</formula>
    </cfRule>
    <cfRule type="cellIs" dxfId="6277" priority="272" operator="between">
      <formula>"D - Rejected "</formula>
      <formula>"D - Rejected "</formula>
    </cfRule>
    <cfRule type="cellIs" dxfId="6276" priority="261" operator="equal">
      <formula>"B - Incorporate Comments - Proceed"</formula>
    </cfRule>
    <cfRule type="cellIs" dxfId="6275" priority="274" operator="between">
      <formula>"A - Work May Proceed"</formula>
      <formula>"A - Work May Proceed"</formula>
    </cfRule>
    <cfRule type="cellIs" dxfId="6274" priority="275" operator="between">
      <formula>"C - Revise and Resubmit - Do Not Proceed"</formula>
      <formula>"C - Revise and Resubmit - Do Not Proceed"</formula>
    </cfRule>
    <cfRule type="cellIs" dxfId="6273" priority="276" stopIfTrue="1" operator="between">
      <formula>"B - Incorporate Comments - Proceed "</formula>
      <formula>"B - Incorporate Comments - Proceed "</formula>
    </cfRule>
    <cfRule type="cellIs" dxfId="6272" priority="273" operator="between">
      <formula>"CANCELLED"</formula>
      <formula>"CANCELLED"</formula>
    </cfRule>
    <cfRule type="cellIs" dxfId="6271" priority="271" operator="between">
      <formula>"E - Review not Required - Proceed"</formula>
      <formula>"E - Review not Required - Proceed"</formula>
    </cfRule>
    <cfRule type="cellIs" dxfId="6270" priority="263" operator="equal">
      <formula>"B - Incorporate Comments - Proceed "</formula>
    </cfRule>
    <cfRule type="cellIs" dxfId="6269" priority="268" operator="between">
      <formula>"B - Incorporate Comments - Proceed"</formula>
      <formula>"B - Incorporate Comments - Proceed"</formula>
    </cfRule>
    <cfRule type="cellIs" dxfId="6268" priority="267" operator="between">
      <formula>"C - Revise and Resubmit - Do Not Proceed"</formula>
      <formula>"C - Revise and Resubmit - Do Not Proceed"</formula>
    </cfRule>
    <cfRule type="cellIs" dxfId="6267" priority="266" operator="between">
      <formula>"'D - Rejected "</formula>
      <formula>"'D - Rejected "</formula>
    </cfRule>
    <cfRule type="cellIs" dxfId="6266" priority="265" operator="between">
      <formula>"E - Review not Required - Proceed"</formula>
      <formula>"E - Review not Required - Proceed"</formula>
    </cfRule>
  </conditionalFormatting>
  <conditionalFormatting sqref="AK70">
    <cfRule type="cellIs" dxfId="6265" priority="256" stopIfTrue="1" operator="equal">
      <formula>"A - Work May Proceed"</formula>
    </cfRule>
  </conditionalFormatting>
  <conditionalFormatting sqref="AM70:AQ72">
    <cfRule type="cellIs" dxfId="6264" priority="255" operator="equal">
      <formula>"A - Work May Proceed"</formula>
    </cfRule>
  </conditionalFormatting>
  <conditionalFormatting sqref="AN83:AS83">
    <cfRule type="cellIs" dxfId="6263" priority="234" operator="equal">
      <formula>"C - Revise and Resubmit - Do Not Proceed"</formula>
    </cfRule>
    <cfRule type="cellIs" dxfId="6262" priority="233" operator="equal">
      <formula>"B- Incorporate Comments - Proceed"</formula>
    </cfRule>
    <cfRule type="cellIs" dxfId="6261" priority="232" operator="equal">
      <formula>"D - Rejected"</formula>
    </cfRule>
    <cfRule type="cellIs" dxfId="6260" priority="231" operator="equal">
      <formula>"E - Review not Required - Proceed"</formula>
    </cfRule>
  </conditionalFormatting>
  <conditionalFormatting sqref="AR11">
    <cfRule type="cellIs" dxfId="6259" priority="247" operator="between">
      <formula>"CANCELLED"</formula>
      <formula>"CANCELLED"</formula>
    </cfRule>
    <cfRule type="cellIs" dxfId="6258" priority="245" operator="between">
      <formula>"E - Review not Required - Proceed"</formula>
      <formula>"E - Review not Required - Proceed"</formula>
    </cfRule>
    <cfRule type="cellIs" dxfId="6257" priority="244" operator="between">
      <formula>"B - Incorporate Comments - Proceed"</formula>
      <formula>"B - Incorporate Comments - Proceed"</formula>
    </cfRule>
    <cfRule type="cellIs" dxfId="6256" priority="243" operator="between">
      <formula>"A - Work May Proceed"</formula>
      <formula>"A - Work May Proceed"</formula>
    </cfRule>
    <cfRule type="cellIs" dxfId="6255" priority="242" operator="between">
      <formula>"B - Incorporate Comments - Proceed"</formula>
      <formula>"B - Incorporate Comments - Proceed"</formula>
    </cfRule>
    <cfRule type="cellIs" dxfId="6254" priority="241" operator="between">
      <formula>"C - Revise and Resubmit - Do Not Proceed"</formula>
      <formula>"C - Revise and Resubmit - Do Not Proceed"</formula>
    </cfRule>
    <cfRule type="cellIs" dxfId="6253" priority="240" operator="between">
      <formula>"'D - Rejected "</formula>
      <formula>"'D - Rejected "</formula>
    </cfRule>
    <cfRule type="cellIs" dxfId="6252" priority="239" operator="between">
      <formula>"E - Review not Required - Proceed"</formula>
      <formula>"E - Review not Required - Proceed"</formula>
    </cfRule>
    <cfRule type="cellIs" dxfId="6251" priority="237" operator="equal">
      <formula>"B - Incorporate Comments - Proceed "</formula>
    </cfRule>
    <cfRule type="cellIs" dxfId="6250" priority="236" operator="equal">
      <formula>"For Information"</formula>
    </cfRule>
    <cfRule type="cellIs" dxfId="6249" priority="235" operator="equal">
      <formula>"B - Incorporate Comments - Proceed"</formula>
    </cfRule>
    <cfRule type="cellIs" dxfId="6248" priority="238" operator="equal">
      <formula>"E - Review Not Required - Proceed"</formula>
    </cfRule>
    <cfRule type="cellIs" dxfId="6247" priority="246" operator="between">
      <formula>"D - Rejected "</formula>
      <formula>"D - Rejected "</formula>
    </cfRule>
    <cfRule type="cellIs" dxfId="6246" priority="250" stopIfTrue="1" operator="between">
      <formula>"B - Incorporate Comments - Proceed "</formula>
      <formula>"B - Incorporate Comments - Proceed "</formula>
    </cfRule>
    <cfRule type="cellIs" dxfId="6245" priority="249" operator="between">
      <formula>"C - Revise and Resubmit - Do Not Proceed"</formula>
      <formula>"C - Revise and Resubmit - Do Not Proceed"</formula>
    </cfRule>
    <cfRule type="cellIs" dxfId="6244" priority="248" operator="between">
      <formula>"A - Work May Proceed"</formula>
      <formula>"A - Work May Proceed"</formula>
    </cfRule>
  </conditionalFormatting>
  <conditionalFormatting sqref="AR70">
    <cfRule type="cellIs" dxfId="6243" priority="230" stopIfTrue="1" operator="equal">
      <formula>"A - Work May Proceed"</formula>
    </cfRule>
  </conditionalFormatting>
  <conditionalFormatting sqref="AT70:AX72">
    <cfRule type="cellIs" dxfId="6242" priority="229" operator="equal">
      <formula>"A - Work May Proceed"</formula>
    </cfRule>
  </conditionalFormatting>
  <conditionalFormatting sqref="AU83:AZ83">
    <cfRule type="cellIs" dxfId="6241" priority="208" operator="equal">
      <formula>"C - Revise and Resubmit - Do Not Proceed"</formula>
    </cfRule>
    <cfRule type="cellIs" dxfId="6240" priority="207" operator="equal">
      <formula>"B- Incorporate Comments - Proceed"</formula>
    </cfRule>
    <cfRule type="cellIs" dxfId="6239" priority="206" operator="equal">
      <formula>"D - Rejected"</formula>
    </cfRule>
    <cfRule type="cellIs" dxfId="6238" priority="205" operator="equal">
      <formula>"E - Review not Required - Proceed"</formula>
    </cfRule>
  </conditionalFormatting>
  <conditionalFormatting sqref="AY11">
    <cfRule type="cellIs" dxfId="6237" priority="213" operator="between">
      <formula>"E - Review not Required - Proceed"</formula>
      <formula>"E - Review not Required - Proceed"</formula>
    </cfRule>
    <cfRule type="cellIs" dxfId="6236" priority="212" operator="equal">
      <formula>"E - Review Not Required - Proceed"</formula>
    </cfRule>
    <cfRule type="cellIs" dxfId="6235" priority="211" operator="equal">
      <formula>"B - Incorporate Comments - Proceed "</formula>
    </cfRule>
    <cfRule type="cellIs" dxfId="6234" priority="210" operator="equal">
      <formula>"For Information"</formula>
    </cfRule>
    <cfRule type="cellIs" dxfId="6233" priority="209" operator="equal">
      <formula>"B - Incorporate Comments - Proceed"</formula>
    </cfRule>
    <cfRule type="cellIs" dxfId="6232" priority="220" operator="between">
      <formula>"D - Rejected "</formula>
      <formula>"D - Rejected "</formula>
    </cfRule>
    <cfRule type="cellIs" dxfId="6231" priority="221" operator="between">
      <formula>"CANCELLED"</formula>
      <formula>"CANCELLED"</formula>
    </cfRule>
    <cfRule type="cellIs" dxfId="6230" priority="222" operator="between">
      <formula>"A - Work May Proceed"</formula>
      <formula>"A - Work May Proceed"</formula>
    </cfRule>
    <cfRule type="cellIs" dxfId="6229" priority="223" operator="between">
      <formula>"C - Revise and Resubmit - Do Not Proceed"</formula>
      <formula>"C - Revise and Resubmit - Do Not Proceed"</formula>
    </cfRule>
    <cfRule type="cellIs" dxfId="6228" priority="224" stopIfTrue="1" operator="between">
      <formula>"B - Incorporate Comments - Proceed "</formula>
      <formula>"B - Incorporate Comments - Proceed "</formula>
    </cfRule>
    <cfRule type="cellIs" dxfId="6227" priority="217" operator="between">
      <formula>"A - Work May Proceed"</formula>
      <formula>"A - Work May Proceed"</formula>
    </cfRule>
    <cfRule type="cellIs" dxfId="6226" priority="218" operator="between">
      <formula>"B - Incorporate Comments - Proceed"</formula>
      <formula>"B - Incorporate Comments - Proceed"</formula>
    </cfRule>
    <cfRule type="cellIs" dxfId="6225" priority="219" operator="between">
      <formula>"E - Review not Required - Proceed"</formula>
      <formula>"E - Review not Required - Proceed"</formula>
    </cfRule>
    <cfRule type="cellIs" dxfId="6224" priority="215" operator="between">
      <formula>"C - Revise and Resubmit - Do Not Proceed"</formula>
      <formula>"C - Revise and Resubmit - Do Not Proceed"</formula>
    </cfRule>
    <cfRule type="cellIs" dxfId="6223" priority="214" operator="between">
      <formula>"'D - Rejected "</formula>
      <formula>"'D - Rejected "</formula>
    </cfRule>
    <cfRule type="cellIs" dxfId="6222" priority="216" operator="between">
      <formula>"B - Incorporate Comments - Proceed"</formula>
      <formula>"B - Incorporate Comments - Proceed"</formula>
    </cfRule>
  </conditionalFormatting>
  <conditionalFormatting sqref="AY70">
    <cfRule type="cellIs" dxfId="6221" priority="204" stopIfTrue="1" operator="equal">
      <formula>"A - Work May Proceed"</formula>
    </cfRule>
  </conditionalFormatting>
  <conditionalFormatting sqref="BA70:BE72">
    <cfRule type="cellIs" dxfId="6220" priority="203" operator="equal">
      <formula>"A - Work May Proceed"</formula>
    </cfRule>
  </conditionalFormatting>
  <conditionalFormatting sqref="BF1:BF10">
    <cfRule type="cellIs" dxfId="6219" priority="11" operator="equal">
      <formula>"E - Review not Required - Proceed"</formula>
    </cfRule>
    <cfRule type="cellIs" dxfId="6218" priority="12" operator="equal">
      <formula>"D - Rejected"</formula>
    </cfRule>
    <cfRule type="cellIs" dxfId="6217" priority="13" operator="equal">
      <formula>"B- Incorporate Comments - Proceed"</formula>
    </cfRule>
    <cfRule type="cellIs" dxfId="6216" priority="15" operator="equal">
      <formula>"A - Work May Proceed"</formula>
    </cfRule>
    <cfRule type="cellIs" dxfId="6215" priority="14" operator="equal">
      <formula>"C - Revise and Resubmit - Do Not Proceed"</formula>
    </cfRule>
  </conditionalFormatting>
  <pageMargins left="0.7" right="0.7" top="0.75" bottom="0.75" header="0.3" footer="0.3"/>
  <pageSetup paperSize="8" scale="11" fitToHeight="0" orientation="landscape" r:id="rId1"/>
  <colBreaks count="1" manualBreakCount="1">
    <brk id="57" max="19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pageSetUpPr fitToPage="1"/>
  </sheetPr>
  <dimension ref="A1:BF34"/>
  <sheetViews>
    <sheetView zoomScale="55" zoomScaleNormal="55" zoomScaleSheetLayoutView="70" workbookViewId="0">
      <pane ySplit="11" topLeftCell="A12" activePane="bottomLeft" state="frozen"/>
      <selection activeCell="A14" sqref="A14"/>
      <selection pane="bottomLeft" activeCell="E21" sqref="E21"/>
    </sheetView>
  </sheetViews>
  <sheetFormatPr defaultColWidth="9.140625" defaultRowHeight="15" x14ac:dyDescent="0.25"/>
  <cols>
    <col min="1" max="1" width="25.7109375" style="393" customWidth="1"/>
    <col min="2" max="2" width="30.5703125" style="393" bestFit="1" customWidth="1"/>
    <col min="3" max="3" width="29.140625" style="393" customWidth="1"/>
    <col min="4" max="4" width="51.85546875" style="393" bestFit="1" customWidth="1"/>
    <col min="5" max="5" width="45.7109375" style="393" customWidth="1"/>
    <col min="6" max="6" width="79.7109375" style="394" customWidth="1"/>
    <col min="7" max="7" width="22.85546875" style="393" customWidth="1"/>
    <col min="8" max="8" width="19.140625" style="393" bestFit="1" customWidth="1"/>
    <col min="9" max="9" width="28.85546875" style="394" customWidth="1"/>
    <col min="10" max="10" width="28.85546875" style="395" customWidth="1"/>
    <col min="11" max="12" width="28.85546875" style="394" customWidth="1"/>
    <col min="13" max="14" width="28.85546875" style="395" customWidth="1"/>
    <col min="15" max="15" width="28.85546875" style="394" customWidth="1"/>
    <col min="16" max="16" width="27.85546875" style="394" customWidth="1"/>
    <col min="17" max="17" width="27.85546875" style="395" customWidth="1"/>
    <col min="18" max="19" width="27.85546875" style="394" customWidth="1"/>
    <col min="20" max="21" width="27.85546875" style="395" customWidth="1"/>
    <col min="22" max="22" width="27.85546875" style="393" customWidth="1"/>
    <col min="23" max="23" width="27.85546875" style="394" customWidth="1"/>
    <col min="24" max="24" width="27.85546875" style="395" customWidth="1"/>
    <col min="25" max="26" width="27.85546875" style="394" customWidth="1"/>
    <col min="27" max="28" width="27.85546875" style="395" customWidth="1"/>
    <col min="29" max="29" width="27.85546875" style="393" customWidth="1"/>
    <col min="30" max="30" width="27.85546875" style="394" customWidth="1"/>
    <col min="31" max="31" width="27.85546875" style="395" customWidth="1"/>
    <col min="32" max="33" width="27.85546875" style="394" customWidth="1"/>
    <col min="34" max="35" width="27.85546875" style="395" customWidth="1"/>
    <col min="36" max="36" width="27.85546875" style="393" customWidth="1"/>
    <col min="37" max="37" width="27.85546875" style="394" customWidth="1"/>
    <col min="38" max="38" width="27.85546875" style="395" customWidth="1"/>
    <col min="39" max="40" width="27.85546875" style="394" customWidth="1"/>
    <col min="41" max="42" width="27.85546875" style="395" customWidth="1"/>
    <col min="43" max="43" width="27.85546875" style="393" customWidth="1"/>
    <col min="44" max="44" width="27.85546875" style="394" customWidth="1"/>
    <col min="45" max="45" width="27.85546875" style="395" customWidth="1"/>
    <col min="46" max="47" width="27.85546875" style="394" customWidth="1"/>
    <col min="48" max="49" width="27.85546875" style="395" customWidth="1"/>
    <col min="50" max="50" width="27.85546875" style="393" customWidth="1"/>
    <col min="51" max="51" width="27.85546875" style="394" customWidth="1"/>
    <col min="52" max="52" width="27.85546875" style="395" customWidth="1"/>
    <col min="53" max="54" width="27.85546875" style="394" customWidth="1"/>
    <col min="55" max="56" width="27.85546875" style="395" customWidth="1"/>
    <col min="57" max="57" width="27.85546875" style="393" customWidth="1"/>
    <col min="58" max="58" width="38.85546875" style="401" customWidth="1"/>
    <col min="59" max="16384" width="9.140625" style="393"/>
  </cols>
  <sheetData>
    <row r="1" spans="1:58" s="405" customFormat="1" ht="20.25" customHeight="1" x14ac:dyDescent="0.2">
      <c r="A1" s="5"/>
      <c r="B1" s="313" t="s">
        <v>27</v>
      </c>
      <c r="C1" s="271" t="s">
        <v>26</v>
      </c>
      <c r="D1" s="271"/>
      <c r="E1" s="271"/>
      <c r="F1" s="271"/>
      <c r="G1" s="272"/>
      <c r="H1" s="533" t="s">
        <v>5496</v>
      </c>
      <c r="I1" s="535">
        <f ca="1">TODAY()</f>
        <v>46266</v>
      </c>
      <c r="J1" s="535"/>
      <c r="K1" s="283"/>
      <c r="L1" s="283"/>
      <c r="M1" s="283"/>
      <c r="N1" s="283"/>
      <c r="O1" s="283"/>
      <c r="P1" s="283"/>
      <c r="Q1" s="283"/>
      <c r="R1" s="283"/>
      <c r="S1" s="273"/>
      <c r="T1" s="273"/>
      <c r="U1" s="273"/>
      <c r="V1" s="273"/>
      <c r="W1" s="283"/>
      <c r="X1" s="283"/>
      <c r="Y1" s="283"/>
      <c r="Z1" s="273"/>
      <c r="AA1" s="273"/>
      <c r="AB1" s="273"/>
      <c r="AC1" s="273"/>
      <c r="AD1" s="283"/>
      <c r="AE1" s="283"/>
      <c r="AF1" s="283"/>
      <c r="AG1" s="273"/>
      <c r="AH1" s="273"/>
      <c r="AI1" s="273"/>
      <c r="AJ1" s="273"/>
      <c r="AK1" s="283"/>
      <c r="AL1" s="283"/>
      <c r="AM1" s="283"/>
      <c r="AN1" s="273"/>
      <c r="AO1" s="273"/>
      <c r="AP1" s="273"/>
      <c r="AQ1" s="273"/>
      <c r="AR1" s="283"/>
      <c r="AS1" s="283"/>
      <c r="AT1" s="283"/>
      <c r="AU1" s="273"/>
      <c r="AV1" s="273"/>
      <c r="AW1" s="273"/>
      <c r="AX1" s="273"/>
      <c r="AY1" s="283"/>
      <c r="AZ1" s="283"/>
      <c r="BA1" s="283"/>
      <c r="BB1" s="273"/>
      <c r="BC1" s="273"/>
      <c r="BD1" s="273"/>
      <c r="BE1" s="273"/>
      <c r="BF1" s="5"/>
    </row>
    <row r="2" spans="1:58" s="405" customFormat="1" ht="20.25" customHeight="1" x14ac:dyDescent="0.2">
      <c r="A2" s="5"/>
      <c r="B2" s="314" t="s">
        <v>28</v>
      </c>
      <c r="C2" s="274" t="s">
        <v>31</v>
      </c>
      <c r="D2" s="274"/>
      <c r="E2" s="274"/>
      <c r="F2" s="274"/>
      <c r="G2" s="148"/>
      <c r="H2" s="534"/>
      <c r="I2" s="536"/>
      <c r="J2" s="536"/>
      <c r="K2" s="283"/>
      <c r="L2" s="283"/>
      <c r="M2" s="283"/>
      <c r="N2" s="283"/>
      <c r="O2" s="283"/>
      <c r="P2" s="283"/>
      <c r="Q2" s="283"/>
      <c r="R2" s="283"/>
      <c r="S2" s="273"/>
      <c r="T2" s="273"/>
      <c r="U2" s="273"/>
      <c r="V2" s="273"/>
      <c r="W2" s="283"/>
      <c r="X2" s="283"/>
      <c r="Y2" s="283"/>
      <c r="Z2" s="273"/>
      <c r="AA2" s="273"/>
      <c r="AB2" s="273"/>
      <c r="AC2" s="273"/>
      <c r="AD2" s="283"/>
      <c r="AE2" s="283"/>
      <c r="AF2" s="283"/>
      <c r="AG2" s="273"/>
      <c r="AH2" s="273"/>
      <c r="AI2" s="273"/>
      <c r="AJ2" s="273"/>
      <c r="AK2" s="283"/>
      <c r="AL2" s="283"/>
      <c r="AM2" s="283"/>
      <c r="AN2" s="273"/>
      <c r="AO2" s="273"/>
      <c r="AP2" s="273"/>
      <c r="AQ2" s="273"/>
      <c r="AR2" s="283"/>
      <c r="AS2" s="283"/>
      <c r="AT2" s="283"/>
      <c r="AU2" s="273"/>
      <c r="AV2" s="273"/>
      <c r="AW2" s="273"/>
      <c r="AX2" s="273"/>
      <c r="AY2" s="283"/>
      <c r="AZ2" s="283"/>
      <c r="BA2" s="283"/>
      <c r="BB2" s="273"/>
      <c r="BC2" s="273"/>
      <c r="BD2" s="273"/>
      <c r="BE2" s="273"/>
      <c r="BF2" s="5"/>
    </row>
    <row r="3" spans="1:58" s="405" customFormat="1" ht="20.25" customHeight="1" x14ac:dyDescent="0.2">
      <c r="A3" s="5"/>
      <c r="B3" s="314" t="s">
        <v>507</v>
      </c>
      <c r="C3" s="274" t="s">
        <v>147</v>
      </c>
      <c r="D3" s="274"/>
      <c r="E3" s="274"/>
      <c r="F3" s="274"/>
      <c r="G3" s="148"/>
      <c r="H3" s="148"/>
      <c r="I3" s="284"/>
      <c r="J3" s="315"/>
      <c r="K3" s="283"/>
      <c r="L3" s="283"/>
      <c r="M3" s="283"/>
      <c r="N3" s="283"/>
      <c r="O3" s="283"/>
      <c r="P3" s="283"/>
      <c r="Q3" s="283"/>
      <c r="R3" s="283"/>
      <c r="S3" s="273"/>
      <c r="T3" s="273"/>
      <c r="U3" s="273"/>
      <c r="V3" s="273"/>
      <c r="W3" s="283"/>
      <c r="X3" s="283"/>
      <c r="Y3" s="283"/>
      <c r="Z3" s="273"/>
      <c r="AA3" s="273"/>
      <c r="AB3" s="273"/>
      <c r="AC3" s="273"/>
      <c r="AD3" s="283"/>
      <c r="AE3" s="283"/>
      <c r="AF3" s="283"/>
      <c r="AG3" s="273"/>
      <c r="AH3" s="273"/>
      <c r="AI3" s="273"/>
      <c r="AJ3" s="273"/>
      <c r="AK3" s="283"/>
      <c r="AL3" s="283"/>
      <c r="AM3" s="283"/>
      <c r="AN3" s="273"/>
      <c r="AO3" s="273"/>
      <c r="AP3" s="273"/>
      <c r="AQ3" s="273"/>
      <c r="AR3" s="283"/>
      <c r="AS3" s="283"/>
      <c r="AT3" s="283"/>
      <c r="AU3" s="273"/>
      <c r="AV3" s="273"/>
      <c r="AW3" s="273"/>
      <c r="AX3" s="273"/>
      <c r="AY3" s="283"/>
      <c r="AZ3" s="283"/>
      <c r="BA3" s="283"/>
      <c r="BB3" s="273"/>
      <c r="BC3" s="273"/>
      <c r="BD3" s="273"/>
      <c r="BE3" s="273"/>
      <c r="BF3" s="5"/>
    </row>
    <row r="4" spans="1:58" s="405" customFormat="1" x14ac:dyDescent="0.2">
      <c r="A4" s="5"/>
      <c r="B4" s="314"/>
      <c r="C4" s="274"/>
      <c r="D4" s="274"/>
      <c r="E4" s="274"/>
      <c r="F4" s="274"/>
      <c r="G4" s="148"/>
      <c r="H4" s="148"/>
      <c r="I4" s="284"/>
      <c r="J4" s="315"/>
      <c r="K4" s="283"/>
      <c r="L4" s="283"/>
      <c r="M4" s="283"/>
      <c r="N4" s="283"/>
      <c r="O4" s="283"/>
      <c r="P4" s="283"/>
      <c r="Q4" s="283"/>
      <c r="R4" s="283"/>
      <c r="S4" s="273"/>
      <c r="T4" s="273"/>
      <c r="U4" s="273"/>
      <c r="V4" s="273"/>
      <c r="W4" s="283"/>
      <c r="X4" s="283"/>
      <c r="Y4" s="283"/>
      <c r="Z4" s="273"/>
      <c r="AA4" s="273"/>
      <c r="AB4" s="273"/>
      <c r="AC4" s="273"/>
      <c r="AD4" s="283"/>
      <c r="AE4" s="283"/>
      <c r="AF4" s="283"/>
      <c r="AG4" s="273"/>
      <c r="AH4" s="273"/>
      <c r="AI4" s="273"/>
      <c r="AJ4" s="273"/>
      <c r="AK4" s="283"/>
      <c r="AL4" s="283"/>
      <c r="AM4" s="283"/>
      <c r="AN4" s="273"/>
      <c r="AO4" s="273"/>
      <c r="AP4" s="273"/>
      <c r="AQ4" s="273"/>
      <c r="AR4" s="283"/>
      <c r="AS4" s="283"/>
      <c r="AT4" s="283"/>
      <c r="AU4" s="273"/>
      <c r="AV4" s="273"/>
      <c r="AW4" s="273"/>
      <c r="AX4" s="273"/>
      <c r="AY4" s="283"/>
      <c r="AZ4" s="283"/>
      <c r="BA4" s="283"/>
      <c r="BB4" s="273"/>
      <c r="BC4" s="273"/>
      <c r="BD4" s="273"/>
      <c r="BE4" s="273"/>
      <c r="BF4" s="5"/>
    </row>
    <row r="5" spans="1:58" s="405" customFormat="1" ht="30" x14ac:dyDescent="0.2">
      <c r="A5" s="5"/>
      <c r="B5" s="316" t="s">
        <v>5</v>
      </c>
      <c r="C5" s="268" t="s">
        <v>18</v>
      </c>
      <c r="D5" s="268" t="s">
        <v>3</v>
      </c>
      <c r="E5" s="269" t="s">
        <v>14</v>
      </c>
      <c r="F5" s="268" t="s">
        <v>13</v>
      </c>
      <c r="G5" s="269" t="s">
        <v>4</v>
      </c>
      <c r="H5" s="269" t="s">
        <v>53</v>
      </c>
      <c r="I5" s="270" t="s">
        <v>331</v>
      </c>
      <c r="J5" s="317" t="s">
        <v>508</v>
      </c>
      <c r="K5" s="283"/>
      <c r="L5" s="283"/>
      <c r="M5" s="283"/>
      <c r="N5" s="283"/>
      <c r="O5" s="283"/>
      <c r="P5" s="283"/>
      <c r="Q5" s="283"/>
      <c r="R5" s="283"/>
      <c r="S5" s="273"/>
      <c r="T5" s="273"/>
      <c r="U5" s="273"/>
      <c r="V5" s="273"/>
      <c r="W5" s="283"/>
      <c r="X5" s="283"/>
      <c r="Y5" s="283"/>
      <c r="Z5" s="273"/>
      <c r="AA5" s="273"/>
      <c r="AB5" s="273"/>
      <c r="AC5" s="273"/>
      <c r="AD5" s="283"/>
      <c r="AE5" s="283"/>
      <c r="AF5" s="283"/>
      <c r="AG5" s="273"/>
      <c r="AH5" s="273"/>
      <c r="AI5" s="273"/>
      <c r="AJ5" s="273"/>
      <c r="AK5" s="283"/>
      <c r="AL5" s="283"/>
      <c r="AM5" s="283"/>
      <c r="AN5" s="273"/>
      <c r="AO5" s="273"/>
      <c r="AP5" s="273"/>
      <c r="AQ5" s="273"/>
      <c r="AR5" s="283"/>
      <c r="AS5" s="283"/>
      <c r="AT5" s="283"/>
      <c r="AU5" s="273"/>
      <c r="AV5" s="273"/>
      <c r="AW5" s="273"/>
      <c r="AX5" s="273"/>
      <c r="AY5" s="283"/>
      <c r="AZ5" s="283"/>
      <c r="BA5" s="283"/>
      <c r="BB5" s="273"/>
      <c r="BC5" s="273"/>
      <c r="BD5" s="273"/>
      <c r="BE5" s="273"/>
      <c r="BF5" s="5"/>
    </row>
    <row r="6" spans="1:58" s="405" customFormat="1" ht="21.75" customHeight="1" x14ac:dyDescent="0.2">
      <c r="A6" s="5"/>
      <c r="B6" s="318">
        <f>COUNTIF(B12:B34,"A - Work May Proceed")</f>
        <v>13</v>
      </c>
      <c r="C6" s="275">
        <f>COUNTIF(B12:B34,"B- Incorporate Comments - Proceed")</f>
        <v>5</v>
      </c>
      <c r="D6" s="275">
        <f>COUNTIF(B12:B34,"C - Revise and Resubmit - Do Not Proceed")</f>
        <v>1</v>
      </c>
      <c r="E6" s="275">
        <f>COUNTIF(B12:B34,"D - Rejected")</f>
        <v>0</v>
      </c>
      <c r="F6" s="275">
        <f>COUNTIF(B12:B34,"E - Review not Required - Proceed")</f>
        <v>0</v>
      </c>
      <c r="G6" s="276">
        <f>COUNTIF(B12:B34,"UR")</f>
        <v>0</v>
      </c>
      <c r="H6" s="276">
        <f>COUNTIF(B12:B34,"FA")</f>
        <v>0</v>
      </c>
      <c r="I6" s="285">
        <f>COUNTIF(B12:B34,"Terminated")</f>
        <v>0</v>
      </c>
      <c r="J6" s="319">
        <f>COUNTIF(B12:B34,"Cancelled")</f>
        <v>3</v>
      </c>
      <c r="K6" s="283"/>
      <c r="L6" s="283"/>
      <c r="M6" s="283"/>
      <c r="N6" s="283"/>
      <c r="O6" s="283"/>
      <c r="P6" s="283"/>
      <c r="Q6" s="283"/>
      <c r="R6" s="283"/>
      <c r="S6" s="273"/>
      <c r="T6" s="273"/>
      <c r="U6" s="273"/>
      <c r="V6" s="273"/>
      <c r="W6" s="283"/>
      <c r="X6" s="283"/>
      <c r="Y6" s="283"/>
      <c r="Z6" s="273"/>
      <c r="AA6" s="273"/>
      <c r="AB6" s="273"/>
      <c r="AC6" s="273"/>
      <c r="AD6" s="283"/>
      <c r="AE6" s="283"/>
      <c r="AF6" s="283"/>
      <c r="AG6" s="273"/>
      <c r="AH6" s="273"/>
      <c r="AI6" s="273"/>
      <c r="AJ6" s="273"/>
      <c r="AK6" s="283"/>
      <c r="AL6" s="283"/>
      <c r="AM6" s="283"/>
      <c r="AN6" s="273"/>
      <c r="AO6" s="273"/>
      <c r="AP6" s="273"/>
      <c r="AQ6" s="273"/>
      <c r="AR6" s="283"/>
      <c r="AS6" s="283"/>
      <c r="AT6" s="283"/>
      <c r="AU6" s="273"/>
      <c r="AV6" s="273"/>
      <c r="AW6" s="273"/>
      <c r="AX6" s="273"/>
      <c r="AY6" s="283"/>
      <c r="AZ6" s="283"/>
      <c r="BA6" s="283"/>
      <c r="BB6" s="273"/>
      <c r="BC6" s="273"/>
      <c r="BD6" s="273"/>
      <c r="BE6" s="273"/>
      <c r="BF6" s="5"/>
    </row>
    <row r="7" spans="1:58" s="405" customFormat="1" ht="21.75" customHeight="1" x14ac:dyDescent="0.2">
      <c r="A7" s="5"/>
      <c r="B7" s="320"/>
      <c r="C7" s="278"/>
      <c r="D7" s="279"/>
      <c r="E7" s="278"/>
      <c r="F7" s="278"/>
      <c r="G7" s="277"/>
      <c r="H7" s="278"/>
      <c r="I7" s="284"/>
      <c r="J7" s="315"/>
      <c r="K7" s="283"/>
      <c r="L7" s="283"/>
      <c r="M7" s="283"/>
      <c r="N7" s="283"/>
      <c r="O7" s="283"/>
      <c r="P7" s="283"/>
      <c r="Q7" s="283"/>
      <c r="R7" s="283"/>
      <c r="S7" s="273"/>
      <c r="T7" s="273"/>
      <c r="U7" s="273"/>
      <c r="V7" s="273"/>
      <c r="W7" s="283"/>
      <c r="X7" s="283"/>
      <c r="Y7" s="283"/>
      <c r="Z7" s="273"/>
      <c r="AA7" s="273"/>
      <c r="AB7" s="273"/>
      <c r="AC7" s="273"/>
      <c r="AD7" s="283"/>
      <c r="AE7" s="283"/>
      <c r="AF7" s="283"/>
      <c r="AG7" s="273"/>
      <c r="AH7" s="273"/>
      <c r="AI7" s="273"/>
      <c r="AJ7" s="273"/>
      <c r="AK7" s="283"/>
      <c r="AL7" s="283"/>
      <c r="AM7" s="283"/>
      <c r="AN7" s="273"/>
      <c r="AO7" s="273"/>
      <c r="AP7" s="273"/>
      <c r="AQ7" s="273"/>
      <c r="AR7" s="283"/>
      <c r="AS7" s="283"/>
      <c r="AT7" s="283"/>
      <c r="AU7" s="273"/>
      <c r="AV7" s="273"/>
      <c r="AW7" s="273"/>
      <c r="AX7" s="273"/>
      <c r="AY7" s="283"/>
      <c r="AZ7" s="283"/>
      <c r="BA7" s="283"/>
      <c r="BB7" s="273"/>
      <c r="BC7" s="273"/>
      <c r="BD7" s="273"/>
      <c r="BE7" s="273"/>
      <c r="BF7" s="5"/>
    </row>
    <row r="8" spans="1:58" s="405" customFormat="1" ht="21.75" customHeight="1" x14ac:dyDescent="0.2">
      <c r="A8" s="5"/>
      <c r="B8" s="321" t="s">
        <v>509</v>
      </c>
      <c r="C8" s="281">
        <f>SUM(B6:J6)</f>
        <v>22</v>
      </c>
      <c r="D8" s="279"/>
      <c r="E8" s="278"/>
      <c r="F8" s="278"/>
      <c r="G8" s="280"/>
      <c r="H8" s="282"/>
      <c r="I8" s="286"/>
      <c r="J8" s="322"/>
      <c r="K8" s="283"/>
      <c r="L8" s="283"/>
      <c r="M8" s="283"/>
      <c r="N8" s="283"/>
      <c r="O8" s="283"/>
      <c r="P8" s="283"/>
      <c r="Q8" s="283"/>
      <c r="R8" s="283"/>
      <c r="S8" s="273"/>
      <c r="T8" s="273"/>
      <c r="U8" s="273"/>
      <c r="V8" s="273"/>
      <c r="W8" s="283"/>
      <c r="X8" s="283"/>
      <c r="Y8" s="283"/>
      <c r="Z8" s="273"/>
      <c r="AA8" s="273"/>
      <c r="AB8" s="273"/>
      <c r="AC8" s="273"/>
      <c r="AD8" s="283"/>
      <c r="AE8" s="283"/>
      <c r="AF8" s="283"/>
      <c r="AG8" s="273"/>
      <c r="AH8" s="273"/>
      <c r="AI8" s="273"/>
      <c r="AJ8" s="273"/>
      <c r="AK8" s="283"/>
      <c r="AL8" s="283"/>
      <c r="AM8" s="283"/>
      <c r="AN8" s="273"/>
      <c r="AO8" s="273"/>
      <c r="AP8" s="273"/>
      <c r="AQ8" s="273"/>
      <c r="AR8" s="283"/>
      <c r="AS8" s="283"/>
      <c r="AT8" s="283"/>
      <c r="AU8" s="273"/>
      <c r="AV8" s="273"/>
      <c r="AW8" s="273"/>
      <c r="AX8" s="273"/>
      <c r="AY8" s="283"/>
      <c r="AZ8" s="283"/>
      <c r="BA8" s="283"/>
      <c r="BB8" s="273"/>
      <c r="BC8" s="273"/>
      <c r="BD8" s="273"/>
      <c r="BE8" s="273"/>
      <c r="BF8" s="5"/>
    </row>
    <row r="9" spans="1:58" s="428" customFormat="1" ht="20.25" thickBot="1" x14ac:dyDescent="0.3">
      <c r="A9" s="312"/>
      <c r="B9" s="430"/>
      <c r="C9" s="431"/>
      <c r="D9" s="431"/>
      <c r="E9" s="431"/>
      <c r="F9" s="431"/>
      <c r="G9" s="431"/>
      <c r="H9" s="431"/>
      <c r="I9" s="432"/>
      <c r="J9" s="433"/>
      <c r="K9" s="287"/>
      <c r="L9" s="287"/>
      <c r="M9" s="287"/>
      <c r="N9" s="287"/>
      <c r="O9" s="287"/>
      <c r="P9" s="287"/>
      <c r="Q9" s="287"/>
      <c r="R9" s="287"/>
      <c r="S9" s="257"/>
      <c r="T9" s="257"/>
      <c r="U9" s="257"/>
      <c r="V9" s="257"/>
      <c r="W9" s="287"/>
      <c r="X9" s="287"/>
      <c r="Y9" s="287"/>
      <c r="Z9" s="257"/>
      <c r="AA9" s="257"/>
      <c r="AB9" s="257"/>
      <c r="AC9" s="257"/>
      <c r="AD9" s="287"/>
      <c r="AE9" s="287"/>
      <c r="AF9" s="287"/>
      <c r="AG9" s="257"/>
      <c r="AH9" s="257"/>
      <c r="AI9" s="257"/>
      <c r="AJ9" s="257"/>
      <c r="AK9" s="287"/>
      <c r="AL9" s="287"/>
      <c r="AM9" s="287"/>
      <c r="AN9" s="257"/>
      <c r="AO9" s="257"/>
      <c r="AP9" s="257"/>
      <c r="AQ9" s="257"/>
      <c r="AR9" s="287"/>
      <c r="AS9" s="287"/>
      <c r="AT9" s="287"/>
      <c r="AU9" s="257"/>
      <c r="AV9" s="257"/>
      <c r="AW9" s="257"/>
      <c r="AX9" s="257"/>
      <c r="AY9" s="287"/>
      <c r="AZ9" s="287"/>
      <c r="BA9" s="287"/>
      <c r="BB9" s="257"/>
      <c r="BC9" s="257"/>
      <c r="BD9" s="257"/>
      <c r="BE9" s="257"/>
      <c r="BF9" s="249"/>
    </row>
    <row r="10" spans="1:58" s="429" customFormat="1" ht="21" customHeight="1" x14ac:dyDescent="0.2">
      <c r="A10" s="521" t="s">
        <v>3297</v>
      </c>
      <c r="B10" s="527" t="s">
        <v>17</v>
      </c>
      <c r="C10" s="527" t="s">
        <v>10</v>
      </c>
      <c r="D10" s="527" t="s">
        <v>8</v>
      </c>
      <c r="E10" s="527" t="s">
        <v>12</v>
      </c>
      <c r="F10" s="527" t="s">
        <v>1</v>
      </c>
      <c r="G10" s="527" t="s">
        <v>7</v>
      </c>
      <c r="H10" s="527" t="s">
        <v>2</v>
      </c>
      <c r="I10" s="529" t="s">
        <v>19</v>
      </c>
      <c r="J10" s="529"/>
      <c r="K10" s="529"/>
      <c r="L10" s="529"/>
      <c r="M10" s="529"/>
      <c r="N10" s="529"/>
      <c r="O10" s="529"/>
      <c r="P10" s="530" t="s">
        <v>20</v>
      </c>
      <c r="Q10" s="530"/>
      <c r="R10" s="530"/>
      <c r="S10" s="530"/>
      <c r="T10" s="530"/>
      <c r="U10" s="530"/>
      <c r="V10" s="530"/>
      <c r="W10" s="529" t="s">
        <v>21</v>
      </c>
      <c r="X10" s="529"/>
      <c r="Y10" s="529"/>
      <c r="Z10" s="529"/>
      <c r="AA10" s="529"/>
      <c r="AB10" s="529"/>
      <c r="AC10" s="529"/>
      <c r="AD10" s="531" t="s">
        <v>22</v>
      </c>
      <c r="AE10" s="531"/>
      <c r="AF10" s="531"/>
      <c r="AG10" s="531"/>
      <c r="AH10" s="531"/>
      <c r="AI10" s="531"/>
      <c r="AJ10" s="531"/>
      <c r="AK10" s="532" t="s">
        <v>23</v>
      </c>
      <c r="AL10" s="532"/>
      <c r="AM10" s="532"/>
      <c r="AN10" s="532"/>
      <c r="AO10" s="532"/>
      <c r="AP10" s="532"/>
      <c r="AQ10" s="532"/>
      <c r="AR10" s="523" t="s">
        <v>24</v>
      </c>
      <c r="AS10" s="523"/>
      <c r="AT10" s="523"/>
      <c r="AU10" s="523"/>
      <c r="AV10" s="523"/>
      <c r="AW10" s="523"/>
      <c r="AX10" s="523"/>
      <c r="AY10" s="524" t="s">
        <v>25</v>
      </c>
      <c r="AZ10" s="524"/>
      <c r="BA10" s="524"/>
      <c r="BB10" s="524"/>
      <c r="BC10" s="524"/>
      <c r="BD10" s="524"/>
      <c r="BE10" s="524"/>
      <c r="BF10" s="525" t="s">
        <v>126</v>
      </c>
    </row>
    <row r="11" spans="1:58" s="394" customFormat="1" ht="30" customHeight="1" x14ac:dyDescent="0.25">
      <c r="A11" s="522"/>
      <c r="B11" s="528"/>
      <c r="C11" s="528"/>
      <c r="D11" s="528"/>
      <c r="E11" s="528"/>
      <c r="F11" s="528"/>
      <c r="G11" s="528"/>
      <c r="H11" s="528"/>
      <c r="I11" s="288" t="s">
        <v>0</v>
      </c>
      <c r="J11" s="289" t="s">
        <v>9</v>
      </c>
      <c r="K11" s="288" t="s">
        <v>11</v>
      </c>
      <c r="L11" s="290" t="s">
        <v>939</v>
      </c>
      <c r="M11" s="289" t="s">
        <v>6</v>
      </c>
      <c r="N11" s="291" t="s">
        <v>940</v>
      </c>
      <c r="O11" s="288" t="s">
        <v>98</v>
      </c>
      <c r="P11" s="292" t="s">
        <v>0</v>
      </c>
      <c r="Q11" s="293" t="s">
        <v>9</v>
      </c>
      <c r="R11" s="292" t="s">
        <v>11</v>
      </c>
      <c r="S11" s="294" t="s">
        <v>939</v>
      </c>
      <c r="T11" s="293" t="s">
        <v>6</v>
      </c>
      <c r="U11" s="295" t="s">
        <v>940</v>
      </c>
      <c r="V11" s="292" t="s">
        <v>98</v>
      </c>
      <c r="W11" s="288" t="s">
        <v>0</v>
      </c>
      <c r="X11" s="289" t="s">
        <v>9</v>
      </c>
      <c r="Y11" s="288" t="s">
        <v>11</v>
      </c>
      <c r="Z11" s="290" t="s">
        <v>939</v>
      </c>
      <c r="AA11" s="289" t="s">
        <v>6</v>
      </c>
      <c r="AB11" s="291" t="s">
        <v>940</v>
      </c>
      <c r="AC11" s="288" t="s">
        <v>98</v>
      </c>
      <c r="AD11" s="296" t="s">
        <v>0</v>
      </c>
      <c r="AE11" s="302" t="s">
        <v>9</v>
      </c>
      <c r="AF11" s="296" t="s">
        <v>11</v>
      </c>
      <c r="AG11" s="297" t="s">
        <v>939</v>
      </c>
      <c r="AH11" s="302" t="s">
        <v>6</v>
      </c>
      <c r="AI11" s="303" t="s">
        <v>940</v>
      </c>
      <c r="AJ11" s="296" t="s">
        <v>98</v>
      </c>
      <c r="AK11" s="298" t="s">
        <v>0</v>
      </c>
      <c r="AL11" s="304" t="s">
        <v>9</v>
      </c>
      <c r="AM11" s="298" t="s">
        <v>11</v>
      </c>
      <c r="AN11" s="299" t="s">
        <v>939</v>
      </c>
      <c r="AO11" s="304" t="s">
        <v>6</v>
      </c>
      <c r="AP11" s="305" t="s">
        <v>940</v>
      </c>
      <c r="AQ11" s="298" t="s">
        <v>98</v>
      </c>
      <c r="AR11" s="300" t="s">
        <v>0</v>
      </c>
      <c r="AS11" s="306" t="s">
        <v>9</v>
      </c>
      <c r="AT11" s="300" t="s">
        <v>11</v>
      </c>
      <c r="AU11" s="301" t="s">
        <v>939</v>
      </c>
      <c r="AV11" s="306" t="s">
        <v>6</v>
      </c>
      <c r="AW11" s="307" t="s">
        <v>940</v>
      </c>
      <c r="AX11" s="300" t="s">
        <v>98</v>
      </c>
      <c r="AY11" s="308" t="s">
        <v>0</v>
      </c>
      <c r="AZ11" s="309" t="s">
        <v>9</v>
      </c>
      <c r="BA11" s="308" t="s">
        <v>11</v>
      </c>
      <c r="BB11" s="310" t="s">
        <v>939</v>
      </c>
      <c r="BC11" s="309" t="s">
        <v>6</v>
      </c>
      <c r="BD11" s="311" t="s">
        <v>940</v>
      </c>
      <c r="BE11" s="308" t="s">
        <v>98</v>
      </c>
      <c r="BF11" s="526"/>
    </row>
    <row r="12" spans="1:58" s="381" customFormat="1" ht="45" customHeight="1" x14ac:dyDescent="0.25">
      <c r="A12" s="258">
        <v>730007</v>
      </c>
      <c r="B12" s="60" t="s">
        <v>5</v>
      </c>
      <c r="C12" s="60" t="s">
        <v>725</v>
      </c>
      <c r="D12" s="10" t="s">
        <v>1545</v>
      </c>
      <c r="E12" s="10" t="s">
        <v>1546</v>
      </c>
      <c r="F12" s="16" t="s">
        <v>1544</v>
      </c>
      <c r="G12" s="10" t="s">
        <v>30</v>
      </c>
      <c r="H12" s="10" t="s">
        <v>147</v>
      </c>
      <c r="I12" s="55" t="s">
        <v>18</v>
      </c>
      <c r="J12" s="255">
        <v>45645</v>
      </c>
      <c r="K12" s="59" t="s">
        <v>1547</v>
      </c>
      <c r="L12" s="255">
        <f t="shared" ref="L12:L17" si="0">J12+7</f>
        <v>45652</v>
      </c>
      <c r="M12" s="255">
        <v>45654</v>
      </c>
      <c r="N12" s="256">
        <f t="shared" ref="N12:N19" si="1">M12-L12</f>
        <v>2</v>
      </c>
      <c r="O12" s="10" t="s">
        <v>1575</v>
      </c>
      <c r="P12" s="55" t="s">
        <v>18</v>
      </c>
      <c r="Q12" s="255">
        <v>45777</v>
      </c>
      <c r="R12" s="59" t="s">
        <v>3127</v>
      </c>
      <c r="S12" s="255">
        <f>Q12+7</f>
        <v>45784</v>
      </c>
      <c r="T12" s="255">
        <v>45788</v>
      </c>
      <c r="U12" s="256">
        <f>T12-S12</f>
        <v>4</v>
      </c>
      <c r="V12" s="10" t="s">
        <v>3143</v>
      </c>
      <c r="W12" s="55" t="s">
        <v>18</v>
      </c>
      <c r="X12" s="255">
        <v>45837</v>
      </c>
      <c r="Y12" s="59" t="s">
        <v>3548</v>
      </c>
      <c r="Z12" s="255">
        <f>X12+7</f>
        <v>45844</v>
      </c>
      <c r="AA12" s="255">
        <v>45846</v>
      </c>
      <c r="AB12" s="256">
        <f>AA12-Z12</f>
        <v>2</v>
      </c>
      <c r="AC12" s="10" t="s">
        <v>3552</v>
      </c>
      <c r="AD12" s="55" t="s">
        <v>5</v>
      </c>
      <c r="AE12" s="255">
        <v>46229</v>
      </c>
      <c r="AF12" s="150" t="s">
        <v>7331</v>
      </c>
      <c r="AG12" s="255">
        <f>AE12+7</f>
        <v>46236</v>
      </c>
      <c r="AH12" s="255">
        <v>46239</v>
      </c>
      <c r="AI12" s="256">
        <f>AH12-AG12</f>
        <v>3</v>
      </c>
      <c r="AJ12" s="151" t="s">
        <v>7334</v>
      </c>
      <c r="AK12" s="55"/>
      <c r="AL12" s="255"/>
      <c r="AM12" s="59"/>
      <c r="AN12" s="255"/>
      <c r="AO12" s="255"/>
      <c r="AP12" s="256"/>
      <c r="AQ12" s="10"/>
      <c r="AR12" s="55"/>
      <c r="AS12" s="255"/>
      <c r="AT12" s="59"/>
      <c r="AU12" s="255"/>
      <c r="AV12" s="255"/>
      <c r="AW12" s="256"/>
      <c r="AX12" s="10"/>
      <c r="AY12" s="55"/>
      <c r="AZ12" s="255"/>
      <c r="BA12" s="59"/>
      <c r="BB12" s="255"/>
      <c r="BC12" s="255"/>
      <c r="BD12" s="256"/>
      <c r="BE12" s="10"/>
      <c r="BF12" s="259"/>
    </row>
    <row r="13" spans="1:58" s="381" customFormat="1" ht="45" customHeight="1" x14ac:dyDescent="0.25">
      <c r="A13" s="258">
        <v>730007</v>
      </c>
      <c r="B13" s="60" t="s">
        <v>18</v>
      </c>
      <c r="C13" s="60" t="s">
        <v>54</v>
      </c>
      <c r="D13" s="10" t="s">
        <v>1616</v>
      </c>
      <c r="E13" s="10" t="s">
        <v>1617</v>
      </c>
      <c r="F13" s="16" t="s">
        <v>1618</v>
      </c>
      <c r="G13" s="10" t="s">
        <v>30</v>
      </c>
      <c r="H13" s="10" t="s">
        <v>147</v>
      </c>
      <c r="I13" s="60" t="s">
        <v>18</v>
      </c>
      <c r="J13" s="255">
        <v>45650</v>
      </c>
      <c r="K13" s="59" t="s">
        <v>1619</v>
      </c>
      <c r="L13" s="255">
        <f t="shared" si="0"/>
        <v>45657</v>
      </c>
      <c r="M13" s="255">
        <v>45657</v>
      </c>
      <c r="N13" s="256">
        <f t="shared" si="1"/>
        <v>0</v>
      </c>
      <c r="O13" s="10" t="s">
        <v>1628</v>
      </c>
      <c r="P13" s="60"/>
      <c r="Q13" s="255"/>
      <c r="R13" s="59"/>
      <c r="S13" s="255"/>
      <c r="T13" s="255"/>
      <c r="U13" s="256"/>
      <c r="V13" s="10"/>
      <c r="W13" s="60"/>
      <c r="X13" s="255"/>
      <c r="Y13" s="59"/>
      <c r="Z13" s="255"/>
      <c r="AA13" s="255"/>
      <c r="AB13" s="256"/>
      <c r="AC13" s="10"/>
      <c r="AD13" s="60"/>
      <c r="AE13" s="255"/>
      <c r="AF13" s="59"/>
      <c r="AG13" s="255"/>
      <c r="AH13" s="255"/>
      <c r="AI13" s="256"/>
      <c r="AJ13" s="10"/>
      <c r="AK13" s="60"/>
      <c r="AL13" s="255"/>
      <c r="AM13" s="59"/>
      <c r="AN13" s="255"/>
      <c r="AO13" s="255"/>
      <c r="AP13" s="256"/>
      <c r="AQ13" s="10"/>
      <c r="AR13" s="60"/>
      <c r="AS13" s="255"/>
      <c r="AT13" s="59"/>
      <c r="AU13" s="255"/>
      <c r="AV13" s="255"/>
      <c r="AW13" s="256"/>
      <c r="AX13" s="10"/>
      <c r="AY13" s="60"/>
      <c r="AZ13" s="255"/>
      <c r="BA13" s="59"/>
      <c r="BB13" s="255"/>
      <c r="BC13" s="255"/>
      <c r="BD13" s="256"/>
      <c r="BE13" s="10"/>
      <c r="BF13" s="259"/>
    </row>
    <row r="14" spans="1:58" s="381" customFormat="1" ht="45" customHeight="1" x14ac:dyDescent="0.25">
      <c r="A14" s="258">
        <v>730007</v>
      </c>
      <c r="B14" s="60" t="s">
        <v>3</v>
      </c>
      <c r="C14" s="60" t="s">
        <v>54</v>
      </c>
      <c r="D14" s="10" t="s">
        <v>1660</v>
      </c>
      <c r="E14" s="10" t="s">
        <v>1661</v>
      </c>
      <c r="F14" s="16" t="s">
        <v>1662</v>
      </c>
      <c r="G14" s="10" t="s">
        <v>30</v>
      </c>
      <c r="H14" s="10" t="s">
        <v>147</v>
      </c>
      <c r="I14" s="60" t="s">
        <v>3</v>
      </c>
      <c r="J14" s="255">
        <v>45652</v>
      </c>
      <c r="K14" s="59" t="s">
        <v>1663</v>
      </c>
      <c r="L14" s="255">
        <f t="shared" si="0"/>
        <v>45659</v>
      </c>
      <c r="M14" s="255">
        <v>45697</v>
      </c>
      <c r="N14" s="256">
        <f t="shared" si="1"/>
        <v>38</v>
      </c>
      <c r="O14" s="10" t="s">
        <v>2391</v>
      </c>
      <c r="P14" s="60"/>
      <c r="Q14" s="255"/>
      <c r="R14" s="59"/>
      <c r="S14" s="255"/>
      <c r="T14" s="255"/>
      <c r="U14" s="256"/>
      <c r="V14" s="10"/>
      <c r="W14" s="60"/>
      <c r="X14" s="255"/>
      <c r="Y14" s="59"/>
      <c r="Z14" s="255"/>
      <c r="AA14" s="255"/>
      <c r="AB14" s="256"/>
      <c r="AC14" s="10"/>
      <c r="AD14" s="60"/>
      <c r="AE14" s="255"/>
      <c r="AF14" s="59"/>
      <c r="AG14" s="255"/>
      <c r="AH14" s="255"/>
      <c r="AI14" s="256"/>
      <c r="AJ14" s="10"/>
      <c r="AK14" s="60"/>
      <c r="AL14" s="255"/>
      <c r="AM14" s="59"/>
      <c r="AN14" s="255"/>
      <c r="AO14" s="255"/>
      <c r="AP14" s="256"/>
      <c r="AQ14" s="10"/>
      <c r="AR14" s="60"/>
      <c r="AS14" s="255"/>
      <c r="AT14" s="59"/>
      <c r="AU14" s="255"/>
      <c r="AV14" s="255"/>
      <c r="AW14" s="256"/>
      <c r="AX14" s="10"/>
      <c r="AY14" s="60"/>
      <c r="AZ14" s="255"/>
      <c r="BA14" s="59"/>
      <c r="BB14" s="255"/>
      <c r="BC14" s="255"/>
      <c r="BD14" s="256"/>
      <c r="BE14" s="10"/>
      <c r="BF14" s="259"/>
    </row>
    <row r="15" spans="1:58" s="381" customFormat="1" ht="45" customHeight="1" x14ac:dyDescent="0.25">
      <c r="A15" s="258">
        <v>730007</v>
      </c>
      <c r="B15" s="60" t="s">
        <v>5</v>
      </c>
      <c r="C15" s="60" t="s">
        <v>588</v>
      </c>
      <c r="D15" s="10" t="s">
        <v>1749</v>
      </c>
      <c r="E15" s="10" t="s">
        <v>1750</v>
      </c>
      <c r="F15" s="16" t="s">
        <v>1751</v>
      </c>
      <c r="G15" s="10" t="s">
        <v>30</v>
      </c>
      <c r="H15" s="10" t="s">
        <v>147</v>
      </c>
      <c r="I15" s="55" t="s">
        <v>18</v>
      </c>
      <c r="J15" s="255">
        <v>45657</v>
      </c>
      <c r="K15" s="59" t="s">
        <v>1752</v>
      </c>
      <c r="L15" s="255">
        <f t="shared" si="0"/>
        <v>45664</v>
      </c>
      <c r="M15" s="255">
        <v>45680</v>
      </c>
      <c r="N15" s="256">
        <f>M15-L15</f>
        <v>16</v>
      </c>
      <c r="O15" s="10" t="s">
        <v>2068</v>
      </c>
      <c r="P15" s="55" t="s">
        <v>18</v>
      </c>
      <c r="Q15" s="255">
        <v>45755</v>
      </c>
      <c r="R15" s="59" t="s">
        <v>2956</v>
      </c>
      <c r="S15" s="255">
        <f t="shared" ref="S15:S20" si="2">Q15+7</f>
        <v>45762</v>
      </c>
      <c r="T15" s="255">
        <v>45760</v>
      </c>
      <c r="U15" s="256">
        <f t="shared" ref="U15:U20" si="3">T15-S15</f>
        <v>-2</v>
      </c>
      <c r="V15" s="10" t="s">
        <v>2960</v>
      </c>
      <c r="W15" s="55" t="s">
        <v>5</v>
      </c>
      <c r="X15" s="255">
        <v>46207</v>
      </c>
      <c r="Y15" s="59" t="s">
        <v>7198</v>
      </c>
      <c r="Z15" s="255">
        <f>X15+7</f>
        <v>46214</v>
      </c>
      <c r="AA15" s="255">
        <v>46217</v>
      </c>
      <c r="AB15" s="256">
        <f>AA15-Z15</f>
        <v>3</v>
      </c>
      <c r="AC15" s="10" t="s">
        <v>7203</v>
      </c>
      <c r="AD15" s="55"/>
      <c r="AE15" s="255"/>
      <c r="AF15" s="59"/>
      <c r="AG15" s="255"/>
      <c r="AH15" s="255"/>
      <c r="AI15" s="256"/>
      <c r="AJ15" s="10"/>
      <c r="AK15" s="55"/>
      <c r="AL15" s="255"/>
      <c r="AM15" s="59"/>
      <c r="AN15" s="255"/>
      <c r="AO15" s="255"/>
      <c r="AP15" s="256"/>
      <c r="AQ15" s="10"/>
      <c r="AR15" s="55"/>
      <c r="AS15" s="255"/>
      <c r="AT15" s="59"/>
      <c r="AU15" s="255"/>
      <c r="AV15" s="255"/>
      <c r="AW15" s="256"/>
      <c r="AX15" s="10"/>
      <c r="AY15" s="55"/>
      <c r="AZ15" s="255"/>
      <c r="BA15" s="59"/>
      <c r="BB15" s="255"/>
      <c r="BC15" s="255"/>
      <c r="BD15" s="256"/>
      <c r="BE15" s="10"/>
      <c r="BF15" s="259"/>
    </row>
    <row r="16" spans="1:58" s="381" customFormat="1" ht="45" customHeight="1" x14ac:dyDescent="0.25">
      <c r="A16" s="258">
        <v>730007</v>
      </c>
      <c r="B16" s="60" t="s">
        <v>5</v>
      </c>
      <c r="C16" s="60" t="s">
        <v>2456</v>
      </c>
      <c r="D16" s="10" t="s">
        <v>1864</v>
      </c>
      <c r="E16" s="10" t="s">
        <v>1865</v>
      </c>
      <c r="F16" s="16" t="s">
        <v>2216</v>
      </c>
      <c r="G16" s="10" t="s">
        <v>30</v>
      </c>
      <c r="H16" s="10" t="s">
        <v>147</v>
      </c>
      <c r="I16" s="55" t="s">
        <v>3</v>
      </c>
      <c r="J16" s="255">
        <v>45664</v>
      </c>
      <c r="K16" s="59" t="s">
        <v>1866</v>
      </c>
      <c r="L16" s="255">
        <f t="shared" si="0"/>
        <v>45671</v>
      </c>
      <c r="M16" s="255">
        <v>45673</v>
      </c>
      <c r="N16" s="256">
        <f t="shared" si="1"/>
        <v>2</v>
      </c>
      <c r="O16" s="10" t="s">
        <v>1871</v>
      </c>
      <c r="P16" s="55" t="s">
        <v>18</v>
      </c>
      <c r="Q16" s="255">
        <v>45693</v>
      </c>
      <c r="R16" s="59" t="s">
        <v>2329</v>
      </c>
      <c r="S16" s="255">
        <f t="shared" si="2"/>
        <v>45700</v>
      </c>
      <c r="T16" s="255">
        <v>45701</v>
      </c>
      <c r="U16" s="256">
        <f t="shared" si="3"/>
        <v>1</v>
      </c>
      <c r="V16" s="10" t="s">
        <v>2365</v>
      </c>
      <c r="W16" s="55" t="s">
        <v>18</v>
      </c>
      <c r="X16" s="255">
        <v>45777</v>
      </c>
      <c r="Y16" s="59" t="s">
        <v>3126</v>
      </c>
      <c r="Z16" s="255">
        <f>X16+7</f>
        <v>45784</v>
      </c>
      <c r="AA16" s="255">
        <v>45788</v>
      </c>
      <c r="AB16" s="256">
        <f>AA16-Z16</f>
        <v>4</v>
      </c>
      <c r="AC16" s="10" t="s">
        <v>3144</v>
      </c>
      <c r="AD16" s="55" t="s">
        <v>18</v>
      </c>
      <c r="AE16" s="255">
        <v>45834</v>
      </c>
      <c r="AF16" s="59" t="s">
        <v>3530</v>
      </c>
      <c r="AG16" s="255">
        <f>AE16+7</f>
        <v>45841</v>
      </c>
      <c r="AH16" s="255">
        <v>45844</v>
      </c>
      <c r="AI16" s="256">
        <f>AH16-AG16</f>
        <v>3</v>
      </c>
      <c r="AJ16" s="10" t="s">
        <v>3542</v>
      </c>
      <c r="AK16" s="55" t="s">
        <v>5</v>
      </c>
      <c r="AL16" s="255">
        <v>46215</v>
      </c>
      <c r="AM16" s="59" t="s">
        <v>7266</v>
      </c>
      <c r="AN16" s="255">
        <f>AL16+7</f>
        <v>46222</v>
      </c>
      <c r="AO16" s="255">
        <v>46229</v>
      </c>
      <c r="AP16" s="256">
        <f>AO16-AN16</f>
        <v>7</v>
      </c>
      <c r="AQ16" s="151" t="s">
        <v>7325</v>
      </c>
      <c r="AR16" s="55"/>
      <c r="AS16" s="255"/>
      <c r="AT16" s="59"/>
      <c r="AU16" s="255"/>
      <c r="AV16" s="255"/>
      <c r="AW16" s="256"/>
      <c r="AX16" s="10"/>
      <c r="AY16" s="55"/>
      <c r="AZ16" s="255"/>
      <c r="BA16" s="59"/>
      <c r="BB16" s="255"/>
      <c r="BC16" s="255"/>
      <c r="BD16" s="256"/>
      <c r="BE16" s="10"/>
      <c r="BF16" s="259"/>
    </row>
    <row r="17" spans="1:58" s="381" customFormat="1" ht="45" customHeight="1" x14ac:dyDescent="0.25">
      <c r="A17" s="258">
        <v>730007</v>
      </c>
      <c r="B17" s="60" t="s">
        <v>5</v>
      </c>
      <c r="C17" s="60" t="s">
        <v>725</v>
      </c>
      <c r="D17" s="10" t="s">
        <v>1876</v>
      </c>
      <c r="E17" s="10" t="s">
        <v>1877</v>
      </c>
      <c r="F17" s="16" t="s">
        <v>1878</v>
      </c>
      <c r="G17" s="10" t="s">
        <v>30</v>
      </c>
      <c r="H17" s="10" t="s">
        <v>147</v>
      </c>
      <c r="I17" s="55" t="s">
        <v>18</v>
      </c>
      <c r="J17" s="255">
        <v>45664</v>
      </c>
      <c r="K17" s="59" t="s">
        <v>1879</v>
      </c>
      <c r="L17" s="255">
        <f t="shared" si="0"/>
        <v>45671</v>
      </c>
      <c r="M17" s="255">
        <v>45665</v>
      </c>
      <c r="N17" s="256">
        <f t="shared" si="1"/>
        <v>-6</v>
      </c>
      <c r="O17" s="10" t="s">
        <v>1880</v>
      </c>
      <c r="P17" s="55" t="s">
        <v>18</v>
      </c>
      <c r="Q17" s="255">
        <v>45777</v>
      </c>
      <c r="R17" s="59" t="s">
        <v>3125</v>
      </c>
      <c r="S17" s="255">
        <f t="shared" si="2"/>
        <v>45784</v>
      </c>
      <c r="T17" s="255">
        <v>45788</v>
      </c>
      <c r="U17" s="256">
        <f t="shared" si="3"/>
        <v>4</v>
      </c>
      <c r="V17" s="10" t="s">
        <v>3145</v>
      </c>
      <c r="W17" s="55" t="s">
        <v>18</v>
      </c>
      <c r="X17" s="255">
        <v>45833</v>
      </c>
      <c r="Y17" s="59" t="s">
        <v>3529</v>
      </c>
      <c r="Z17" s="255">
        <f>X17+7</f>
        <v>45840</v>
      </c>
      <c r="AA17" s="255">
        <v>45844</v>
      </c>
      <c r="AB17" s="256">
        <f>AA17-Z17</f>
        <v>4</v>
      </c>
      <c r="AC17" s="10" t="s">
        <v>3543</v>
      </c>
      <c r="AD17" s="55" t="s">
        <v>5</v>
      </c>
      <c r="AE17" s="255">
        <v>46219</v>
      </c>
      <c r="AF17" s="150" t="s">
        <v>7304</v>
      </c>
      <c r="AG17" s="255">
        <f>AE17+7</f>
        <v>46226</v>
      </c>
      <c r="AH17" s="255">
        <v>46229</v>
      </c>
      <c r="AI17" s="256">
        <f>AH17-AG17</f>
        <v>3</v>
      </c>
      <c r="AJ17" s="151" t="s">
        <v>7319</v>
      </c>
      <c r="AK17" s="55"/>
      <c r="AL17" s="255"/>
      <c r="AM17" s="59"/>
      <c r="AN17" s="255"/>
      <c r="AO17" s="255"/>
      <c r="AP17" s="256"/>
      <c r="AQ17" s="10"/>
      <c r="AR17" s="55"/>
      <c r="AS17" s="255"/>
      <c r="AT17" s="59"/>
      <c r="AU17" s="255"/>
      <c r="AV17" s="255"/>
      <c r="AW17" s="256"/>
      <c r="AX17" s="10"/>
      <c r="AY17" s="55"/>
      <c r="AZ17" s="255"/>
      <c r="BA17" s="59"/>
      <c r="BB17" s="255"/>
      <c r="BC17" s="255"/>
      <c r="BD17" s="256"/>
      <c r="BE17" s="10"/>
      <c r="BF17" s="259"/>
    </row>
    <row r="18" spans="1:58" s="381" customFormat="1" ht="45" customHeight="1" x14ac:dyDescent="0.25">
      <c r="A18" s="258">
        <v>730007</v>
      </c>
      <c r="B18" s="60" t="s">
        <v>18</v>
      </c>
      <c r="C18" s="60" t="s">
        <v>208</v>
      </c>
      <c r="D18" s="10" t="s">
        <v>1978</v>
      </c>
      <c r="E18" s="10" t="s">
        <v>1979</v>
      </c>
      <c r="F18" s="16" t="s">
        <v>1980</v>
      </c>
      <c r="G18" s="10" t="s">
        <v>30</v>
      </c>
      <c r="H18" s="10" t="s">
        <v>147</v>
      </c>
      <c r="I18" s="55" t="s">
        <v>18</v>
      </c>
      <c r="J18" s="255">
        <v>45671</v>
      </c>
      <c r="K18" s="59" t="s">
        <v>1981</v>
      </c>
      <c r="L18" s="255">
        <f t="shared" ref="L18:L26" si="4">J18+7</f>
        <v>45678</v>
      </c>
      <c r="M18" s="255">
        <v>45673</v>
      </c>
      <c r="N18" s="256">
        <f t="shared" si="1"/>
        <v>-5</v>
      </c>
      <c r="O18" s="10" t="s">
        <v>1987</v>
      </c>
      <c r="P18" s="55" t="s">
        <v>18</v>
      </c>
      <c r="Q18" s="255">
        <v>46235</v>
      </c>
      <c r="R18" s="150" t="s">
        <v>7384</v>
      </c>
      <c r="S18" s="255">
        <f t="shared" si="2"/>
        <v>46242</v>
      </c>
      <c r="T18" s="255">
        <v>46245</v>
      </c>
      <c r="U18" s="256">
        <f t="shared" si="3"/>
        <v>3</v>
      </c>
      <c r="V18" s="151" t="s">
        <v>7397</v>
      </c>
      <c r="W18" s="55"/>
      <c r="X18" s="255"/>
      <c r="Y18" s="59"/>
      <c r="Z18" s="255"/>
      <c r="AA18" s="255"/>
      <c r="AB18" s="256"/>
      <c r="AC18" s="10"/>
      <c r="AD18" s="55"/>
      <c r="AE18" s="255"/>
      <c r="AF18" s="59"/>
      <c r="AG18" s="255"/>
      <c r="AH18" s="255"/>
      <c r="AI18" s="256"/>
      <c r="AJ18" s="10"/>
      <c r="AK18" s="55"/>
      <c r="AL18" s="255"/>
      <c r="AM18" s="59"/>
      <c r="AN18" s="255"/>
      <c r="AO18" s="255"/>
      <c r="AP18" s="256"/>
      <c r="AQ18" s="10"/>
      <c r="AR18" s="55"/>
      <c r="AS18" s="255"/>
      <c r="AT18" s="59"/>
      <c r="AU18" s="255"/>
      <c r="AV18" s="255"/>
      <c r="AW18" s="256"/>
      <c r="AX18" s="10"/>
      <c r="AY18" s="55"/>
      <c r="AZ18" s="255"/>
      <c r="BA18" s="59"/>
      <c r="BB18" s="255"/>
      <c r="BC18" s="255"/>
      <c r="BD18" s="256"/>
      <c r="BE18" s="10"/>
      <c r="BF18" s="259"/>
    </row>
    <row r="19" spans="1:58" s="381" customFormat="1" ht="45" customHeight="1" x14ac:dyDescent="0.25">
      <c r="A19" s="258">
        <v>730007</v>
      </c>
      <c r="B19" s="60" t="s">
        <v>18</v>
      </c>
      <c r="C19" s="60" t="s">
        <v>725</v>
      </c>
      <c r="D19" s="10" t="s">
        <v>2090</v>
      </c>
      <c r="E19" s="10" t="s">
        <v>2092</v>
      </c>
      <c r="F19" s="16" t="s">
        <v>2094</v>
      </c>
      <c r="G19" s="10" t="s">
        <v>30</v>
      </c>
      <c r="H19" s="10" t="s">
        <v>147</v>
      </c>
      <c r="I19" s="55" t="s">
        <v>18</v>
      </c>
      <c r="J19" s="255">
        <v>45679</v>
      </c>
      <c r="K19" s="59" t="s">
        <v>2095</v>
      </c>
      <c r="L19" s="255">
        <f t="shared" si="4"/>
        <v>45686</v>
      </c>
      <c r="M19" s="255">
        <v>45686</v>
      </c>
      <c r="N19" s="256">
        <f t="shared" si="1"/>
        <v>0</v>
      </c>
      <c r="O19" s="10" t="s">
        <v>2205</v>
      </c>
      <c r="P19" s="55" t="s">
        <v>18</v>
      </c>
      <c r="Q19" s="255">
        <v>45777</v>
      </c>
      <c r="R19" s="59" t="s">
        <v>3128</v>
      </c>
      <c r="S19" s="255">
        <f t="shared" si="2"/>
        <v>45784</v>
      </c>
      <c r="T19" s="255">
        <v>45788</v>
      </c>
      <c r="U19" s="256">
        <f t="shared" si="3"/>
        <v>4</v>
      </c>
      <c r="V19" s="10" t="s">
        <v>3146</v>
      </c>
      <c r="W19" s="55" t="s">
        <v>18</v>
      </c>
      <c r="X19" s="255">
        <v>45832</v>
      </c>
      <c r="Y19" s="59" t="s">
        <v>3511</v>
      </c>
      <c r="Z19" s="255">
        <f>X19+7</f>
        <v>45839</v>
      </c>
      <c r="AA19" s="255">
        <v>45833</v>
      </c>
      <c r="AB19" s="256">
        <f>AA19-Z19</f>
        <v>-6</v>
      </c>
      <c r="AC19" s="10" t="s">
        <v>3515</v>
      </c>
      <c r="AD19" s="55" t="s">
        <v>18</v>
      </c>
      <c r="AE19" s="255">
        <v>46235</v>
      </c>
      <c r="AF19" s="150" t="s">
        <v>7383</v>
      </c>
      <c r="AG19" s="255">
        <f>AE19+7</f>
        <v>46242</v>
      </c>
      <c r="AH19" s="255">
        <v>46239</v>
      </c>
      <c r="AI19" s="256">
        <f>AH19-AG19</f>
        <v>-3</v>
      </c>
      <c r="AJ19" s="151" t="s">
        <v>7398</v>
      </c>
      <c r="AK19" s="55"/>
      <c r="AL19" s="255"/>
      <c r="AM19" s="59"/>
      <c r="AN19" s="255"/>
      <c r="AO19" s="255"/>
      <c r="AP19" s="256"/>
      <c r="AQ19" s="10"/>
      <c r="AR19" s="55"/>
      <c r="AS19" s="255"/>
      <c r="AT19" s="59"/>
      <c r="AU19" s="255"/>
      <c r="AV19" s="255"/>
      <c r="AW19" s="256"/>
      <c r="AX19" s="10"/>
      <c r="AY19" s="55"/>
      <c r="AZ19" s="255"/>
      <c r="BA19" s="59"/>
      <c r="BB19" s="255"/>
      <c r="BC19" s="255"/>
      <c r="BD19" s="256"/>
      <c r="BE19" s="10"/>
      <c r="BF19" s="259"/>
    </row>
    <row r="20" spans="1:58" s="381" customFormat="1" ht="45" customHeight="1" x14ac:dyDescent="0.25">
      <c r="A20" s="258">
        <v>730007</v>
      </c>
      <c r="B20" s="60" t="s">
        <v>18</v>
      </c>
      <c r="C20" s="60" t="s">
        <v>588</v>
      </c>
      <c r="D20" s="10" t="s">
        <v>2091</v>
      </c>
      <c r="E20" s="10" t="s">
        <v>2093</v>
      </c>
      <c r="F20" s="16" t="s">
        <v>2096</v>
      </c>
      <c r="G20" s="10" t="s">
        <v>30</v>
      </c>
      <c r="H20" s="10" t="s">
        <v>147</v>
      </c>
      <c r="I20" s="55" t="s">
        <v>18</v>
      </c>
      <c r="J20" s="255">
        <v>45679</v>
      </c>
      <c r="K20" s="59" t="s">
        <v>2097</v>
      </c>
      <c r="L20" s="255">
        <f t="shared" si="4"/>
        <v>45686</v>
      </c>
      <c r="M20" s="255">
        <v>45686</v>
      </c>
      <c r="N20" s="256">
        <f t="shared" ref="N20:N26" si="5">M20-L20</f>
        <v>0</v>
      </c>
      <c r="O20" s="10" t="s">
        <v>2206</v>
      </c>
      <c r="P20" s="55" t="s">
        <v>18</v>
      </c>
      <c r="Q20" s="255">
        <v>45777</v>
      </c>
      <c r="R20" s="59" t="s">
        <v>3129</v>
      </c>
      <c r="S20" s="255">
        <f t="shared" si="2"/>
        <v>45784</v>
      </c>
      <c r="T20" s="255">
        <v>45788</v>
      </c>
      <c r="U20" s="256">
        <f t="shared" si="3"/>
        <v>4</v>
      </c>
      <c r="V20" s="10" t="s">
        <v>3147</v>
      </c>
      <c r="W20" s="55" t="s">
        <v>18</v>
      </c>
      <c r="X20" s="255">
        <v>45832</v>
      </c>
      <c r="Y20" s="59" t="s">
        <v>3516</v>
      </c>
      <c r="Z20" s="255">
        <f>X20+7</f>
        <v>45839</v>
      </c>
      <c r="AA20" s="255">
        <v>45837</v>
      </c>
      <c r="AB20" s="256">
        <f>AA20-Z20</f>
        <v>-2</v>
      </c>
      <c r="AC20" s="10" t="s">
        <v>3525</v>
      </c>
      <c r="AD20" s="55"/>
      <c r="AE20" s="255"/>
      <c r="AF20" s="59"/>
      <c r="AG20" s="255"/>
      <c r="AH20" s="255"/>
      <c r="AI20" s="256"/>
      <c r="AJ20" s="10"/>
      <c r="AK20" s="55"/>
      <c r="AL20" s="255"/>
      <c r="AM20" s="59"/>
      <c r="AN20" s="255"/>
      <c r="AO20" s="255"/>
      <c r="AP20" s="256"/>
      <c r="AQ20" s="10"/>
      <c r="AR20" s="55"/>
      <c r="AS20" s="255"/>
      <c r="AT20" s="59"/>
      <c r="AU20" s="255"/>
      <c r="AV20" s="255"/>
      <c r="AW20" s="256"/>
      <c r="AX20" s="10"/>
      <c r="AY20" s="55"/>
      <c r="AZ20" s="255"/>
      <c r="BA20" s="59"/>
      <c r="BB20" s="255"/>
      <c r="BC20" s="255"/>
      <c r="BD20" s="256"/>
      <c r="BE20" s="10"/>
      <c r="BF20" s="259"/>
    </row>
    <row r="21" spans="1:58" s="381" customFormat="1" ht="45" customHeight="1" x14ac:dyDescent="0.25">
      <c r="A21" s="258">
        <v>730007</v>
      </c>
      <c r="B21" s="78" t="s">
        <v>508</v>
      </c>
      <c r="C21" s="60" t="s">
        <v>627</v>
      </c>
      <c r="D21" s="10" t="s">
        <v>2517</v>
      </c>
      <c r="E21" s="10" t="s">
        <v>2519</v>
      </c>
      <c r="F21" s="16" t="s">
        <v>2521</v>
      </c>
      <c r="G21" s="10" t="s">
        <v>30</v>
      </c>
      <c r="H21" s="10" t="s">
        <v>147</v>
      </c>
      <c r="I21" s="55" t="s">
        <v>18</v>
      </c>
      <c r="J21" s="255">
        <v>45706</v>
      </c>
      <c r="K21" s="59" t="s">
        <v>2522</v>
      </c>
      <c r="L21" s="255">
        <f t="shared" si="4"/>
        <v>45713</v>
      </c>
      <c r="M21" s="255">
        <v>45708</v>
      </c>
      <c r="N21" s="256">
        <f t="shared" si="5"/>
        <v>-5</v>
      </c>
      <c r="O21" s="10" t="s">
        <v>2533</v>
      </c>
      <c r="P21" s="9" t="s">
        <v>508</v>
      </c>
      <c r="Q21" s="255">
        <v>46233</v>
      </c>
      <c r="R21" s="150" t="s">
        <v>7389</v>
      </c>
      <c r="S21" s="255"/>
      <c r="T21" s="255"/>
      <c r="U21" s="256"/>
      <c r="V21" s="10"/>
      <c r="W21" s="55"/>
      <c r="X21" s="255"/>
      <c r="Y21" s="59"/>
      <c r="Z21" s="255"/>
      <c r="AA21" s="255"/>
      <c r="AB21" s="256"/>
      <c r="AC21" s="10"/>
      <c r="AD21" s="55"/>
      <c r="AE21" s="255"/>
      <c r="AF21" s="59"/>
      <c r="AG21" s="255"/>
      <c r="AH21" s="255"/>
      <c r="AI21" s="256"/>
      <c r="AJ21" s="10"/>
      <c r="AK21" s="55"/>
      <c r="AL21" s="255"/>
      <c r="AM21" s="59"/>
      <c r="AN21" s="255"/>
      <c r="AO21" s="255"/>
      <c r="AP21" s="256"/>
      <c r="AQ21" s="10"/>
      <c r="AR21" s="55"/>
      <c r="AS21" s="255"/>
      <c r="AT21" s="59"/>
      <c r="AU21" s="255"/>
      <c r="AV21" s="255"/>
      <c r="AW21" s="256"/>
      <c r="AX21" s="10"/>
      <c r="AY21" s="55"/>
      <c r="AZ21" s="255"/>
      <c r="BA21" s="59"/>
      <c r="BB21" s="255"/>
      <c r="BC21" s="255"/>
      <c r="BD21" s="256"/>
      <c r="BE21" s="10"/>
      <c r="BF21" s="259"/>
    </row>
    <row r="22" spans="1:58" s="381" customFormat="1" ht="45" customHeight="1" x14ac:dyDescent="0.25">
      <c r="A22" s="258">
        <v>730007</v>
      </c>
      <c r="B22" s="60" t="s">
        <v>18</v>
      </c>
      <c r="C22" s="60" t="s">
        <v>54</v>
      </c>
      <c r="D22" s="10" t="s">
        <v>2518</v>
      </c>
      <c r="E22" s="10" t="s">
        <v>2520</v>
      </c>
      <c r="F22" s="16" t="s">
        <v>2523</v>
      </c>
      <c r="G22" s="10" t="s">
        <v>30</v>
      </c>
      <c r="H22" s="10" t="s">
        <v>147</v>
      </c>
      <c r="I22" s="55" t="s">
        <v>18</v>
      </c>
      <c r="J22" s="255">
        <v>45706</v>
      </c>
      <c r="K22" s="59" t="s">
        <v>2524</v>
      </c>
      <c r="L22" s="255">
        <f t="shared" si="4"/>
        <v>45713</v>
      </c>
      <c r="M22" s="255">
        <v>45708</v>
      </c>
      <c r="N22" s="256">
        <f t="shared" si="5"/>
        <v>-5</v>
      </c>
      <c r="O22" s="10" t="s">
        <v>2534</v>
      </c>
      <c r="P22" s="55"/>
      <c r="Q22" s="255"/>
      <c r="R22" s="59"/>
      <c r="S22" s="255"/>
      <c r="T22" s="255"/>
      <c r="U22" s="256"/>
      <c r="V22" s="10"/>
      <c r="W22" s="55"/>
      <c r="X22" s="255"/>
      <c r="Y22" s="59"/>
      <c r="Z22" s="255"/>
      <c r="AA22" s="255"/>
      <c r="AB22" s="256"/>
      <c r="AC22" s="10"/>
      <c r="AD22" s="55"/>
      <c r="AE22" s="255"/>
      <c r="AF22" s="59"/>
      <c r="AG22" s="255"/>
      <c r="AH22" s="255"/>
      <c r="AI22" s="256"/>
      <c r="AJ22" s="10"/>
      <c r="AK22" s="55"/>
      <c r="AL22" s="255"/>
      <c r="AM22" s="59"/>
      <c r="AN22" s="255"/>
      <c r="AO22" s="255"/>
      <c r="AP22" s="256"/>
      <c r="AQ22" s="10"/>
      <c r="AR22" s="55"/>
      <c r="AS22" s="255"/>
      <c r="AT22" s="59"/>
      <c r="AU22" s="255"/>
      <c r="AV22" s="255"/>
      <c r="AW22" s="256"/>
      <c r="AX22" s="10"/>
      <c r="AY22" s="55"/>
      <c r="AZ22" s="255"/>
      <c r="BA22" s="59"/>
      <c r="BB22" s="255"/>
      <c r="BC22" s="255"/>
      <c r="BD22" s="256"/>
      <c r="BE22" s="10"/>
      <c r="BF22" s="259"/>
    </row>
    <row r="23" spans="1:58" s="381" customFormat="1" ht="45" customHeight="1" x14ac:dyDescent="0.25">
      <c r="A23" s="258">
        <v>730007</v>
      </c>
      <c r="B23" s="60" t="s">
        <v>5</v>
      </c>
      <c r="C23" s="60">
        <v>2</v>
      </c>
      <c r="D23" s="10" t="s">
        <v>3240</v>
      </c>
      <c r="E23" s="10" t="s">
        <v>3241</v>
      </c>
      <c r="F23" s="16" t="s">
        <v>3242</v>
      </c>
      <c r="G23" s="10" t="s">
        <v>30</v>
      </c>
      <c r="H23" s="10" t="s">
        <v>147</v>
      </c>
      <c r="I23" s="55" t="s">
        <v>18</v>
      </c>
      <c r="J23" s="255">
        <v>45786</v>
      </c>
      <c r="K23" s="59" t="s">
        <v>3243</v>
      </c>
      <c r="L23" s="255">
        <f t="shared" si="4"/>
        <v>45793</v>
      </c>
      <c r="M23" s="255">
        <v>45794</v>
      </c>
      <c r="N23" s="256">
        <f t="shared" si="5"/>
        <v>1</v>
      </c>
      <c r="O23" s="10" t="s">
        <v>3251</v>
      </c>
      <c r="P23" s="55" t="s">
        <v>5</v>
      </c>
      <c r="Q23" s="255">
        <v>46232</v>
      </c>
      <c r="R23" s="150" t="s">
        <v>7354</v>
      </c>
      <c r="S23" s="255">
        <f>Q23+7</f>
        <v>46239</v>
      </c>
      <c r="T23" s="255">
        <v>46237</v>
      </c>
      <c r="U23" s="256">
        <f>T23-S23</f>
        <v>-2</v>
      </c>
      <c r="V23" s="151" t="s">
        <v>7361</v>
      </c>
      <c r="W23" s="55"/>
      <c r="X23" s="255"/>
      <c r="Y23" s="59"/>
      <c r="Z23" s="255"/>
      <c r="AA23" s="255"/>
      <c r="AB23" s="256"/>
      <c r="AC23" s="10"/>
      <c r="AD23" s="55"/>
      <c r="AE23" s="255"/>
      <c r="AF23" s="59"/>
      <c r="AG23" s="255"/>
      <c r="AH23" s="255"/>
      <c r="AI23" s="256"/>
      <c r="AJ23" s="10"/>
      <c r="AK23" s="55"/>
      <c r="AL23" s="255"/>
      <c r="AM23" s="59"/>
      <c r="AN23" s="255"/>
      <c r="AO23" s="255"/>
      <c r="AP23" s="256"/>
      <c r="AQ23" s="10"/>
      <c r="AR23" s="55"/>
      <c r="AS23" s="255"/>
      <c r="AT23" s="59"/>
      <c r="AU23" s="255"/>
      <c r="AV23" s="255"/>
      <c r="AW23" s="256"/>
      <c r="AX23" s="10"/>
      <c r="AY23" s="55"/>
      <c r="AZ23" s="255"/>
      <c r="BA23" s="59"/>
      <c r="BB23" s="255"/>
      <c r="BC23" s="255"/>
      <c r="BD23" s="256"/>
      <c r="BE23" s="10"/>
      <c r="BF23" s="259"/>
    </row>
    <row r="24" spans="1:58" s="381" customFormat="1" ht="45" customHeight="1" x14ac:dyDescent="0.25">
      <c r="A24" s="258" t="s">
        <v>3256</v>
      </c>
      <c r="B24" s="78" t="s">
        <v>508</v>
      </c>
      <c r="C24" s="60" t="s">
        <v>627</v>
      </c>
      <c r="D24" s="10" t="s">
        <v>3752</v>
      </c>
      <c r="E24" s="10" t="s">
        <v>3753</v>
      </c>
      <c r="F24" s="16" t="s">
        <v>3754</v>
      </c>
      <c r="G24" s="10" t="s">
        <v>30</v>
      </c>
      <c r="H24" s="10" t="s">
        <v>147</v>
      </c>
      <c r="I24" s="55" t="s">
        <v>18</v>
      </c>
      <c r="J24" s="255">
        <v>45860</v>
      </c>
      <c r="K24" s="59" t="s">
        <v>3755</v>
      </c>
      <c r="L24" s="255">
        <f t="shared" si="4"/>
        <v>45867</v>
      </c>
      <c r="M24" s="255">
        <v>45867</v>
      </c>
      <c r="N24" s="256">
        <f t="shared" si="5"/>
        <v>0</v>
      </c>
      <c r="O24" s="10" t="s">
        <v>3763</v>
      </c>
      <c r="P24" s="9" t="s">
        <v>508</v>
      </c>
      <c r="Q24" s="255">
        <v>46233</v>
      </c>
      <c r="R24" s="150" t="s">
        <v>7389</v>
      </c>
      <c r="S24" s="255"/>
      <c r="T24" s="255"/>
      <c r="U24" s="256"/>
      <c r="V24" s="10"/>
      <c r="W24" s="55"/>
      <c r="X24" s="255"/>
      <c r="Y24" s="59"/>
      <c r="Z24" s="255"/>
      <c r="AA24" s="255"/>
      <c r="AB24" s="256"/>
      <c r="AC24" s="10"/>
      <c r="AD24" s="55"/>
      <c r="AE24" s="255"/>
      <c r="AF24" s="59"/>
      <c r="AG24" s="255"/>
      <c r="AH24" s="255"/>
      <c r="AI24" s="256"/>
      <c r="AJ24" s="10"/>
      <c r="AK24" s="55"/>
      <c r="AL24" s="255"/>
      <c r="AM24" s="59"/>
      <c r="AN24" s="255"/>
      <c r="AO24" s="255"/>
      <c r="AP24" s="256"/>
      <c r="AQ24" s="10"/>
      <c r="AR24" s="55"/>
      <c r="AS24" s="255"/>
      <c r="AT24" s="59"/>
      <c r="AU24" s="255"/>
      <c r="AV24" s="255"/>
      <c r="AW24" s="256"/>
      <c r="AX24" s="10"/>
      <c r="AY24" s="55"/>
      <c r="AZ24" s="255"/>
      <c r="BA24" s="59"/>
      <c r="BB24" s="255"/>
      <c r="BC24" s="255"/>
      <c r="BD24" s="256"/>
      <c r="BE24" s="10"/>
      <c r="BF24" s="259"/>
    </row>
    <row r="25" spans="1:58" s="381" customFormat="1" ht="45" customHeight="1" x14ac:dyDescent="0.25">
      <c r="A25" s="258" t="s">
        <v>3256</v>
      </c>
      <c r="B25" s="59" t="s">
        <v>5</v>
      </c>
      <c r="C25" s="60" t="s">
        <v>588</v>
      </c>
      <c r="D25" s="10" t="s">
        <v>5116</v>
      </c>
      <c r="E25" s="10" t="s">
        <v>5117</v>
      </c>
      <c r="F25" s="16" t="s">
        <v>7267</v>
      </c>
      <c r="G25" s="10" t="s">
        <v>30</v>
      </c>
      <c r="H25" s="10" t="s">
        <v>147</v>
      </c>
      <c r="I25" s="55" t="s">
        <v>3</v>
      </c>
      <c r="J25" s="255">
        <v>45995</v>
      </c>
      <c r="K25" s="59" t="s">
        <v>5118</v>
      </c>
      <c r="L25" s="255">
        <f t="shared" si="4"/>
        <v>46002</v>
      </c>
      <c r="M25" s="255">
        <v>46004</v>
      </c>
      <c r="N25" s="256">
        <f t="shared" si="5"/>
        <v>2</v>
      </c>
      <c r="O25" s="10" t="s">
        <v>5137</v>
      </c>
      <c r="P25" s="55" t="s">
        <v>18</v>
      </c>
      <c r="Q25" s="255">
        <v>46018</v>
      </c>
      <c r="R25" s="59" t="s">
        <v>5404</v>
      </c>
      <c r="S25" s="255">
        <f>Q25+7</f>
        <v>46025</v>
      </c>
      <c r="T25" s="255">
        <v>46020</v>
      </c>
      <c r="U25" s="256">
        <f>T25-S25</f>
        <v>-5</v>
      </c>
      <c r="V25" s="10" t="s">
        <v>5407</v>
      </c>
      <c r="W25" s="55" t="s">
        <v>5</v>
      </c>
      <c r="X25" s="255">
        <v>46215</v>
      </c>
      <c r="Y25" s="59" t="s">
        <v>7268</v>
      </c>
      <c r="Z25" s="255">
        <f>X25+7</f>
        <v>46222</v>
      </c>
      <c r="AA25" s="255">
        <v>46226</v>
      </c>
      <c r="AB25" s="256">
        <f>AA25-Z25</f>
        <v>4</v>
      </c>
      <c r="AC25" s="10" t="s">
        <v>7270</v>
      </c>
      <c r="AD25" s="55"/>
      <c r="AE25" s="255"/>
      <c r="AF25" s="59"/>
      <c r="AG25" s="255"/>
      <c r="AH25" s="255"/>
      <c r="AI25" s="256"/>
      <c r="AJ25" s="10"/>
      <c r="AK25" s="55"/>
      <c r="AL25" s="255"/>
      <c r="AM25" s="59"/>
      <c r="AN25" s="255"/>
      <c r="AO25" s="255"/>
      <c r="AP25" s="256"/>
      <c r="AQ25" s="10"/>
      <c r="AR25" s="55"/>
      <c r="AS25" s="255"/>
      <c r="AT25" s="59"/>
      <c r="AU25" s="255"/>
      <c r="AV25" s="255"/>
      <c r="AW25" s="256"/>
      <c r="AX25" s="10"/>
      <c r="AY25" s="55"/>
      <c r="AZ25" s="255"/>
      <c r="BA25" s="59"/>
      <c r="BB25" s="255"/>
      <c r="BC25" s="255"/>
      <c r="BD25" s="256"/>
      <c r="BE25" s="10"/>
      <c r="BF25" s="259"/>
    </row>
    <row r="26" spans="1:58" s="381" customFormat="1" ht="45" customHeight="1" x14ac:dyDescent="0.25">
      <c r="A26" s="258" t="s">
        <v>3256</v>
      </c>
      <c r="B26" s="60" t="s">
        <v>5</v>
      </c>
      <c r="C26" s="60" t="s">
        <v>54</v>
      </c>
      <c r="D26" s="10" t="s">
        <v>5348</v>
      </c>
      <c r="E26" s="10" t="s">
        <v>5349</v>
      </c>
      <c r="F26" s="16" t="s">
        <v>5351</v>
      </c>
      <c r="G26" s="10" t="s">
        <v>30</v>
      </c>
      <c r="H26" s="10" t="s">
        <v>147</v>
      </c>
      <c r="I26" s="55" t="s">
        <v>5</v>
      </c>
      <c r="J26" s="255">
        <v>46011</v>
      </c>
      <c r="K26" s="59" t="s">
        <v>5350</v>
      </c>
      <c r="L26" s="255">
        <f t="shared" si="4"/>
        <v>46018</v>
      </c>
      <c r="M26" s="255">
        <v>46018</v>
      </c>
      <c r="N26" s="256">
        <f t="shared" si="5"/>
        <v>0</v>
      </c>
      <c r="O26" s="10" t="s">
        <v>5356</v>
      </c>
      <c r="P26" s="55"/>
      <c r="Q26" s="255"/>
      <c r="R26" s="59"/>
      <c r="S26" s="255"/>
      <c r="T26" s="255"/>
      <c r="U26" s="256"/>
      <c r="V26" s="10"/>
      <c r="W26" s="55"/>
      <c r="X26" s="255"/>
      <c r="Y26" s="59"/>
      <c r="Z26" s="255"/>
      <c r="AA26" s="255"/>
      <c r="AB26" s="256"/>
      <c r="AC26" s="10"/>
      <c r="AD26" s="55"/>
      <c r="AE26" s="255"/>
      <c r="AF26" s="59"/>
      <c r="AG26" s="255"/>
      <c r="AH26" s="255"/>
      <c r="AI26" s="256"/>
      <c r="AJ26" s="10"/>
      <c r="AK26" s="55"/>
      <c r="AL26" s="255"/>
      <c r="AM26" s="59"/>
      <c r="AN26" s="255"/>
      <c r="AO26" s="255"/>
      <c r="AP26" s="256"/>
      <c r="AQ26" s="10"/>
      <c r="AR26" s="55"/>
      <c r="AS26" s="255"/>
      <c r="AT26" s="59"/>
      <c r="AU26" s="255"/>
      <c r="AV26" s="255"/>
      <c r="AW26" s="256"/>
      <c r="AX26" s="10"/>
      <c r="AY26" s="55"/>
      <c r="AZ26" s="255"/>
      <c r="BA26" s="59"/>
      <c r="BB26" s="255"/>
      <c r="BC26" s="255"/>
      <c r="BD26" s="256"/>
      <c r="BE26" s="10"/>
      <c r="BF26" s="259"/>
    </row>
    <row r="27" spans="1:58" s="381" customFormat="1" ht="45" customHeight="1" x14ac:dyDescent="0.25">
      <c r="A27" s="258" t="s">
        <v>3256</v>
      </c>
      <c r="B27" s="60" t="s">
        <v>5</v>
      </c>
      <c r="C27" s="60" t="s">
        <v>588</v>
      </c>
      <c r="D27" s="10" t="s">
        <v>5570</v>
      </c>
      <c r="E27" s="10" t="s">
        <v>5571</v>
      </c>
      <c r="F27" s="16" t="s">
        <v>5572</v>
      </c>
      <c r="G27" s="10" t="s">
        <v>30</v>
      </c>
      <c r="H27" s="10" t="s">
        <v>147</v>
      </c>
      <c r="I27" s="55" t="s">
        <v>3</v>
      </c>
      <c r="J27" s="255">
        <v>46036</v>
      </c>
      <c r="K27" s="59" t="s">
        <v>5573</v>
      </c>
      <c r="L27" s="255">
        <f>J27+7</f>
        <v>46043</v>
      </c>
      <c r="M27" s="255">
        <v>46046</v>
      </c>
      <c r="N27" s="256">
        <f t="shared" ref="N27:N33" si="6">M27-L27</f>
        <v>3</v>
      </c>
      <c r="O27" s="10" t="s">
        <v>5577</v>
      </c>
      <c r="P27" s="55" t="s">
        <v>3</v>
      </c>
      <c r="Q27" s="255">
        <v>46088</v>
      </c>
      <c r="R27" s="59" t="s">
        <v>5981</v>
      </c>
      <c r="S27" s="255">
        <f>Q27+7</f>
        <v>46095</v>
      </c>
      <c r="T27" s="255">
        <v>46099</v>
      </c>
      <c r="U27" s="256">
        <f>T27-S27</f>
        <v>4</v>
      </c>
      <c r="V27" s="10" t="s">
        <v>5994</v>
      </c>
      <c r="W27" s="55" t="s">
        <v>18</v>
      </c>
      <c r="X27" s="255">
        <v>46114</v>
      </c>
      <c r="Y27" s="59" t="s">
        <v>6219</v>
      </c>
      <c r="Z27" s="255">
        <f>X27+7</f>
        <v>46121</v>
      </c>
      <c r="AA27" s="255">
        <v>46119</v>
      </c>
      <c r="AB27" s="256">
        <f>AA27-Z27</f>
        <v>-2</v>
      </c>
      <c r="AC27" s="10" t="s">
        <v>6227</v>
      </c>
      <c r="AD27" s="55" t="s">
        <v>5</v>
      </c>
      <c r="AE27" s="255">
        <v>46120</v>
      </c>
      <c r="AF27" s="59" t="s">
        <v>6305</v>
      </c>
      <c r="AG27" s="255">
        <f>AE27+7</f>
        <v>46127</v>
      </c>
      <c r="AH27" s="255">
        <v>46123</v>
      </c>
      <c r="AI27" s="256">
        <f>AH27-AG27</f>
        <v>-4</v>
      </c>
      <c r="AJ27" s="10" t="s">
        <v>6309</v>
      </c>
      <c r="AK27" s="55"/>
      <c r="AL27" s="255"/>
      <c r="AM27" s="59"/>
      <c r="AN27" s="255"/>
      <c r="AO27" s="255"/>
      <c r="AP27" s="256"/>
      <c r="AQ27" s="10"/>
      <c r="AR27" s="55"/>
      <c r="AS27" s="255"/>
      <c r="AT27" s="59"/>
      <c r="AU27" s="255"/>
      <c r="AV27" s="255"/>
      <c r="AW27" s="256"/>
      <c r="AX27" s="10"/>
      <c r="AY27" s="55"/>
      <c r="AZ27" s="255"/>
      <c r="BA27" s="59"/>
      <c r="BB27" s="255"/>
      <c r="BC27" s="255"/>
      <c r="BD27" s="256"/>
      <c r="BE27" s="10"/>
      <c r="BF27" s="259"/>
    </row>
    <row r="28" spans="1:58" s="381" customFormat="1" ht="45" customHeight="1" x14ac:dyDescent="0.25">
      <c r="A28" s="258" t="s">
        <v>3256</v>
      </c>
      <c r="B28" s="78" t="s">
        <v>508</v>
      </c>
      <c r="C28" s="60" t="s">
        <v>627</v>
      </c>
      <c r="D28" s="10" t="s">
        <v>6041</v>
      </c>
      <c r="E28" s="10" t="s">
        <v>6040</v>
      </c>
      <c r="F28" s="16" t="s">
        <v>6039</v>
      </c>
      <c r="G28" s="10" t="s">
        <v>30</v>
      </c>
      <c r="H28" s="10" t="s">
        <v>147</v>
      </c>
      <c r="I28" s="55" t="s">
        <v>3</v>
      </c>
      <c r="J28" s="255">
        <v>46093</v>
      </c>
      <c r="K28" s="59" t="s">
        <v>6042</v>
      </c>
      <c r="L28" s="255">
        <f t="shared" ref="L28:L33" si="7">J28+7</f>
        <v>46100</v>
      </c>
      <c r="M28" s="255">
        <v>46109</v>
      </c>
      <c r="N28" s="256">
        <f t="shared" si="6"/>
        <v>9</v>
      </c>
      <c r="O28" s="10" t="s">
        <v>6057</v>
      </c>
      <c r="P28" s="9" t="s">
        <v>508</v>
      </c>
      <c r="Q28" s="255">
        <v>46233</v>
      </c>
      <c r="R28" s="150" t="s">
        <v>7389</v>
      </c>
      <c r="S28" s="255"/>
      <c r="T28" s="255"/>
      <c r="U28" s="256"/>
      <c r="V28" s="10"/>
      <c r="W28" s="55"/>
      <c r="X28" s="255"/>
      <c r="Y28" s="59"/>
      <c r="Z28" s="255"/>
      <c r="AA28" s="255"/>
      <c r="AB28" s="256"/>
      <c r="AC28" s="10"/>
      <c r="AD28" s="55"/>
      <c r="AE28" s="255"/>
      <c r="AF28" s="59"/>
      <c r="AG28" s="255"/>
      <c r="AH28" s="255"/>
      <c r="AI28" s="256"/>
      <c r="AJ28" s="10"/>
      <c r="AK28" s="55"/>
      <c r="AL28" s="255"/>
      <c r="AM28" s="59"/>
      <c r="AN28" s="255"/>
      <c r="AO28" s="255"/>
      <c r="AP28" s="256"/>
      <c r="AQ28" s="10"/>
      <c r="AR28" s="55"/>
      <c r="AS28" s="255"/>
      <c r="AT28" s="59"/>
      <c r="AU28" s="255"/>
      <c r="AV28" s="255"/>
      <c r="AW28" s="256"/>
      <c r="AX28" s="10"/>
      <c r="AY28" s="55"/>
      <c r="AZ28" s="255"/>
      <c r="BA28" s="59"/>
      <c r="BB28" s="255"/>
      <c r="BC28" s="255"/>
      <c r="BD28" s="256"/>
      <c r="BE28" s="10"/>
      <c r="BF28" s="259"/>
    </row>
    <row r="29" spans="1:58" s="381" customFormat="1" ht="45" customHeight="1" x14ac:dyDescent="0.25">
      <c r="A29" s="258" t="s">
        <v>3256</v>
      </c>
      <c r="B29" s="60" t="s">
        <v>5</v>
      </c>
      <c r="C29" s="60" t="s">
        <v>588</v>
      </c>
      <c r="D29" s="10" t="s">
        <v>6178</v>
      </c>
      <c r="E29" s="10" t="s">
        <v>6179</v>
      </c>
      <c r="F29" s="16" t="s">
        <v>6180</v>
      </c>
      <c r="G29" s="10" t="s">
        <v>30</v>
      </c>
      <c r="H29" s="10" t="s">
        <v>147</v>
      </c>
      <c r="I29" s="55" t="s">
        <v>3</v>
      </c>
      <c r="J29" s="255">
        <v>46111</v>
      </c>
      <c r="K29" s="59" t="s">
        <v>6181</v>
      </c>
      <c r="L29" s="255">
        <f t="shared" si="7"/>
        <v>46118</v>
      </c>
      <c r="M29" s="255">
        <v>46111</v>
      </c>
      <c r="N29" s="256">
        <f t="shared" si="6"/>
        <v>-7</v>
      </c>
      <c r="O29" s="10" t="s">
        <v>6189</v>
      </c>
      <c r="P29" s="55" t="s">
        <v>18</v>
      </c>
      <c r="Q29" s="255">
        <v>46112</v>
      </c>
      <c r="R29" s="59" t="s">
        <v>6196</v>
      </c>
      <c r="S29" s="255">
        <f>Q29+7</f>
        <v>46119</v>
      </c>
      <c r="T29" s="255">
        <v>46113</v>
      </c>
      <c r="U29" s="256">
        <f>T29-S29</f>
        <v>-6</v>
      </c>
      <c r="V29" s="10" t="s">
        <v>6205</v>
      </c>
      <c r="W29" s="55" t="s">
        <v>5</v>
      </c>
      <c r="X29" s="255">
        <v>46208</v>
      </c>
      <c r="Y29" s="59" t="s">
        <v>7206</v>
      </c>
      <c r="Z29" s="255">
        <f>X29+7</f>
        <v>46215</v>
      </c>
      <c r="AA29" s="255">
        <v>46216</v>
      </c>
      <c r="AB29" s="256">
        <f>AA29-Z29</f>
        <v>1</v>
      </c>
      <c r="AC29" s="10" t="s">
        <v>7246</v>
      </c>
      <c r="AD29" s="55"/>
      <c r="AE29" s="255"/>
      <c r="AF29" s="59"/>
      <c r="AG29" s="255"/>
      <c r="AH29" s="255"/>
      <c r="AI29" s="256"/>
      <c r="AJ29" s="10"/>
      <c r="AK29" s="55"/>
      <c r="AL29" s="255"/>
      <c r="AM29" s="59"/>
      <c r="AN29" s="255"/>
      <c r="AO29" s="255"/>
      <c r="AP29" s="256"/>
      <c r="AQ29" s="10"/>
      <c r="AR29" s="55"/>
      <c r="AS29" s="255"/>
      <c r="AT29" s="59"/>
      <c r="AU29" s="255"/>
      <c r="AV29" s="255"/>
      <c r="AW29" s="256"/>
      <c r="AX29" s="10"/>
      <c r="AY29" s="55"/>
      <c r="AZ29" s="255"/>
      <c r="BA29" s="59"/>
      <c r="BB29" s="255"/>
      <c r="BC29" s="255"/>
      <c r="BD29" s="256"/>
      <c r="BE29" s="10"/>
      <c r="BF29" s="259"/>
    </row>
    <row r="30" spans="1:58" s="381" customFormat="1" ht="45" customHeight="1" x14ac:dyDescent="0.25">
      <c r="A30" s="258" t="s">
        <v>3256</v>
      </c>
      <c r="B30" s="60" t="s">
        <v>5</v>
      </c>
      <c r="C30" s="60" t="s">
        <v>208</v>
      </c>
      <c r="D30" s="10" t="s">
        <v>6290</v>
      </c>
      <c r="E30" s="10" t="s">
        <v>6291</v>
      </c>
      <c r="F30" s="16" t="s">
        <v>6292</v>
      </c>
      <c r="G30" s="10" t="s">
        <v>30</v>
      </c>
      <c r="H30" s="10" t="s">
        <v>147</v>
      </c>
      <c r="I30" s="55" t="s">
        <v>18</v>
      </c>
      <c r="J30" s="255">
        <v>46119</v>
      </c>
      <c r="K30" s="59" t="s">
        <v>6293</v>
      </c>
      <c r="L30" s="255">
        <f t="shared" si="7"/>
        <v>46126</v>
      </c>
      <c r="M30" s="255">
        <v>46124</v>
      </c>
      <c r="N30" s="256">
        <f t="shared" si="6"/>
        <v>-2</v>
      </c>
      <c r="O30" s="10" t="s">
        <v>6298</v>
      </c>
      <c r="P30" s="55" t="s">
        <v>5</v>
      </c>
      <c r="Q30" s="255">
        <v>46133</v>
      </c>
      <c r="R30" s="59" t="s">
        <v>6466</v>
      </c>
      <c r="S30" s="255">
        <f>Q30+7</f>
        <v>46140</v>
      </c>
      <c r="T30" s="255">
        <v>46134</v>
      </c>
      <c r="U30" s="256">
        <f>T30-S30</f>
        <v>-6</v>
      </c>
      <c r="V30" s="10" t="s">
        <v>6471</v>
      </c>
      <c r="W30" s="55"/>
      <c r="X30" s="255"/>
      <c r="Y30" s="59"/>
      <c r="Z30" s="255"/>
      <c r="AA30" s="255"/>
      <c r="AB30" s="256"/>
      <c r="AC30" s="10"/>
      <c r="AD30" s="55"/>
      <c r="AE30" s="255"/>
      <c r="AF30" s="59"/>
      <c r="AG30" s="255"/>
      <c r="AH30" s="255"/>
      <c r="AI30" s="256"/>
      <c r="AJ30" s="10"/>
      <c r="AK30" s="55"/>
      <c r="AL30" s="255"/>
      <c r="AM30" s="59"/>
      <c r="AN30" s="255"/>
      <c r="AO30" s="255"/>
      <c r="AP30" s="256"/>
      <c r="AQ30" s="10"/>
      <c r="AR30" s="55"/>
      <c r="AS30" s="255"/>
      <c r="AT30" s="59"/>
      <c r="AU30" s="255"/>
      <c r="AV30" s="255"/>
      <c r="AW30" s="256"/>
      <c r="AX30" s="10"/>
      <c r="AY30" s="55"/>
      <c r="AZ30" s="255"/>
      <c r="BA30" s="59"/>
      <c r="BB30" s="255"/>
      <c r="BC30" s="255"/>
      <c r="BD30" s="256"/>
      <c r="BE30" s="10"/>
      <c r="BF30" s="259"/>
    </row>
    <row r="31" spans="1:58" s="381" customFormat="1" ht="45" customHeight="1" x14ac:dyDescent="0.25">
      <c r="A31" s="258" t="s">
        <v>3256</v>
      </c>
      <c r="B31" s="60" t="s">
        <v>5</v>
      </c>
      <c r="C31" s="60" t="s">
        <v>588</v>
      </c>
      <c r="D31" s="10" t="s">
        <v>6360</v>
      </c>
      <c r="E31" s="10" t="s">
        <v>6361</v>
      </c>
      <c r="F31" s="16" t="s">
        <v>6362</v>
      </c>
      <c r="G31" s="10" t="s">
        <v>30</v>
      </c>
      <c r="H31" s="10" t="s">
        <v>147</v>
      </c>
      <c r="I31" s="55" t="s">
        <v>18</v>
      </c>
      <c r="J31" s="255">
        <v>46125</v>
      </c>
      <c r="K31" s="59" t="s">
        <v>6363</v>
      </c>
      <c r="L31" s="255">
        <f t="shared" si="7"/>
        <v>46132</v>
      </c>
      <c r="M31" s="255">
        <v>46134</v>
      </c>
      <c r="N31" s="256">
        <f t="shared" si="6"/>
        <v>2</v>
      </c>
      <c r="O31" s="10" t="s">
        <v>6377</v>
      </c>
      <c r="P31" s="55" t="s">
        <v>18</v>
      </c>
      <c r="Q31" s="255">
        <v>46137</v>
      </c>
      <c r="R31" s="59" t="s">
        <v>6532</v>
      </c>
      <c r="S31" s="255">
        <f>Q31+7</f>
        <v>46144</v>
      </c>
      <c r="T31" s="255">
        <v>46146</v>
      </c>
      <c r="U31" s="256">
        <f>T31-S31</f>
        <v>2</v>
      </c>
      <c r="V31" s="10" t="s">
        <v>6541</v>
      </c>
      <c r="W31" s="55" t="s">
        <v>5</v>
      </c>
      <c r="X31" s="255">
        <v>46151</v>
      </c>
      <c r="Y31" s="59" t="s">
        <v>6702</v>
      </c>
      <c r="Z31" s="255">
        <f>X31+7</f>
        <v>46158</v>
      </c>
      <c r="AA31" s="255">
        <v>46152</v>
      </c>
      <c r="AB31" s="256">
        <f>AA31-Z31</f>
        <v>-6</v>
      </c>
      <c r="AC31" s="10" t="s">
        <v>6715</v>
      </c>
      <c r="AD31" s="55"/>
      <c r="AE31" s="255"/>
      <c r="AF31" s="59"/>
      <c r="AG31" s="255"/>
      <c r="AH31" s="255"/>
      <c r="AI31" s="256"/>
      <c r="AJ31" s="10"/>
      <c r="AK31" s="55"/>
      <c r="AL31" s="255"/>
      <c r="AM31" s="59"/>
      <c r="AN31" s="255"/>
      <c r="AO31" s="255"/>
      <c r="AP31" s="256"/>
      <c r="AQ31" s="10"/>
      <c r="AR31" s="55"/>
      <c r="AS31" s="255"/>
      <c r="AT31" s="59"/>
      <c r="AU31" s="255"/>
      <c r="AV31" s="255"/>
      <c r="AW31" s="256"/>
      <c r="AX31" s="10"/>
      <c r="AY31" s="55"/>
      <c r="AZ31" s="255"/>
      <c r="BA31" s="59"/>
      <c r="BB31" s="255"/>
      <c r="BC31" s="255"/>
      <c r="BD31" s="256"/>
      <c r="BE31" s="10"/>
      <c r="BF31" s="259"/>
    </row>
    <row r="32" spans="1:58" s="381" customFormat="1" ht="45" customHeight="1" x14ac:dyDescent="0.25">
      <c r="A32" s="258" t="s">
        <v>3256</v>
      </c>
      <c r="B32" s="60" t="s">
        <v>5</v>
      </c>
      <c r="C32" s="60" t="s">
        <v>54</v>
      </c>
      <c r="D32" s="10" t="s">
        <v>6873</v>
      </c>
      <c r="E32" s="10" t="s">
        <v>6874</v>
      </c>
      <c r="F32" s="16" t="s">
        <v>6872</v>
      </c>
      <c r="G32" s="10" t="s">
        <v>30</v>
      </c>
      <c r="H32" s="10" t="s">
        <v>147</v>
      </c>
      <c r="I32" s="55" t="s">
        <v>5</v>
      </c>
      <c r="J32" s="255">
        <v>46162</v>
      </c>
      <c r="K32" s="59" t="s">
        <v>6875</v>
      </c>
      <c r="L32" s="255">
        <f t="shared" si="7"/>
        <v>46169</v>
      </c>
      <c r="M32" s="255">
        <v>46173</v>
      </c>
      <c r="N32" s="256">
        <f t="shared" si="6"/>
        <v>4</v>
      </c>
      <c r="O32" s="10" t="s">
        <v>6887</v>
      </c>
      <c r="P32" s="55"/>
      <c r="Q32" s="255"/>
      <c r="R32" s="59"/>
      <c r="S32" s="255"/>
      <c r="T32" s="255"/>
      <c r="U32" s="256"/>
      <c r="V32" s="10"/>
      <c r="W32" s="55"/>
      <c r="X32" s="255"/>
      <c r="Y32" s="59"/>
      <c r="Z32" s="255"/>
      <c r="AA32" s="255"/>
      <c r="AB32" s="256"/>
      <c r="AC32" s="10"/>
      <c r="AD32" s="55"/>
      <c r="AE32" s="255"/>
      <c r="AF32" s="59"/>
      <c r="AG32" s="255"/>
      <c r="AH32" s="255"/>
      <c r="AI32" s="256"/>
      <c r="AJ32" s="10"/>
      <c r="AK32" s="55"/>
      <c r="AL32" s="255"/>
      <c r="AM32" s="59"/>
      <c r="AN32" s="255"/>
      <c r="AO32" s="255"/>
      <c r="AP32" s="256"/>
      <c r="AQ32" s="10"/>
      <c r="AR32" s="55"/>
      <c r="AS32" s="255"/>
      <c r="AT32" s="59"/>
      <c r="AU32" s="255"/>
      <c r="AV32" s="255"/>
      <c r="AW32" s="256"/>
      <c r="AX32" s="10"/>
      <c r="AY32" s="55"/>
      <c r="AZ32" s="255"/>
      <c r="BA32" s="59"/>
      <c r="BB32" s="255"/>
      <c r="BC32" s="255"/>
      <c r="BD32" s="256"/>
      <c r="BE32" s="10"/>
      <c r="BF32" s="259"/>
    </row>
    <row r="33" spans="1:58" s="381" customFormat="1" ht="45" customHeight="1" x14ac:dyDescent="0.25">
      <c r="A33" s="258" t="s">
        <v>3256</v>
      </c>
      <c r="B33" s="60" t="s">
        <v>5</v>
      </c>
      <c r="C33" s="60" t="s">
        <v>54</v>
      </c>
      <c r="D33" s="10" t="s">
        <v>6918</v>
      </c>
      <c r="E33" s="10" t="s">
        <v>6919</v>
      </c>
      <c r="F33" s="16" t="s">
        <v>6921</v>
      </c>
      <c r="G33" s="10" t="s">
        <v>30</v>
      </c>
      <c r="H33" s="10" t="s">
        <v>147</v>
      </c>
      <c r="I33" s="55" t="s">
        <v>5</v>
      </c>
      <c r="J33" s="255">
        <v>46167</v>
      </c>
      <c r="K33" s="59" t="s">
        <v>6920</v>
      </c>
      <c r="L33" s="255">
        <f t="shared" si="7"/>
        <v>46174</v>
      </c>
      <c r="M33" s="255">
        <v>46173</v>
      </c>
      <c r="N33" s="256">
        <f t="shared" si="6"/>
        <v>-1</v>
      </c>
      <c r="O33" s="10" t="s">
        <v>6923</v>
      </c>
      <c r="P33" s="55"/>
      <c r="Q33" s="255"/>
      <c r="R33" s="59"/>
      <c r="S33" s="255"/>
      <c r="T33" s="255"/>
      <c r="U33" s="256"/>
      <c r="V33" s="10"/>
      <c r="W33" s="55"/>
      <c r="X33" s="255"/>
      <c r="Y33" s="59"/>
      <c r="Z33" s="255"/>
      <c r="AA33" s="255"/>
      <c r="AB33" s="256"/>
      <c r="AC33" s="10"/>
      <c r="AD33" s="55"/>
      <c r="AE33" s="255"/>
      <c r="AF33" s="59"/>
      <c r="AG33" s="255"/>
      <c r="AH33" s="255"/>
      <c r="AI33" s="256"/>
      <c r="AJ33" s="10"/>
      <c r="AK33" s="55"/>
      <c r="AL33" s="255"/>
      <c r="AM33" s="59"/>
      <c r="AN33" s="255"/>
      <c r="AO33" s="255"/>
      <c r="AP33" s="256"/>
      <c r="AQ33" s="10"/>
      <c r="AR33" s="55"/>
      <c r="AS33" s="255"/>
      <c r="AT33" s="59"/>
      <c r="AU33" s="255"/>
      <c r="AV33" s="255"/>
      <c r="AW33" s="256"/>
      <c r="AX33" s="10"/>
      <c r="AY33" s="55"/>
      <c r="AZ33" s="255"/>
      <c r="BA33" s="59"/>
      <c r="BB33" s="255"/>
      <c r="BC33" s="255"/>
      <c r="BD33" s="256"/>
      <c r="BE33" s="10"/>
      <c r="BF33" s="259"/>
    </row>
    <row r="34" spans="1:58" s="381" customFormat="1" ht="45" customHeight="1" thickBot="1" x14ac:dyDescent="0.3">
      <c r="A34" s="261"/>
      <c r="B34" s="434"/>
      <c r="C34" s="434"/>
      <c r="D34" s="263"/>
      <c r="E34" s="263"/>
      <c r="F34" s="262"/>
      <c r="G34" s="263"/>
      <c r="H34" s="263"/>
      <c r="I34" s="435"/>
      <c r="J34" s="265"/>
      <c r="K34" s="264"/>
      <c r="L34" s="265"/>
      <c r="M34" s="265"/>
      <c r="N34" s="436"/>
      <c r="O34" s="263"/>
      <c r="P34" s="435"/>
      <c r="Q34" s="265"/>
      <c r="R34" s="264"/>
      <c r="S34" s="265"/>
      <c r="T34" s="265"/>
      <c r="U34" s="436"/>
      <c r="V34" s="263"/>
      <c r="W34" s="435"/>
      <c r="X34" s="265"/>
      <c r="Y34" s="264"/>
      <c r="Z34" s="265"/>
      <c r="AA34" s="265"/>
      <c r="AB34" s="436"/>
      <c r="AC34" s="263"/>
      <c r="AD34" s="435"/>
      <c r="AE34" s="265"/>
      <c r="AF34" s="264"/>
      <c r="AG34" s="265"/>
      <c r="AH34" s="265"/>
      <c r="AI34" s="436"/>
      <c r="AJ34" s="263"/>
      <c r="AK34" s="435"/>
      <c r="AL34" s="265"/>
      <c r="AM34" s="264"/>
      <c r="AN34" s="265"/>
      <c r="AO34" s="265"/>
      <c r="AP34" s="436"/>
      <c r="AQ34" s="263"/>
      <c r="AR34" s="435"/>
      <c r="AS34" s="265"/>
      <c r="AT34" s="264"/>
      <c r="AU34" s="265"/>
      <c r="AV34" s="265"/>
      <c r="AW34" s="436"/>
      <c r="AX34" s="263"/>
      <c r="AY34" s="435"/>
      <c r="AZ34" s="265"/>
      <c r="BA34" s="264"/>
      <c r="BB34" s="265"/>
      <c r="BC34" s="265"/>
      <c r="BD34" s="436"/>
      <c r="BE34" s="263"/>
      <c r="BF34" s="266"/>
    </row>
  </sheetData>
  <autoFilter ref="A11:BF11" xr:uid="{00000000-0001-0000-0300-000000000000}"/>
  <mergeCells count="19">
    <mergeCell ref="BF10:BF11"/>
    <mergeCell ref="H1:H2"/>
    <mergeCell ref="I1:I2"/>
    <mergeCell ref="AR10:AX10"/>
    <mergeCell ref="AY10:BE10"/>
    <mergeCell ref="H10:H11"/>
    <mergeCell ref="I10:O10"/>
    <mergeCell ref="P10:V10"/>
    <mergeCell ref="W10:AC10"/>
    <mergeCell ref="AD10:AJ10"/>
    <mergeCell ref="AK10:AQ10"/>
    <mergeCell ref="D10:D11"/>
    <mergeCell ref="E10:E11"/>
    <mergeCell ref="F10:F11"/>
    <mergeCell ref="A10:A11"/>
    <mergeCell ref="J1:J2"/>
    <mergeCell ref="G10:G11"/>
    <mergeCell ref="B10:B11"/>
    <mergeCell ref="C10:C11"/>
  </mergeCells>
  <phoneticPr fontId="5" type="noConversion"/>
  <conditionalFormatting sqref="A10:A1048576 BF12:BF1048576">
    <cfRule type="cellIs" dxfId="6214" priority="216" operator="equal">
      <formula>"E - Review not Required - Proceed"</formula>
    </cfRule>
    <cfRule type="cellIs" dxfId="6213" priority="217" operator="equal">
      <formula>"D - Rejected"</formula>
    </cfRule>
    <cfRule type="cellIs" dxfId="6212" priority="218" operator="equal">
      <formula>"B- Incorporate Comments - Proceed"</formula>
    </cfRule>
    <cfRule type="cellIs" dxfId="6211" priority="219" operator="equal">
      <formula>"C - Revise and Resubmit - Do Not Proceed"</formula>
    </cfRule>
    <cfRule type="cellIs" dxfId="6210" priority="220" operator="equal">
      <formula>"A - Work May Proceed"</formula>
    </cfRule>
  </conditionalFormatting>
  <conditionalFormatting sqref="B25">
    <cfRule type="cellIs" dxfId="6209" priority="250" stopIfTrue="1" operator="equal">
      <formula>"A - Work May Proceed"</formula>
    </cfRule>
  </conditionalFormatting>
  <conditionalFormatting sqref="B1:G2 B3:H4 B9:H9 B10:O10 D11:O11 B11">
    <cfRule type="cellIs" dxfId="6208" priority="265" operator="equal">
      <formula>"A - Work May Proceed"</formula>
    </cfRule>
  </conditionalFormatting>
  <conditionalFormatting sqref="B5:I7 B8:J8 B29:BE34 J5:J6">
    <cfRule type="cellIs" dxfId="6207" priority="253" operator="equal">
      <formula>"B- Incorporate Comments - Proceed"</formula>
    </cfRule>
    <cfRule type="cellIs" dxfId="6206" priority="251" operator="equal">
      <formula>"E - Review not Required - Proceed"</formula>
    </cfRule>
    <cfRule type="cellIs" dxfId="6205" priority="252" operator="equal">
      <formula>"D - Rejected"</formula>
    </cfRule>
    <cfRule type="cellIs" dxfId="6204" priority="254" operator="equal">
      <formula>"C - Revise and Resubmit - Do Not Proceed"</formula>
    </cfRule>
  </conditionalFormatting>
  <conditionalFormatting sqref="B12:AE12 B13:BE15 B16:AP16 B17:AE17 B18:Q18 B19:AE19 B20:BE20 B21:O21 B22:BE22 B23:Q23 B24:O24 B25:BE27 B28:O28 AG12:AI12 AK12:BE12 AR16:BE16 AG17:AI17 AK17:BE17 S18:U18 W18:BE18 AG19:AI19 AK19:BE19 S21:BE21 S23:U23 W23:BE23 S24:BE24 S28:BE28">
    <cfRule type="cellIs" dxfId="6203" priority="246" operator="equal">
      <formula>"E - Review not Required - Proceed"</formula>
    </cfRule>
    <cfRule type="cellIs" dxfId="6202" priority="248" operator="equal">
      <formula>"B- Incorporate Comments - Proceed"</formula>
    </cfRule>
    <cfRule type="cellIs" dxfId="6201" priority="249" operator="equal">
      <formula>"C - Revise and Resubmit - Do Not Proceed"</formula>
    </cfRule>
    <cfRule type="cellIs" dxfId="6200" priority="247" operator="equal">
      <formula>"D - Rejected"</formula>
    </cfRule>
  </conditionalFormatting>
  <conditionalFormatting sqref="D1:D1048576">
    <cfRule type="duplicateValues" dxfId="6199" priority="36"/>
  </conditionalFormatting>
  <conditionalFormatting sqref="I11">
    <cfRule type="cellIs" dxfId="6198" priority="268" operator="equal">
      <formula>"B - Incorporate Comments - Proceed "</formula>
    </cfRule>
    <cfRule type="cellIs" dxfId="6197" priority="267" operator="equal">
      <formula>"For Information"</formula>
    </cfRule>
    <cfRule type="cellIs" dxfId="6196" priority="266" operator="equal">
      <formula>"B - Incorporate Comments - Proceed"</formula>
    </cfRule>
    <cfRule type="cellIs" dxfId="6195" priority="271" operator="between">
      <formula>"'D - Rejected "</formula>
      <formula>"'D - Rejected "</formula>
    </cfRule>
    <cfRule type="cellIs" dxfId="6194" priority="278" operator="between">
      <formula>"CANCELLED"</formula>
      <formula>"CANCELLED"</formula>
    </cfRule>
    <cfRule type="cellIs" dxfId="6193" priority="279" operator="between">
      <formula>"A - Work May Proceed"</formula>
      <formula>"A - Work May Proceed"</formula>
    </cfRule>
    <cfRule type="cellIs" dxfId="6192" priority="280" operator="between">
      <formula>"C - Revise and Resubmit - Do Not Proceed"</formula>
      <formula>"C - Revise and Resubmit - Do Not Proceed"</formula>
    </cfRule>
    <cfRule type="cellIs" dxfId="6191" priority="281" stopIfTrue="1" operator="between">
      <formula>"B - Incorporate Comments - Proceed "</formula>
      <formula>"B - Incorporate Comments - Proceed "</formula>
    </cfRule>
    <cfRule type="cellIs" dxfId="6190" priority="274" operator="between">
      <formula>"A - Work May Proceed"</formula>
      <formula>"A - Work May Proceed"</formula>
    </cfRule>
    <cfRule type="cellIs" dxfId="6189" priority="269" operator="equal">
      <formula>"E - Review Not Required - Proceed"</formula>
    </cfRule>
    <cfRule type="cellIs" dxfId="6188" priority="270" operator="between">
      <formula>"E - Review not Required - Proceed"</formula>
      <formula>"E - Review not Required - Proceed"</formula>
    </cfRule>
    <cfRule type="cellIs" dxfId="6187" priority="272" operator="between">
      <formula>"C - Revise and Resubmit - Do Not Proceed"</formula>
      <formula>"C - Revise and Resubmit - Do Not Proceed"</formula>
    </cfRule>
    <cfRule type="cellIs" dxfId="6186" priority="273" operator="between">
      <formula>"B - Incorporate Comments - Proceed"</formula>
      <formula>"B - Incorporate Comments - Proceed"</formula>
    </cfRule>
    <cfRule type="cellIs" dxfId="6185" priority="275" operator="between">
      <formula>"B - Incorporate Comments - Proceed"</formula>
      <formula>"B - Incorporate Comments - Proceed"</formula>
    </cfRule>
    <cfRule type="cellIs" dxfId="6184" priority="276" operator="between">
      <formula>"E - Review not Required - Proceed"</formula>
      <formula>"E - Review not Required - Proceed"</formula>
    </cfRule>
    <cfRule type="cellIs" dxfId="6183" priority="277" operator="between">
      <formula>"D - Rejected "</formula>
      <formula>"D - Rejected "</formula>
    </cfRule>
  </conditionalFormatting>
  <conditionalFormatting sqref="J5:J6 B5:I7 B8:J8">
    <cfRule type="cellIs" dxfId="6182" priority="255" stopIfTrue="1" operator="equal">
      <formula>"A - Work May Proceed"</formula>
    </cfRule>
  </conditionalFormatting>
  <conditionalFormatting sqref="P11">
    <cfRule type="cellIs" dxfId="6181" priority="201" operator="equal">
      <formula>"For Information"</formula>
    </cfRule>
    <cfRule type="cellIs" dxfId="6180" priority="202" operator="equal">
      <formula>"B - Incorporate Comments - Proceed "</formula>
    </cfRule>
    <cfRule type="cellIs" dxfId="6179" priority="203" operator="equal">
      <formula>"E - Review Not Required - Proceed"</formula>
    </cfRule>
    <cfRule type="cellIs" dxfId="6178" priority="204" operator="between">
      <formula>"E - Review not Required - Proceed"</formula>
      <formula>"E - Review not Required - Proceed"</formula>
    </cfRule>
    <cfRule type="cellIs" dxfId="6177" priority="210" operator="between">
      <formula>"E - Review not Required - Proceed"</formula>
      <formula>"E - Review not Required - Proceed"</formula>
    </cfRule>
    <cfRule type="cellIs" dxfId="6176" priority="215" stopIfTrue="1" operator="between">
      <formula>"B - Incorporate Comments - Proceed "</formula>
      <formula>"B - Incorporate Comments - Proceed "</formula>
    </cfRule>
    <cfRule type="cellIs" dxfId="6175" priority="209" operator="between">
      <formula>"B - Incorporate Comments - Proceed"</formula>
      <formula>"B - Incorporate Comments - Proceed"</formula>
    </cfRule>
    <cfRule type="cellIs" dxfId="6174" priority="208" operator="between">
      <formula>"A - Work May Proceed"</formula>
      <formula>"A - Work May Proceed"</formula>
    </cfRule>
    <cfRule type="cellIs" dxfId="6173" priority="214" operator="between">
      <formula>"C - Revise and Resubmit - Do Not Proceed"</formula>
      <formula>"C - Revise and Resubmit - Do Not Proceed"</formula>
    </cfRule>
    <cfRule type="cellIs" dxfId="6172" priority="200" operator="equal">
      <formula>"B - Incorporate Comments - Proceed"</formula>
    </cfRule>
    <cfRule type="cellIs" dxfId="6171" priority="212" operator="between">
      <formula>"CANCELLED"</formula>
      <formula>"CANCELLED"</formula>
    </cfRule>
    <cfRule type="cellIs" dxfId="6170" priority="211" operator="between">
      <formula>"D - Rejected "</formula>
      <formula>"D - Rejected "</formula>
    </cfRule>
    <cfRule type="cellIs" dxfId="6169" priority="213" operator="between">
      <formula>"A - Work May Proceed"</formula>
      <formula>"A - Work May Proceed"</formula>
    </cfRule>
    <cfRule type="cellIs" dxfId="6168" priority="207" operator="between">
      <formula>"B - Incorporate Comments - Proceed"</formula>
      <formula>"B - Incorporate Comments - Proceed"</formula>
    </cfRule>
    <cfRule type="cellIs" dxfId="6167" priority="206" operator="between">
      <formula>"C - Revise and Resubmit - Do Not Proceed"</formula>
      <formula>"C - Revise and Resubmit - Do Not Proceed"</formula>
    </cfRule>
    <cfRule type="cellIs" dxfId="6166" priority="205" operator="between">
      <formula>"'D - Rejected "</formula>
      <formula>"'D - Rejected "</formula>
    </cfRule>
  </conditionalFormatting>
  <conditionalFormatting sqref="P21:Q21">
    <cfRule type="cellIs" dxfId="6165" priority="27" operator="equal">
      <formula>"D - Rejected"</formula>
    </cfRule>
    <cfRule type="cellIs" dxfId="6164" priority="28" operator="equal">
      <formula>"B- Incorporate Comments - Proceed"</formula>
    </cfRule>
    <cfRule type="cellIs" dxfId="6163" priority="29" operator="equal">
      <formula>"C - Revise and Resubmit - Do Not Proceed"</formula>
    </cfRule>
    <cfRule type="cellIs" dxfId="6162" priority="30" operator="equal">
      <formula>"A - Work May Proceed"</formula>
    </cfRule>
    <cfRule type="cellIs" dxfId="6161" priority="26" operator="equal">
      <formula>"E - Review not Required - Proceed"</formula>
    </cfRule>
  </conditionalFormatting>
  <conditionalFormatting sqref="P23:Q24">
    <cfRule type="cellIs" dxfId="6160" priority="20" operator="equal">
      <formula>"A - Work May Proceed"</formula>
    </cfRule>
  </conditionalFormatting>
  <conditionalFormatting sqref="P24:Q24">
    <cfRule type="cellIs" dxfId="6159" priority="16" operator="equal">
      <formula>"E - Review not Required - Proceed"</formula>
    </cfRule>
    <cfRule type="cellIs" dxfId="6158" priority="19" operator="equal">
      <formula>"C - Revise and Resubmit - Do Not Proceed"</formula>
    </cfRule>
    <cfRule type="cellIs" dxfId="6157" priority="18" operator="equal">
      <formula>"B- Incorporate Comments - Proceed"</formula>
    </cfRule>
    <cfRule type="cellIs" dxfId="6156" priority="17" operator="equal">
      <formula>"D - Rejected"</formula>
    </cfRule>
  </conditionalFormatting>
  <conditionalFormatting sqref="P28:Q28">
    <cfRule type="cellIs" dxfId="6155" priority="6" operator="equal">
      <formula>"E - Review not Required - Proceed"</formula>
    </cfRule>
    <cfRule type="cellIs" dxfId="6154" priority="10" operator="equal">
      <formula>"A - Work May Proceed"</formula>
    </cfRule>
    <cfRule type="cellIs" dxfId="6153" priority="9" operator="equal">
      <formula>"C - Revise and Resubmit - Do Not Proceed"</formula>
    </cfRule>
    <cfRule type="cellIs" dxfId="6152" priority="8" operator="equal">
      <formula>"B- Incorporate Comments - Proceed"</formula>
    </cfRule>
    <cfRule type="cellIs" dxfId="6151" priority="7" operator="equal">
      <formula>"D - Rejected"</formula>
    </cfRule>
  </conditionalFormatting>
  <conditionalFormatting sqref="P10:BE11 B1:G2 B3:H4 B9:H9 B10:O10 D11:O11 B11">
    <cfRule type="cellIs" dxfId="6150" priority="261" operator="equal">
      <formula>"E - Review not Required - Proceed"</formula>
    </cfRule>
    <cfRule type="cellIs" dxfId="6149" priority="263" operator="equal">
      <formula>"B- Incorporate Comments - Proceed"</formula>
    </cfRule>
    <cfRule type="cellIs" dxfId="6148" priority="264" operator="equal">
      <formula>"C - Revise and Resubmit - Do Not Proceed"</formula>
    </cfRule>
    <cfRule type="cellIs" dxfId="6147" priority="262" operator="equal">
      <formula>"D - Rejected"</formula>
    </cfRule>
  </conditionalFormatting>
  <conditionalFormatting sqref="P10:BE11 B12:O24 C25:O25 B26:O33 B34:BE34 P12:AE12 AG12:AI12 AK12:BE12 P13:BE15 P16:AP16 AR16:BE16 P17:AE17 AG17:AI17 AK17:BE17 P18:Q18 S18:U18 W18:BE18 P19:AE19 AG19:AI19 AK19:BE19 P20:BE20 S21:BE21 P22:BE22 S23:U23 W23:BE23 S24:BE24 P25:BE27 S28:BE28 P29:BE33">
    <cfRule type="cellIs" dxfId="6146" priority="260" operator="equal">
      <formula>"A - Work May Proceed"</formula>
    </cfRule>
  </conditionalFormatting>
  <conditionalFormatting sqref="W11">
    <cfRule type="cellIs" dxfId="6145" priority="188" operator="between">
      <formula>"C - Revise and Resubmit - Do Not Proceed"</formula>
      <formula>"C - Revise and Resubmit - Do Not Proceed"</formula>
    </cfRule>
    <cfRule type="cellIs" dxfId="6144" priority="187" operator="between">
      <formula>"A - Work May Proceed"</formula>
      <formula>"A - Work May Proceed"</formula>
    </cfRule>
    <cfRule type="cellIs" dxfId="6143" priority="186" operator="between">
      <formula>"CANCELLED"</formula>
      <formula>"CANCELLED"</formula>
    </cfRule>
    <cfRule type="cellIs" dxfId="6142" priority="184" operator="between">
      <formula>"E - Review not Required - Proceed"</formula>
      <formula>"E - Review not Required - Proceed"</formula>
    </cfRule>
    <cfRule type="cellIs" dxfId="6141" priority="185" operator="between">
      <formula>"D - Rejected "</formula>
      <formula>"D - Rejected "</formula>
    </cfRule>
    <cfRule type="cellIs" dxfId="6140" priority="183" operator="between">
      <formula>"B - Incorporate Comments - Proceed"</formula>
      <formula>"B - Incorporate Comments - Proceed"</formula>
    </cfRule>
    <cfRule type="cellIs" dxfId="6139" priority="182" operator="between">
      <formula>"A - Work May Proceed"</formula>
      <formula>"A - Work May Proceed"</formula>
    </cfRule>
    <cfRule type="cellIs" dxfId="6138" priority="181" operator="between">
      <formula>"B - Incorporate Comments - Proceed"</formula>
      <formula>"B - Incorporate Comments - Proceed"</formula>
    </cfRule>
    <cfRule type="cellIs" dxfId="6137" priority="180" operator="between">
      <formula>"C - Revise and Resubmit - Do Not Proceed"</formula>
      <formula>"C - Revise and Resubmit - Do Not Proceed"</formula>
    </cfRule>
    <cfRule type="cellIs" dxfId="6136" priority="179" operator="between">
      <formula>"'D - Rejected "</formula>
      <formula>"'D - Rejected "</formula>
    </cfRule>
    <cfRule type="cellIs" dxfId="6135" priority="177" operator="equal">
      <formula>"E - Review Not Required - Proceed"</formula>
    </cfRule>
    <cfRule type="cellIs" dxfId="6134" priority="176" operator="equal">
      <formula>"B - Incorporate Comments - Proceed "</formula>
    </cfRule>
    <cfRule type="cellIs" dxfId="6133" priority="175" operator="equal">
      <formula>"For Information"</formula>
    </cfRule>
    <cfRule type="cellIs" dxfId="6132" priority="174" operator="equal">
      <formula>"B - Incorporate Comments - Proceed"</formula>
    </cfRule>
    <cfRule type="cellIs" dxfId="6131" priority="189" stopIfTrue="1" operator="between">
      <formula>"B - Incorporate Comments - Proceed "</formula>
      <formula>"B - Incorporate Comments - Proceed "</formula>
    </cfRule>
    <cfRule type="cellIs" dxfId="6130" priority="178" operator="between">
      <formula>"E - Review not Required - Proceed"</formula>
      <formula>"E - Review not Required - Proceed"</formula>
    </cfRule>
  </conditionalFormatting>
  <conditionalFormatting sqref="AD11">
    <cfRule type="cellIs" dxfId="6129" priority="148" operator="equal">
      <formula>"B - Incorporate Comments - Proceed"</formula>
    </cfRule>
    <cfRule type="cellIs" dxfId="6128" priority="149" operator="equal">
      <formula>"For Information"</formula>
    </cfRule>
    <cfRule type="cellIs" dxfId="6127" priority="150" operator="equal">
      <formula>"B - Incorporate Comments - Proceed "</formula>
    </cfRule>
    <cfRule type="cellIs" dxfId="6126" priority="151" operator="equal">
      <formula>"E - Review Not Required - Proceed"</formula>
    </cfRule>
    <cfRule type="cellIs" dxfId="6125" priority="152" operator="between">
      <formula>"E - Review not Required - Proceed"</formula>
      <formula>"E - Review not Required - Proceed"</formula>
    </cfRule>
    <cfRule type="cellIs" dxfId="6124" priority="153" operator="between">
      <formula>"'D - Rejected "</formula>
      <formula>"'D - Rejected "</formula>
    </cfRule>
    <cfRule type="cellIs" dxfId="6123" priority="154" operator="between">
      <formula>"C - Revise and Resubmit - Do Not Proceed"</formula>
      <formula>"C - Revise and Resubmit - Do Not Proceed"</formula>
    </cfRule>
    <cfRule type="cellIs" dxfId="6122" priority="155" operator="between">
      <formula>"B - Incorporate Comments - Proceed"</formula>
      <formula>"B - Incorporate Comments - Proceed"</formula>
    </cfRule>
    <cfRule type="cellIs" dxfId="6121" priority="156" operator="between">
      <formula>"A - Work May Proceed"</formula>
      <formula>"A - Work May Proceed"</formula>
    </cfRule>
    <cfRule type="cellIs" dxfId="6120" priority="157" operator="between">
      <formula>"B - Incorporate Comments - Proceed"</formula>
      <formula>"B - Incorporate Comments - Proceed"</formula>
    </cfRule>
    <cfRule type="cellIs" dxfId="6119" priority="158" operator="between">
      <formula>"E - Review not Required - Proceed"</formula>
      <formula>"E - Review not Required - Proceed"</formula>
    </cfRule>
    <cfRule type="cellIs" dxfId="6118" priority="159" operator="between">
      <formula>"D - Rejected "</formula>
      <formula>"D - Rejected "</formula>
    </cfRule>
    <cfRule type="cellIs" dxfId="6117" priority="160" operator="between">
      <formula>"CANCELLED"</formula>
      <formula>"CANCELLED"</formula>
    </cfRule>
    <cfRule type="cellIs" dxfId="6116" priority="161" operator="between">
      <formula>"A - Work May Proceed"</formula>
      <formula>"A - Work May Proceed"</formula>
    </cfRule>
    <cfRule type="cellIs" dxfId="6115" priority="162" operator="between">
      <formula>"C - Revise and Resubmit - Do Not Proceed"</formula>
      <formula>"C - Revise and Resubmit - Do Not Proceed"</formula>
    </cfRule>
    <cfRule type="cellIs" dxfId="6114" priority="163" stopIfTrue="1" operator="between">
      <formula>"B - Incorporate Comments - Proceed "</formula>
      <formula>"B - Incorporate Comments - Proceed "</formula>
    </cfRule>
  </conditionalFormatting>
  <conditionalFormatting sqref="AK11">
    <cfRule type="cellIs" dxfId="6113" priority="135" operator="between">
      <formula>"A - Work May Proceed"</formula>
      <formula>"A - Work May Proceed"</formula>
    </cfRule>
    <cfRule type="cellIs" dxfId="6112" priority="136" operator="between">
      <formula>"C - Revise and Resubmit - Do Not Proceed"</formula>
      <formula>"C - Revise and Resubmit - Do Not Proceed"</formula>
    </cfRule>
    <cfRule type="cellIs" dxfId="6111" priority="127" operator="between">
      <formula>"'D - Rejected "</formula>
      <formula>"'D - Rejected "</formula>
    </cfRule>
    <cfRule type="cellIs" dxfId="6110" priority="137" stopIfTrue="1" operator="between">
      <formula>"B - Incorporate Comments - Proceed "</formula>
      <formula>"B - Incorporate Comments - Proceed "</formula>
    </cfRule>
    <cfRule type="cellIs" dxfId="6109" priority="126" operator="between">
      <formula>"E - Review not Required - Proceed"</formula>
      <formula>"E - Review not Required - Proceed"</formula>
    </cfRule>
    <cfRule type="cellIs" dxfId="6108" priority="129" operator="between">
      <formula>"B - Incorporate Comments - Proceed"</formula>
      <formula>"B - Incorporate Comments - Proceed"</formula>
    </cfRule>
    <cfRule type="cellIs" dxfId="6107" priority="128" operator="between">
      <formula>"C - Revise and Resubmit - Do Not Proceed"</formula>
      <formula>"C - Revise and Resubmit - Do Not Proceed"</formula>
    </cfRule>
    <cfRule type="cellIs" dxfId="6106" priority="130" operator="between">
      <formula>"A - Work May Proceed"</formula>
      <formula>"A - Work May Proceed"</formula>
    </cfRule>
    <cfRule type="cellIs" dxfId="6105" priority="131" operator="between">
      <formula>"B - Incorporate Comments - Proceed"</formula>
      <formula>"B - Incorporate Comments - Proceed"</formula>
    </cfRule>
    <cfRule type="cellIs" dxfId="6104" priority="132" operator="between">
      <formula>"E - Review not Required - Proceed"</formula>
      <formula>"E - Review not Required - Proceed"</formula>
    </cfRule>
    <cfRule type="cellIs" dxfId="6103" priority="133" operator="between">
      <formula>"D - Rejected "</formula>
      <formula>"D - Rejected "</formula>
    </cfRule>
    <cfRule type="cellIs" dxfId="6102" priority="134" operator="between">
      <formula>"CANCELLED"</formula>
      <formula>"CANCELLED"</formula>
    </cfRule>
    <cfRule type="cellIs" dxfId="6101" priority="125" operator="equal">
      <formula>"E - Review Not Required - Proceed"</formula>
    </cfRule>
    <cfRule type="cellIs" dxfId="6100" priority="124" operator="equal">
      <formula>"B - Incorporate Comments - Proceed "</formula>
    </cfRule>
    <cfRule type="cellIs" dxfId="6099" priority="123" operator="equal">
      <formula>"For Information"</formula>
    </cfRule>
    <cfRule type="cellIs" dxfId="6098" priority="122" operator="equal">
      <formula>"B - Incorporate Comments - Proceed"</formula>
    </cfRule>
  </conditionalFormatting>
  <conditionalFormatting sqref="AR11">
    <cfRule type="cellIs" dxfId="6097" priority="107" operator="between">
      <formula>"D - Rejected "</formula>
      <formula>"D - Rejected "</formula>
    </cfRule>
    <cfRule type="cellIs" dxfId="6096" priority="106" operator="between">
      <formula>"E - Review not Required - Proceed"</formula>
      <formula>"E - Review not Required - Proceed"</formula>
    </cfRule>
    <cfRule type="cellIs" dxfId="6095" priority="104" operator="between">
      <formula>"A - Work May Proceed"</formula>
      <formula>"A - Work May Proceed"</formula>
    </cfRule>
    <cfRule type="cellIs" dxfId="6094" priority="103" operator="between">
      <formula>"B - Incorporate Comments - Proceed"</formula>
      <formula>"B - Incorporate Comments - Proceed"</formula>
    </cfRule>
    <cfRule type="cellIs" dxfId="6093" priority="102" operator="between">
      <formula>"C - Revise and Resubmit - Do Not Proceed"</formula>
      <formula>"C - Revise and Resubmit - Do Not Proceed"</formula>
    </cfRule>
    <cfRule type="cellIs" dxfId="6092" priority="101" operator="between">
      <formula>"'D - Rejected "</formula>
      <formula>"'D - Rejected "</formula>
    </cfRule>
    <cfRule type="cellIs" dxfId="6091" priority="100" operator="between">
      <formula>"E - Review not Required - Proceed"</formula>
      <formula>"E - Review not Required - Proceed"</formula>
    </cfRule>
    <cfRule type="cellIs" dxfId="6090" priority="99" operator="equal">
      <formula>"E - Review Not Required - Proceed"</formula>
    </cfRule>
    <cfRule type="cellIs" dxfId="6089" priority="98" operator="equal">
      <formula>"B - Incorporate Comments - Proceed "</formula>
    </cfRule>
    <cfRule type="cellIs" dxfId="6088" priority="96" operator="equal">
      <formula>"B - Incorporate Comments - Proceed"</formula>
    </cfRule>
    <cfRule type="cellIs" dxfId="6087" priority="105" operator="between">
      <formula>"B - Incorporate Comments - Proceed"</formula>
      <formula>"B - Incorporate Comments - Proceed"</formula>
    </cfRule>
    <cfRule type="cellIs" dxfId="6086" priority="97" operator="equal">
      <formula>"For Information"</formula>
    </cfRule>
    <cfRule type="cellIs" dxfId="6085" priority="111" stopIfTrue="1" operator="between">
      <formula>"B - Incorporate Comments - Proceed "</formula>
      <formula>"B - Incorporate Comments - Proceed "</formula>
    </cfRule>
    <cfRule type="cellIs" dxfId="6084" priority="110" operator="between">
      <formula>"C - Revise and Resubmit - Do Not Proceed"</formula>
      <formula>"C - Revise and Resubmit - Do Not Proceed"</formula>
    </cfRule>
    <cfRule type="cellIs" dxfId="6083" priority="109" operator="between">
      <formula>"A - Work May Proceed"</formula>
      <formula>"A - Work May Proceed"</formula>
    </cfRule>
    <cfRule type="cellIs" dxfId="6082" priority="108" operator="between">
      <formula>"CANCELLED"</formula>
      <formula>"CANCELLED"</formula>
    </cfRule>
  </conditionalFormatting>
  <conditionalFormatting sqref="AY11">
    <cfRule type="cellIs" dxfId="6081" priority="74" operator="between">
      <formula>"E - Review not Required - Proceed"</formula>
      <formula>"E - Review not Required - Proceed"</formula>
    </cfRule>
    <cfRule type="cellIs" dxfId="6080" priority="76" operator="between">
      <formula>"C - Revise and Resubmit - Do Not Proceed"</formula>
      <formula>"C - Revise and Resubmit - Do Not Proceed"</formula>
    </cfRule>
    <cfRule type="cellIs" dxfId="6079" priority="77" operator="between">
      <formula>"B - Incorporate Comments - Proceed"</formula>
      <formula>"B - Incorporate Comments - Proceed"</formula>
    </cfRule>
    <cfRule type="cellIs" dxfId="6078" priority="78" operator="between">
      <formula>"A - Work May Proceed"</formula>
      <formula>"A - Work May Proceed"</formula>
    </cfRule>
    <cfRule type="cellIs" dxfId="6077" priority="79" operator="between">
      <formula>"B - Incorporate Comments - Proceed"</formula>
      <formula>"B - Incorporate Comments - Proceed"</formula>
    </cfRule>
    <cfRule type="cellIs" dxfId="6076" priority="80" operator="between">
      <formula>"E - Review not Required - Proceed"</formula>
      <formula>"E - Review not Required - Proceed"</formula>
    </cfRule>
    <cfRule type="cellIs" dxfId="6075" priority="81" operator="between">
      <formula>"D - Rejected "</formula>
      <formula>"D - Rejected "</formula>
    </cfRule>
    <cfRule type="cellIs" dxfId="6074" priority="82" operator="between">
      <formula>"CANCELLED"</formula>
      <formula>"CANCELLED"</formula>
    </cfRule>
    <cfRule type="cellIs" dxfId="6073" priority="83" operator="between">
      <formula>"A - Work May Proceed"</formula>
      <formula>"A - Work May Proceed"</formula>
    </cfRule>
    <cfRule type="cellIs" dxfId="6072" priority="84" operator="between">
      <formula>"C - Revise and Resubmit - Do Not Proceed"</formula>
      <formula>"C - Revise and Resubmit - Do Not Proceed"</formula>
    </cfRule>
    <cfRule type="cellIs" dxfId="6071" priority="75" operator="between">
      <formula>"'D - Rejected "</formula>
      <formula>"'D - Rejected "</formula>
    </cfRule>
    <cfRule type="cellIs" dxfId="6070" priority="85" stopIfTrue="1" operator="between">
      <formula>"B - Incorporate Comments - Proceed "</formula>
      <formula>"B - Incorporate Comments - Proceed "</formula>
    </cfRule>
    <cfRule type="cellIs" dxfId="6069" priority="73" operator="equal">
      <formula>"E - Review Not Required - Proceed"</formula>
    </cfRule>
    <cfRule type="cellIs" dxfId="6068" priority="72" operator="equal">
      <formula>"B - Incorporate Comments - Proceed "</formula>
    </cfRule>
    <cfRule type="cellIs" dxfId="6067" priority="71" operator="equal">
      <formula>"For Information"</formula>
    </cfRule>
    <cfRule type="cellIs" dxfId="6066" priority="70" operator="equal">
      <formula>"B - Incorporate Comments - Proceed"</formula>
    </cfRule>
  </conditionalFormatting>
  <conditionalFormatting sqref="BF1:BF10">
    <cfRule type="cellIs" dxfId="6065" priority="5" operator="equal">
      <formula>"A - Work May Proceed"</formula>
    </cfRule>
    <cfRule type="cellIs" dxfId="6064" priority="4" operator="equal">
      <formula>"C - Revise and Resubmit - Do Not Proceed"</formula>
    </cfRule>
    <cfRule type="cellIs" dxfId="6063" priority="3" operator="equal">
      <formula>"B- Incorporate Comments - Proceed"</formula>
    </cfRule>
    <cfRule type="cellIs" dxfId="6062" priority="2" operator="equal">
      <formula>"D - Rejected"</formula>
    </cfRule>
    <cfRule type="cellIs" dxfId="6061" priority="1" operator="equal">
      <formula>"E - Review not Required - Proceed"</formula>
    </cfRule>
  </conditionalFormatting>
  <pageMargins left="0.7" right="0.7" top="0.75" bottom="0.75" header="0.3" footer="0.3"/>
  <pageSetup paperSize="8" scale="1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4"/>
    <pageSetUpPr fitToPage="1"/>
  </sheetPr>
  <dimension ref="A1:CA74"/>
  <sheetViews>
    <sheetView zoomScale="55" zoomScaleNormal="55" zoomScaleSheetLayoutView="70" workbookViewId="0">
      <pane ySplit="11" topLeftCell="A63" activePane="bottomLeft" state="frozen"/>
      <selection activeCell="A14" sqref="A14"/>
      <selection pane="bottomLeft" activeCell="E78" sqref="E78"/>
    </sheetView>
  </sheetViews>
  <sheetFormatPr defaultColWidth="9.140625" defaultRowHeight="15" x14ac:dyDescent="0.25"/>
  <cols>
    <col min="1" max="1" width="24.42578125" style="393" customWidth="1"/>
    <col min="2" max="2" width="32" style="393" customWidth="1"/>
    <col min="3" max="3" width="22.85546875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19.7109375" style="393" customWidth="1"/>
    <col min="9" max="9" width="33.7109375" style="394" customWidth="1"/>
    <col min="10" max="10" width="30.140625" style="395" customWidth="1"/>
    <col min="11" max="12" width="30.140625" style="394" customWidth="1"/>
    <col min="13" max="13" width="30.140625" style="395" customWidth="1"/>
    <col min="14" max="14" width="30.140625" style="396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0.140625" style="398" customWidth="1"/>
    <col min="22" max="23" width="30.140625" style="393" customWidth="1"/>
    <col min="24" max="24" width="30.140625" style="397" customWidth="1"/>
    <col min="25" max="26" width="30.140625" style="393" customWidth="1"/>
    <col min="27" max="27" width="30.140625" style="397" customWidth="1"/>
    <col min="28" max="28" width="30.140625" style="398" customWidth="1"/>
    <col min="29" max="30" width="30.140625" style="393" customWidth="1"/>
    <col min="31" max="31" width="30.140625" style="397" customWidth="1"/>
    <col min="32" max="33" width="30.140625" style="393" customWidth="1"/>
    <col min="34" max="34" width="30.140625" style="397" customWidth="1"/>
    <col min="35" max="35" width="30.140625" style="398" customWidth="1"/>
    <col min="36" max="37" width="30.140625" style="393" customWidth="1"/>
    <col min="38" max="38" width="30.140625" style="397" customWidth="1"/>
    <col min="39" max="40" width="36.85546875" style="399" customWidth="1"/>
    <col min="41" max="41" width="30.140625" style="397" customWidth="1"/>
    <col min="42" max="42" width="30.140625" style="398" customWidth="1"/>
    <col min="43" max="56" width="30.140625" style="397" customWidth="1"/>
    <col min="57" max="78" width="32.85546875" style="393" customWidth="1"/>
    <col min="79" max="79" width="65.7109375" style="438" customWidth="1"/>
    <col min="80" max="16384" width="9.140625" style="393"/>
  </cols>
  <sheetData>
    <row r="1" spans="1:79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 s="111"/>
      <c r="O1"/>
      <c r="P1"/>
      <c r="Q1"/>
      <c r="R1"/>
      <c r="S1"/>
      <c r="T1"/>
      <c r="U1" s="111"/>
      <c r="V1"/>
      <c r="W1"/>
      <c r="X1"/>
      <c r="Y1"/>
      <c r="Z1"/>
      <c r="AA1"/>
      <c r="AB1" s="111"/>
      <c r="AC1"/>
      <c r="AD1" s="7"/>
      <c r="AE1" s="18"/>
      <c r="AF1" s="7"/>
      <c r="AG1" s="7"/>
      <c r="AH1" s="18"/>
      <c r="AI1" s="121"/>
      <c r="AJ1" s="7"/>
      <c r="AK1" s="7"/>
      <c r="AL1" s="18"/>
      <c r="AM1" s="7"/>
      <c r="AN1" s="7"/>
      <c r="AO1" s="18"/>
      <c r="AP1" s="121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195"/>
    </row>
    <row r="2" spans="1:79" s="379" customFormat="1" ht="24" customHeight="1" x14ac:dyDescent="0.35">
      <c r="A2" s="8"/>
      <c r="B2" s="25" t="s">
        <v>28</v>
      </c>
      <c r="C2" s="26" t="s">
        <v>31</v>
      </c>
      <c r="D2" s="26"/>
      <c r="E2" s="26"/>
      <c r="F2" s="27"/>
      <c r="G2" s="8"/>
      <c r="H2" s="548"/>
      <c r="I2" s="549"/>
      <c r="J2"/>
      <c r="K2"/>
      <c r="L2"/>
      <c r="M2"/>
      <c r="N2" s="111"/>
      <c r="O2"/>
      <c r="P2"/>
      <c r="Q2"/>
      <c r="R2"/>
      <c r="S2"/>
      <c r="T2"/>
      <c r="U2" s="111"/>
      <c r="V2"/>
      <c r="W2"/>
      <c r="X2"/>
      <c r="Y2"/>
      <c r="Z2"/>
      <c r="AA2"/>
      <c r="AB2" s="111"/>
      <c r="AC2"/>
      <c r="AD2" s="7"/>
      <c r="AE2" s="18"/>
      <c r="AF2" s="7"/>
      <c r="AG2" s="7"/>
      <c r="AH2" s="18"/>
      <c r="AI2" s="121"/>
      <c r="AJ2" s="7"/>
      <c r="AK2" s="7"/>
      <c r="AL2" s="18"/>
      <c r="AM2" s="7"/>
      <c r="AN2" s="7"/>
      <c r="AO2" s="18"/>
      <c r="AP2" s="121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195"/>
    </row>
    <row r="3" spans="1:79" s="379" customFormat="1" ht="24" customHeight="1" x14ac:dyDescent="0.35">
      <c r="A3" s="8"/>
      <c r="B3" s="25" t="s">
        <v>507</v>
      </c>
      <c r="C3" s="49" t="s">
        <v>132</v>
      </c>
      <c r="D3" s="26"/>
      <c r="E3" s="26"/>
      <c r="F3" s="27"/>
      <c r="G3" s="8"/>
      <c r="H3" s="8"/>
      <c r="I3"/>
      <c r="J3"/>
      <c r="K3"/>
      <c r="L3"/>
      <c r="M3"/>
      <c r="N3" s="111"/>
      <c r="O3"/>
      <c r="P3"/>
      <c r="Q3"/>
      <c r="R3"/>
      <c r="S3"/>
      <c r="T3"/>
      <c r="U3" s="111"/>
      <c r="V3"/>
      <c r="W3"/>
      <c r="X3"/>
      <c r="Y3"/>
      <c r="Z3"/>
      <c r="AA3"/>
      <c r="AB3" s="111"/>
      <c r="AC3"/>
      <c r="AD3" s="7"/>
      <c r="AE3" s="18"/>
      <c r="AF3" s="7"/>
      <c r="AG3" s="7"/>
      <c r="AH3" s="18"/>
      <c r="AI3" s="121"/>
      <c r="AJ3" s="7"/>
      <c r="AK3" s="7"/>
      <c r="AL3" s="18"/>
      <c r="AM3" s="7"/>
      <c r="AN3" s="7"/>
      <c r="AO3" s="18"/>
      <c r="AP3" s="121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195"/>
    </row>
    <row r="4" spans="1:79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 s="111"/>
      <c r="O4"/>
      <c r="P4"/>
      <c r="Q4"/>
      <c r="R4"/>
      <c r="S4"/>
      <c r="T4"/>
      <c r="U4" s="111"/>
      <c r="V4"/>
      <c r="W4"/>
      <c r="X4"/>
      <c r="Y4"/>
      <c r="Z4"/>
      <c r="AA4"/>
      <c r="AB4" s="111"/>
      <c r="AC4"/>
      <c r="AD4" s="7"/>
      <c r="AE4" s="18"/>
      <c r="AF4" s="7"/>
      <c r="AG4" s="7"/>
      <c r="AH4" s="18"/>
      <c r="AI4" s="121"/>
      <c r="AJ4" s="7"/>
      <c r="AK4" s="7"/>
      <c r="AL4" s="18"/>
      <c r="AM4" s="7"/>
      <c r="AN4" s="7"/>
      <c r="AO4" s="18"/>
      <c r="AP4" s="121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195"/>
    </row>
    <row r="5" spans="1:79" s="379" customFormat="1" ht="33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 s="111"/>
      <c r="O5"/>
      <c r="P5"/>
      <c r="Q5"/>
      <c r="R5"/>
      <c r="S5"/>
      <c r="T5"/>
      <c r="U5" s="111"/>
      <c r="V5"/>
      <c r="W5"/>
      <c r="X5"/>
      <c r="Y5"/>
      <c r="Z5"/>
      <c r="AA5"/>
      <c r="AB5" s="111"/>
      <c r="AC5"/>
      <c r="AD5" s="7"/>
      <c r="AE5" s="18"/>
      <c r="AF5" s="7"/>
      <c r="AG5" s="7"/>
      <c r="AH5" s="18"/>
      <c r="AI5" s="121"/>
      <c r="AJ5" s="7"/>
      <c r="AK5" s="7"/>
      <c r="AL5" s="18"/>
      <c r="AM5" s="7"/>
      <c r="AN5" s="7"/>
      <c r="AO5" s="18"/>
      <c r="AP5" s="121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195"/>
    </row>
    <row r="6" spans="1:79" s="379" customFormat="1" ht="24" customHeight="1" x14ac:dyDescent="0.35">
      <c r="A6" s="8"/>
      <c r="B6" s="64">
        <f>COUNTIF(B11:B72,"A - Work May Proceed")</f>
        <v>34</v>
      </c>
      <c r="C6" s="65">
        <f>COUNTIF(B11:B72,"B- Incorporate Comments - Proceed")</f>
        <v>2</v>
      </c>
      <c r="D6" s="65">
        <f>COUNTIF(B11:B72,"C - Revise and Resubmit - Do Not Proceed")</f>
        <v>2</v>
      </c>
      <c r="E6" s="65">
        <f>COUNTIF(B11:B72,"D - Rejected")</f>
        <v>0</v>
      </c>
      <c r="F6" s="65">
        <f>COUNTIF(B11:B72,"E - Review not Required - Proceed")</f>
        <v>0</v>
      </c>
      <c r="G6" s="66">
        <f>COUNTIF(B11:B72,"UR")</f>
        <v>1</v>
      </c>
      <c r="H6" s="66">
        <f>COUNTIF(B11:B72,"FA")</f>
        <v>1</v>
      </c>
      <c r="I6" s="66">
        <f>COUNTIF(B11:B72,"Terminated")</f>
        <v>0</v>
      </c>
      <c r="J6" s="66">
        <f>COUNTIF(B11:B72,"Cancelled")</f>
        <v>21</v>
      </c>
      <c r="K6"/>
      <c r="L6"/>
      <c r="M6"/>
      <c r="N6" s="111"/>
      <c r="O6"/>
      <c r="P6"/>
      <c r="Q6"/>
      <c r="R6"/>
      <c r="S6"/>
      <c r="T6"/>
      <c r="U6" s="111"/>
      <c r="V6"/>
      <c r="W6"/>
      <c r="X6"/>
      <c r="Y6"/>
      <c r="Z6"/>
      <c r="AA6"/>
      <c r="AB6" s="111"/>
      <c r="AC6"/>
      <c r="AD6" s="7"/>
      <c r="AE6" s="18"/>
      <c r="AF6" s="7"/>
      <c r="AG6" s="7"/>
      <c r="AH6" s="18"/>
      <c r="AI6" s="121"/>
      <c r="AJ6" s="7"/>
      <c r="AK6" s="7"/>
      <c r="AL6" s="18"/>
      <c r="AM6" s="7"/>
      <c r="AN6" s="7"/>
      <c r="AO6" s="18"/>
      <c r="AP6" s="121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195"/>
    </row>
    <row r="7" spans="1:79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 s="111"/>
      <c r="O7"/>
      <c r="P7"/>
      <c r="Q7"/>
      <c r="R7"/>
      <c r="S7"/>
      <c r="T7"/>
      <c r="U7" s="111"/>
      <c r="V7"/>
      <c r="W7"/>
      <c r="X7"/>
      <c r="Y7"/>
      <c r="Z7"/>
      <c r="AA7"/>
      <c r="AB7" s="111"/>
      <c r="AC7"/>
      <c r="AD7" s="7"/>
      <c r="AE7" s="18"/>
      <c r="AF7" s="7"/>
      <c r="AG7" s="7"/>
      <c r="AH7" s="18"/>
      <c r="AI7" s="121"/>
      <c r="AJ7" s="7"/>
      <c r="AK7" s="7"/>
      <c r="AL7" s="18"/>
      <c r="AM7" s="7"/>
      <c r="AN7" s="7"/>
      <c r="AO7" s="18"/>
      <c r="AP7" s="121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195"/>
    </row>
    <row r="8" spans="1:79" s="379" customFormat="1" ht="24" customHeight="1" x14ac:dyDescent="0.35">
      <c r="A8" s="8"/>
      <c r="B8" s="72" t="s">
        <v>509</v>
      </c>
      <c r="C8" s="73">
        <f>SUM(B6:J6)</f>
        <v>61</v>
      </c>
      <c r="D8" s="69"/>
      <c r="E8" s="70"/>
      <c r="F8" s="70"/>
      <c r="G8" s="74"/>
      <c r="H8" s="75"/>
      <c r="I8" s="76"/>
      <c r="J8" s="75"/>
      <c r="K8"/>
      <c r="L8"/>
      <c r="M8"/>
      <c r="N8" s="111"/>
      <c r="O8"/>
      <c r="P8"/>
      <c r="Q8"/>
      <c r="R8"/>
      <c r="S8"/>
      <c r="T8"/>
      <c r="U8" s="111"/>
      <c r="V8"/>
      <c r="W8"/>
      <c r="X8"/>
      <c r="Y8"/>
      <c r="Z8"/>
      <c r="AA8"/>
      <c r="AB8" s="111"/>
      <c r="AC8"/>
      <c r="AD8" s="7"/>
      <c r="AE8" s="18"/>
      <c r="AF8" s="7"/>
      <c r="AG8" s="7"/>
      <c r="AH8" s="18"/>
      <c r="AI8" s="121"/>
      <c r="AJ8" s="7"/>
      <c r="AK8" s="7"/>
      <c r="AL8" s="18"/>
      <c r="AM8" s="7"/>
      <c r="AN8" s="7"/>
      <c r="AO8" s="18"/>
      <c r="AP8" s="121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195"/>
    </row>
    <row r="9" spans="1:79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 s="111"/>
      <c r="O9"/>
      <c r="P9"/>
      <c r="Q9"/>
      <c r="R9"/>
      <c r="S9"/>
      <c r="T9"/>
      <c r="U9" s="111"/>
      <c r="V9"/>
      <c r="W9"/>
      <c r="X9"/>
      <c r="Y9"/>
      <c r="Z9"/>
      <c r="AA9"/>
      <c r="AB9" s="111"/>
      <c r="AC9"/>
      <c r="AD9" s="7"/>
      <c r="AE9" s="18"/>
      <c r="AF9" s="7"/>
      <c r="AG9" s="7"/>
      <c r="AH9" s="18"/>
      <c r="AI9" s="121"/>
      <c r="AJ9" s="7"/>
      <c r="AK9" s="7"/>
      <c r="AL9" s="18"/>
      <c r="AM9" s="7"/>
      <c r="AN9" s="7"/>
      <c r="AO9" s="18"/>
      <c r="AP9" s="121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195"/>
    </row>
    <row r="10" spans="1:79" s="405" customFormat="1" ht="36.75" customHeight="1" x14ac:dyDescent="0.2">
      <c r="A10" s="550" t="s">
        <v>3297</v>
      </c>
      <c r="B10" s="554" t="s">
        <v>17</v>
      </c>
      <c r="C10" s="556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42" t="s">
        <v>4957</v>
      </c>
      <c r="BG10" s="542"/>
      <c r="BH10" s="542"/>
      <c r="BI10" s="542"/>
      <c r="BJ10" s="542"/>
      <c r="BK10" s="542"/>
      <c r="BL10" s="542"/>
      <c r="BM10" s="546" t="s">
        <v>5710</v>
      </c>
      <c r="BN10" s="546"/>
      <c r="BO10" s="546"/>
      <c r="BP10" s="546"/>
      <c r="BQ10" s="546"/>
      <c r="BR10" s="546"/>
      <c r="BS10" s="546"/>
      <c r="BT10" s="547" t="s">
        <v>6026</v>
      </c>
      <c r="BU10" s="547"/>
      <c r="BV10" s="547"/>
      <c r="BW10" s="547"/>
      <c r="BX10" s="547"/>
      <c r="BY10" s="547"/>
      <c r="BZ10" s="547"/>
      <c r="CA10" s="525" t="s">
        <v>126</v>
      </c>
    </row>
    <row r="11" spans="1:79" s="406" customFormat="1" ht="36.75" customHeight="1" x14ac:dyDescent="0.25">
      <c r="A11" s="551"/>
      <c r="B11" s="555"/>
      <c r="C11" s="557"/>
      <c r="D11" s="557"/>
      <c r="E11" s="557"/>
      <c r="F11" s="557"/>
      <c r="G11" s="553"/>
      <c r="H11" s="540"/>
      <c r="I11" s="46" t="s">
        <v>0</v>
      </c>
      <c r="J11" s="52" t="s">
        <v>9</v>
      </c>
      <c r="K11" s="46" t="s">
        <v>11</v>
      </c>
      <c r="L11" s="89" t="s">
        <v>939</v>
      </c>
      <c r="M11" s="52" t="s">
        <v>6</v>
      </c>
      <c r="N11" s="112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113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120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24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125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28" t="s">
        <v>0</v>
      </c>
      <c r="BG11" s="201" t="s">
        <v>9</v>
      </c>
      <c r="BH11" s="28" t="s">
        <v>11</v>
      </c>
      <c r="BI11" s="202" t="s">
        <v>939</v>
      </c>
      <c r="BJ11" s="201" t="s">
        <v>6</v>
      </c>
      <c r="BK11" s="203" t="s">
        <v>940</v>
      </c>
      <c r="BL11" s="28" t="s">
        <v>98</v>
      </c>
      <c r="BM11" s="241" t="s">
        <v>0</v>
      </c>
      <c r="BN11" s="242" t="s">
        <v>9</v>
      </c>
      <c r="BO11" s="241" t="s">
        <v>11</v>
      </c>
      <c r="BP11" s="243" t="s">
        <v>939</v>
      </c>
      <c r="BQ11" s="242" t="s">
        <v>6</v>
      </c>
      <c r="BR11" s="244" t="s">
        <v>940</v>
      </c>
      <c r="BS11" s="241" t="s">
        <v>98</v>
      </c>
      <c r="BT11" s="245" t="s">
        <v>0</v>
      </c>
      <c r="BU11" s="246" t="s">
        <v>9</v>
      </c>
      <c r="BV11" s="245" t="s">
        <v>11</v>
      </c>
      <c r="BW11" s="247" t="s">
        <v>939</v>
      </c>
      <c r="BX11" s="246" t="s">
        <v>6</v>
      </c>
      <c r="BY11" s="248" t="s">
        <v>940</v>
      </c>
      <c r="BZ11" s="245" t="s">
        <v>98</v>
      </c>
      <c r="CA11" s="526"/>
    </row>
    <row r="12" spans="1:79" s="381" customFormat="1" ht="42" customHeight="1" x14ac:dyDescent="0.25">
      <c r="A12" s="367">
        <v>730007</v>
      </c>
      <c r="B12" s="56" t="s">
        <v>5</v>
      </c>
      <c r="C12" s="56" t="s">
        <v>208</v>
      </c>
      <c r="D12" s="10" t="s">
        <v>364</v>
      </c>
      <c r="E12" s="12" t="s">
        <v>365</v>
      </c>
      <c r="F12" s="16" t="s">
        <v>2506</v>
      </c>
      <c r="G12" s="10" t="s">
        <v>30</v>
      </c>
      <c r="H12" s="10" t="s">
        <v>132</v>
      </c>
      <c r="I12" s="55" t="s">
        <v>18</v>
      </c>
      <c r="J12" s="53">
        <v>45578</v>
      </c>
      <c r="K12" s="13" t="s">
        <v>366</v>
      </c>
      <c r="L12" s="53">
        <f>J12+7</f>
        <v>45585</v>
      </c>
      <c r="M12" s="53">
        <v>45581</v>
      </c>
      <c r="N12" s="92">
        <f>M12-L12</f>
        <v>-4</v>
      </c>
      <c r="O12" s="10" t="s">
        <v>371</v>
      </c>
      <c r="P12" s="16" t="s">
        <v>5</v>
      </c>
      <c r="Q12" s="21">
        <v>45706</v>
      </c>
      <c r="R12" s="10" t="s">
        <v>2507</v>
      </c>
      <c r="S12" s="21">
        <f>Q12+7</f>
        <v>45713</v>
      </c>
      <c r="T12" s="21">
        <v>45719</v>
      </c>
      <c r="U12" s="95">
        <f>T12-S12</f>
        <v>6</v>
      </c>
      <c r="V12" s="10" t="s">
        <v>2529</v>
      </c>
      <c r="W12" s="10"/>
      <c r="X12" s="21"/>
      <c r="Y12" s="10"/>
      <c r="Z12" s="10"/>
      <c r="AA12" s="21"/>
      <c r="AB12" s="95"/>
      <c r="AC12" s="10"/>
      <c r="AD12" s="10"/>
      <c r="AE12" s="21"/>
      <c r="AF12" s="10"/>
      <c r="AG12" s="10"/>
      <c r="AH12" s="21"/>
      <c r="AI12" s="95"/>
      <c r="AJ12" s="10"/>
      <c r="AK12" s="10"/>
      <c r="AL12" s="17"/>
      <c r="AM12" s="11"/>
      <c r="AN12" s="11"/>
      <c r="AO12" s="17"/>
      <c r="AP12" s="123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368"/>
    </row>
    <row r="13" spans="1:79" s="381" customFormat="1" ht="42" customHeight="1" x14ac:dyDescent="0.25">
      <c r="A13" s="367">
        <v>730007</v>
      </c>
      <c r="B13" s="58" t="s">
        <v>508</v>
      </c>
      <c r="C13" s="56" t="s">
        <v>627</v>
      </c>
      <c r="D13" s="10" t="s">
        <v>463</v>
      </c>
      <c r="E13" s="12" t="s">
        <v>464</v>
      </c>
      <c r="F13" s="16" t="s">
        <v>465</v>
      </c>
      <c r="G13" s="10" t="s">
        <v>30</v>
      </c>
      <c r="H13" s="10" t="s">
        <v>132</v>
      </c>
      <c r="I13" s="16" t="s">
        <v>3</v>
      </c>
      <c r="J13" s="53">
        <v>45586</v>
      </c>
      <c r="K13" s="13" t="s">
        <v>469</v>
      </c>
      <c r="L13" s="53">
        <f t="shared" ref="L13:L33" si="0">J13+7</f>
        <v>45593</v>
      </c>
      <c r="M13" s="53">
        <v>45592</v>
      </c>
      <c r="N13" s="92">
        <f t="shared" ref="N13:N31" si="1">M13-L13</f>
        <v>-1</v>
      </c>
      <c r="O13" s="10" t="s">
        <v>484</v>
      </c>
      <c r="P13" s="58" t="s">
        <v>508</v>
      </c>
      <c r="Q13" s="21">
        <v>45652</v>
      </c>
      <c r="R13" s="10" t="s">
        <v>1658</v>
      </c>
      <c r="S13" s="10" t="s">
        <v>626</v>
      </c>
      <c r="T13" s="10" t="s">
        <v>626</v>
      </c>
      <c r="U13" s="95" t="s">
        <v>626</v>
      </c>
      <c r="V13" s="10" t="s">
        <v>626</v>
      </c>
      <c r="W13" s="10"/>
      <c r="X13" s="21"/>
      <c r="Y13" s="10"/>
      <c r="Z13" s="10"/>
      <c r="AA13" s="21"/>
      <c r="AB13" s="95"/>
      <c r="AC13" s="10"/>
      <c r="AD13" s="10"/>
      <c r="AE13" s="21"/>
      <c r="AF13" s="10"/>
      <c r="AG13" s="10"/>
      <c r="AH13" s="21"/>
      <c r="AI13" s="95"/>
      <c r="AJ13" s="10"/>
      <c r="AK13" s="10"/>
      <c r="AL13" s="17"/>
      <c r="AM13" s="11"/>
      <c r="AN13" s="11"/>
      <c r="AO13" s="17"/>
      <c r="AP13" s="123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368"/>
    </row>
    <row r="14" spans="1:79" s="381" customFormat="1" ht="42" customHeight="1" x14ac:dyDescent="0.25">
      <c r="A14" s="367">
        <v>730007</v>
      </c>
      <c r="B14" s="58" t="s">
        <v>508</v>
      </c>
      <c r="C14" s="56" t="s">
        <v>627</v>
      </c>
      <c r="D14" s="10" t="s">
        <v>466</v>
      </c>
      <c r="E14" s="12" t="s">
        <v>467</v>
      </c>
      <c r="F14" s="16" t="s">
        <v>468</v>
      </c>
      <c r="G14" s="10" t="s">
        <v>30</v>
      </c>
      <c r="H14" s="10" t="s">
        <v>132</v>
      </c>
      <c r="I14" s="16" t="s">
        <v>3</v>
      </c>
      <c r="J14" s="53">
        <v>45586</v>
      </c>
      <c r="K14" s="13" t="s">
        <v>470</v>
      </c>
      <c r="L14" s="53">
        <f t="shared" si="0"/>
        <v>45593</v>
      </c>
      <c r="M14" s="53">
        <v>45592</v>
      </c>
      <c r="N14" s="92">
        <f t="shared" si="1"/>
        <v>-1</v>
      </c>
      <c r="O14" s="10" t="s">
        <v>485</v>
      </c>
      <c r="P14" s="58" t="s">
        <v>508</v>
      </c>
      <c r="Q14" s="21">
        <v>45652</v>
      </c>
      <c r="R14" s="10" t="s">
        <v>1659</v>
      </c>
      <c r="S14" s="10" t="s">
        <v>626</v>
      </c>
      <c r="T14" s="10" t="s">
        <v>626</v>
      </c>
      <c r="U14" s="95" t="s">
        <v>626</v>
      </c>
      <c r="V14" s="10" t="s">
        <v>626</v>
      </c>
      <c r="W14" s="10"/>
      <c r="X14" s="21"/>
      <c r="Y14" s="10"/>
      <c r="Z14" s="10"/>
      <c r="AA14" s="21"/>
      <c r="AB14" s="95"/>
      <c r="AC14" s="10"/>
      <c r="AD14" s="10"/>
      <c r="AE14" s="21"/>
      <c r="AF14" s="10"/>
      <c r="AG14" s="10"/>
      <c r="AH14" s="21"/>
      <c r="AI14" s="95"/>
      <c r="AJ14" s="10"/>
      <c r="AK14" s="10"/>
      <c r="AL14" s="17"/>
      <c r="AM14" s="11"/>
      <c r="AN14" s="11"/>
      <c r="AO14" s="17"/>
      <c r="AP14" s="123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368"/>
    </row>
    <row r="15" spans="1:79" s="381" customFormat="1" ht="42" customHeight="1" x14ac:dyDescent="0.25">
      <c r="A15" s="367">
        <v>730007</v>
      </c>
      <c r="B15" s="58" t="s">
        <v>508</v>
      </c>
      <c r="C15" s="56" t="s">
        <v>627</v>
      </c>
      <c r="D15" s="10" t="s">
        <v>603</v>
      </c>
      <c r="E15" s="12" t="s">
        <v>604</v>
      </c>
      <c r="F15" s="16" t="s">
        <v>605</v>
      </c>
      <c r="G15" s="10" t="s">
        <v>30</v>
      </c>
      <c r="H15" s="10" t="s">
        <v>132</v>
      </c>
      <c r="I15" s="16" t="s">
        <v>3</v>
      </c>
      <c r="J15" s="53">
        <v>45594</v>
      </c>
      <c r="K15" s="13" t="s">
        <v>606</v>
      </c>
      <c r="L15" s="53">
        <f t="shared" si="0"/>
        <v>45601</v>
      </c>
      <c r="M15" s="53">
        <v>45598</v>
      </c>
      <c r="N15" s="92">
        <f t="shared" si="1"/>
        <v>-3</v>
      </c>
      <c r="O15" s="10" t="s">
        <v>613</v>
      </c>
      <c r="P15" s="58" t="s">
        <v>508</v>
      </c>
      <c r="Q15" s="21">
        <v>45652</v>
      </c>
      <c r="R15" s="10" t="s">
        <v>1668</v>
      </c>
      <c r="S15" s="10" t="s">
        <v>626</v>
      </c>
      <c r="T15" s="10" t="s">
        <v>626</v>
      </c>
      <c r="U15" s="95" t="s">
        <v>626</v>
      </c>
      <c r="V15" s="10" t="s">
        <v>626</v>
      </c>
      <c r="W15" s="10"/>
      <c r="X15" s="21"/>
      <c r="Y15" s="10"/>
      <c r="Z15" s="10"/>
      <c r="AA15" s="21"/>
      <c r="AB15" s="95"/>
      <c r="AC15" s="10"/>
      <c r="AD15" s="10"/>
      <c r="AE15" s="21"/>
      <c r="AF15" s="10"/>
      <c r="AG15" s="10"/>
      <c r="AH15" s="21"/>
      <c r="AI15" s="95"/>
      <c r="AJ15" s="10"/>
      <c r="AK15" s="10"/>
      <c r="AL15" s="17"/>
      <c r="AM15" s="11"/>
      <c r="AN15" s="11"/>
      <c r="AO15" s="17"/>
      <c r="AP15" s="123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368"/>
    </row>
    <row r="16" spans="1:79" s="381" customFormat="1" ht="42" customHeight="1" x14ac:dyDescent="0.25">
      <c r="A16" s="367">
        <v>730007</v>
      </c>
      <c r="B16" s="58" t="s">
        <v>508</v>
      </c>
      <c r="C16" s="56" t="s">
        <v>627</v>
      </c>
      <c r="D16" s="10" t="s">
        <v>632</v>
      </c>
      <c r="E16" s="12" t="s">
        <v>633</v>
      </c>
      <c r="F16" s="16" t="s">
        <v>634</v>
      </c>
      <c r="G16" s="10" t="s">
        <v>30</v>
      </c>
      <c r="H16" s="10" t="s">
        <v>132</v>
      </c>
      <c r="I16" s="16" t="s">
        <v>18</v>
      </c>
      <c r="J16" s="53">
        <v>45598</v>
      </c>
      <c r="K16" s="13" t="s">
        <v>635</v>
      </c>
      <c r="L16" s="53">
        <f t="shared" si="0"/>
        <v>45605</v>
      </c>
      <c r="M16" s="53">
        <v>45609</v>
      </c>
      <c r="N16" s="92">
        <f t="shared" si="1"/>
        <v>4</v>
      </c>
      <c r="O16" s="10" t="s">
        <v>641</v>
      </c>
      <c r="P16" s="10" t="s">
        <v>18</v>
      </c>
      <c r="Q16" s="21">
        <v>45715</v>
      </c>
      <c r="R16" s="10" t="s">
        <v>2623</v>
      </c>
      <c r="S16" s="21">
        <f>Q16+7</f>
        <v>45722</v>
      </c>
      <c r="T16" s="21">
        <v>45722</v>
      </c>
      <c r="U16" s="95">
        <f>T16-S16</f>
        <v>0</v>
      </c>
      <c r="V16" s="10" t="s">
        <v>2652</v>
      </c>
      <c r="W16" s="10" t="s">
        <v>18</v>
      </c>
      <c r="X16" s="21">
        <v>45783</v>
      </c>
      <c r="Y16" s="10" t="s">
        <v>3199</v>
      </c>
      <c r="Z16" s="21">
        <f>X16+7</f>
        <v>45790</v>
      </c>
      <c r="AA16" s="21">
        <v>45798</v>
      </c>
      <c r="AB16" s="95">
        <f>AA16-Z16</f>
        <v>8</v>
      </c>
      <c r="AC16" s="10" t="s">
        <v>3325</v>
      </c>
      <c r="AD16" s="10" t="s">
        <v>508</v>
      </c>
      <c r="AE16" s="21">
        <v>45878</v>
      </c>
      <c r="AF16" s="10" t="s">
        <v>3902</v>
      </c>
      <c r="AG16" s="10"/>
      <c r="AH16" s="21"/>
      <c r="AI16" s="95"/>
      <c r="AJ16" s="10"/>
      <c r="AK16" s="10"/>
      <c r="AL16" s="17"/>
      <c r="AM16" s="11"/>
      <c r="AN16" s="11"/>
      <c r="AO16" s="17"/>
      <c r="AP16" s="123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368"/>
    </row>
    <row r="17" spans="1:79" s="381" customFormat="1" ht="42" customHeight="1" x14ac:dyDescent="0.25">
      <c r="A17" s="367">
        <v>730007</v>
      </c>
      <c r="B17" s="11" t="s">
        <v>5</v>
      </c>
      <c r="C17" s="56" t="s">
        <v>2384</v>
      </c>
      <c r="D17" s="10" t="s">
        <v>659</v>
      </c>
      <c r="E17" s="12" t="s">
        <v>657</v>
      </c>
      <c r="F17" s="16" t="s">
        <v>661</v>
      </c>
      <c r="G17" s="10" t="s">
        <v>30</v>
      </c>
      <c r="H17" s="10" t="s">
        <v>132</v>
      </c>
      <c r="I17" s="16" t="s">
        <v>18</v>
      </c>
      <c r="J17" s="53">
        <v>45599</v>
      </c>
      <c r="K17" s="13" t="s">
        <v>662</v>
      </c>
      <c r="L17" s="53">
        <f t="shared" si="0"/>
        <v>45606</v>
      </c>
      <c r="M17" s="53">
        <v>45613</v>
      </c>
      <c r="N17" s="92">
        <f t="shared" si="1"/>
        <v>7</v>
      </c>
      <c r="O17" s="10" t="s">
        <v>687</v>
      </c>
      <c r="P17" s="10" t="s">
        <v>3</v>
      </c>
      <c r="Q17" s="21">
        <v>45621</v>
      </c>
      <c r="R17" s="10" t="s">
        <v>1055</v>
      </c>
      <c r="S17" s="21">
        <f>Q17+7</f>
        <v>45628</v>
      </c>
      <c r="T17" s="21">
        <v>45635</v>
      </c>
      <c r="U17" s="95">
        <f>T17-S17</f>
        <v>7</v>
      </c>
      <c r="V17" s="10" t="s">
        <v>1088</v>
      </c>
      <c r="W17" s="10" t="s">
        <v>3</v>
      </c>
      <c r="X17" s="21">
        <v>45666</v>
      </c>
      <c r="Y17" s="10" t="s">
        <v>1900</v>
      </c>
      <c r="Z17" s="21">
        <f>X17+7</f>
        <v>45673</v>
      </c>
      <c r="AA17" s="21">
        <v>45680</v>
      </c>
      <c r="AB17" s="95">
        <f>AA17-Z17</f>
        <v>7</v>
      </c>
      <c r="AC17" s="10" t="s">
        <v>1913</v>
      </c>
      <c r="AD17" s="10" t="s">
        <v>3</v>
      </c>
      <c r="AE17" s="21">
        <v>45687</v>
      </c>
      <c r="AF17" s="10" t="s">
        <v>2209</v>
      </c>
      <c r="AG17" s="21">
        <f>AE17+7</f>
        <v>45694</v>
      </c>
      <c r="AH17" s="21">
        <v>45699</v>
      </c>
      <c r="AI17" s="95">
        <f>AH17-AG17</f>
        <v>5</v>
      </c>
      <c r="AJ17" s="10" t="s">
        <v>2228</v>
      </c>
      <c r="AK17" s="10" t="s">
        <v>3</v>
      </c>
      <c r="AL17" s="17">
        <v>45708</v>
      </c>
      <c r="AM17" s="11" t="s">
        <v>2548</v>
      </c>
      <c r="AN17" s="126">
        <f>AL17+7</f>
        <v>45715</v>
      </c>
      <c r="AO17" s="126">
        <v>45721</v>
      </c>
      <c r="AP17" s="123">
        <f>AO17-AN17</f>
        <v>6</v>
      </c>
      <c r="AQ17" s="17" t="s">
        <v>2679</v>
      </c>
      <c r="AR17" s="17" t="s">
        <v>5</v>
      </c>
      <c r="AS17" s="17">
        <v>45736</v>
      </c>
      <c r="AT17" s="17" t="s">
        <v>2859</v>
      </c>
      <c r="AU17" s="126">
        <f>AS17+7</f>
        <v>45743</v>
      </c>
      <c r="AV17" s="17">
        <v>45761</v>
      </c>
      <c r="AW17" s="123">
        <f>AV17-AU17</f>
        <v>18</v>
      </c>
      <c r="AX17" s="17" t="s">
        <v>2867</v>
      </c>
      <c r="AY17" s="17"/>
      <c r="AZ17" s="17"/>
      <c r="BA17" s="17"/>
      <c r="BB17" s="17"/>
      <c r="BC17" s="17"/>
      <c r="BD17" s="17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368"/>
    </row>
    <row r="18" spans="1:79" s="381" customFormat="1" ht="42" customHeight="1" x14ac:dyDescent="0.25">
      <c r="A18" s="367">
        <v>730007</v>
      </c>
      <c r="B18" s="11" t="s">
        <v>5</v>
      </c>
      <c r="C18" s="56" t="s">
        <v>208</v>
      </c>
      <c r="D18" s="10" t="s">
        <v>660</v>
      </c>
      <c r="E18" s="12" t="s">
        <v>658</v>
      </c>
      <c r="F18" s="16" t="s">
        <v>2549</v>
      </c>
      <c r="G18" s="10" t="s">
        <v>30</v>
      </c>
      <c r="H18" s="10" t="s">
        <v>132</v>
      </c>
      <c r="I18" s="16" t="s">
        <v>18</v>
      </c>
      <c r="J18" s="53">
        <v>45599</v>
      </c>
      <c r="K18" s="13" t="s">
        <v>663</v>
      </c>
      <c r="L18" s="53">
        <f t="shared" si="0"/>
        <v>45606</v>
      </c>
      <c r="M18" s="53">
        <v>45605</v>
      </c>
      <c r="N18" s="92">
        <f t="shared" si="1"/>
        <v>-1</v>
      </c>
      <c r="O18" s="10" t="s">
        <v>688</v>
      </c>
      <c r="P18" s="10" t="s">
        <v>5</v>
      </c>
      <c r="Q18" s="21">
        <v>45708</v>
      </c>
      <c r="R18" s="10" t="s">
        <v>2550</v>
      </c>
      <c r="S18" s="21">
        <f>Q18+7</f>
        <v>45715</v>
      </c>
      <c r="T18" s="21">
        <v>45721</v>
      </c>
      <c r="U18" s="95">
        <f>T18-S18</f>
        <v>6</v>
      </c>
      <c r="V18" s="10" t="s">
        <v>2555</v>
      </c>
      <c r="W18" s="10"/>
      <c r="X18" s="21"/>
      <c r="Y18" s="10"/>
      <c r="Z18" s="10"/>
      <c r="AA18" s="21"/>
      <c r="AB18" s="95"/>
      <c r="AC18" s="10"/>
      <c r="AD18" s="10"/>
      <c r="AE18" s="21"/>
      <c r="AF18" s="10"/>
      <c r="AG18" s="10"/>
      <c r="AH18" s="21"/>
      <c r="AI18" s="95"/>
      <c r="AJ18" s="10"/>
      <c r="AK18" s="10"/>
      <c r="AL18" s="17"/>
      <c r="AM18" s="11"/>
      <c r="AN18" s="17"/>
      <c r="AO18" s="17"/>
      <c r="AP18" s="123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368"/>
    </row>
    <row r="19" spans="1:79" s="381" customFormat="1" ht="42" customHeight="1" x14ac:dyDescent="0.25">
      <c r="A19" s="367">
        <v>730007</v>
      </c>
      <c r="B19" s="58" t="s">
        <v>508</v>
      </c>
      <c r="C19" s="56" t="s">
        <v>627</v>
      </c>
      <c r="D19" s="10" t="s">
        <v>677</v>
      </c>
      <c r="E19" s="12" t="s">
        <v>676</v>
      </c>
      <c r="F19" s="16" t="s">
        <v>678</v>
      </c>
      <c r="G19" s="10" t="s">
        <v>30</v>
      </c>
      <c r="H19" s="10" t="s">
        <v>132</v>
      </c>
      <c r="I19" s="16" t="s">
        <v>18</v>
      </c>
      <c r="J19" s="53">
        <v>45600</v>
      </c>
      <c r="K19" s="13" t="s">
        <v>682</v>
      </c>
      <c r="L19" s="53">
        <f t="shared" si="0"/>
        <v>45607</v>
      </c>
      <c r="M19" s="53">
        <v>45607</v>
      </c>
      <c r="N19" s="92">
        <f t="shared" si="1"/>
        <v>0</v>
      </c>
      <c r="O19" s="10" t="s">
        <v>691</v>
      </c>
      <c r="P19" s="10" t="s">
        <v>508</v>
      </c>
      <c r="Q19" s="21">
        <v>45878</v>
      </c>
      <c r="R19" s="10" t="s">
        <v>3902</v>
      </c>
      <c r="S19" s="10"/>
      <c r="T19" s="21"/>
      <c r="U19" s="95"/>
      <c r="V19" s="10"/>
      <c r="W19" s="10"/>
      <c r="X19" s="21"/>
      <c r="Y19" s="10"/>
      <c r="Z19" s="10"/>
      <c r="AA19" s="21"/>
      <c r="AB19" s="95"/>
      <c r="AC19" s="10"/>
      <c r="AD19" s="10"/>
      <c r="AE19" s="21"/>
      <c r="AF19" s="10"/>
      <c r="AG19" s="10"/>
      <c r="AH19" s="21"/>
      <c r="AI19" s="95"/>
      <c r="AJ19" s="10"/>
      <c r="AK19" s="10"/>
      <c r="AL19" s="17"/>
      <c r="AM19" s="11"/>
      <c r="AN19" s="11"/>
      <c r="AO19" s="17"/>
      <c r="AP19" s="123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368"/>
    </row>
    <row r="20" spans="1:79" s="381" customFormat="1" ht="42" customHeight="1" x14ac:dyDescent="0.25">
      <c r="A20" s="367">
        <v>730007</v>
      </c>
      <c r="B20" s="58" t="s">
        <v>508</v>
      </c>
      <c r="C20" s="56" t="s">
        <v>627</v>
      </c>
      <c r="D20" s="10" t="s">
        <v>696</v>
      </c>
      <c r="E20" s="12" t="s">
        <v>697</v>
      </c>
      <c r="F20" s="16" t="s">
        <v>700</v>
      </c>
      <c r="G20" s="10" t="s">
        <v>30</v>
      </c>
      <c r="H20" s="10" t="s">
        <v>132</v>
      </c>
      <c r="I20" s="16" t="s">
        <v>3</v>
      </c>
      <c r="J20" s="53">
        <v>45600</v>
      </c>
      <c r="K20" s="13" t="s">
        <v>701</v>
      </c>
      <c r="L20" s="53">
        <f t="shared" si="0"/>
        <v>45607</v>
      </c>
      <c r="M20" s="53">
        <v>45613</v>
      </c>
      <c r="N20" s="92">
        <f t="shared" si="1"/>
        <v>6</v>
      </c>
      <c r="O20" s="10" t="s">
        <v>711</v>
      </c>
      <c r="P20" s="10" t="s">
        <v>3</v>
      </c>
      <c r="Q20" s="21">
        <v>45623</v>
      </c>
      <c r="R20" s="10" t="s">
        <v>1092</v>
      </c>
      <c r="S20" s="21">
        <f>Q20+7</f>
        <v>45630</v>
      </c>
      <c r="T20" s="21">
        <v>45627</v>
      </c>
      <c r="U20" s="95">
        <f>T20-S20</f>
        <v>-3</v>
      </c>
      <c r="V20" s="10" t="s">
        <v>1103</v>
      </c>
      <c r="W20" s="58" t="s">
        <v>508</v>
      </c>
      <c r="X20" s="21">
        <v>45652</v>
      </c>
      <c r="Y20" s="10" t="s">
        <v>1669</v>
      </c>
      <c r="Z20" s="10" t="s">
        <v>626</v>
      </c>
      <c r="AA20" s="10" t="s">
        <v>626</v>
      </c>
      <c r="AB20" s="95" t="s">
        <v>626</v>
      </c>
      <c r="AC20" s="10" t="s">
        <v>626</v>
      </c>
      <c r="AD20" s="10"/>
      <c r="AE20" s="21"/>
      <c r="AF20" s="10"/>
      <c r="AG20" s="10"/>
      <c r="AH20" s="21"/>
      <c r="AI20" s="95"/>
      <c r="AJ20" s="10"/>
      <c r="AK20" s="10"/>
      <c r="AL20" s="17"/>
      <c r="AM20" s="11"/>
      <c r="AN20" s="11"/>
      <c r="AO20" s="17"/>
      <c r="AP20" s="123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368"/>
    </row>
    <row r="21" spans="1:79" s="381" customFormat="1" ht="42" customHeight="1" x14ac:dyDescent="0.25">
      <c r="A21" s="367">
        <v>730007</v>
      </c>
      <c r="B21" s="11" t="s">
        <v>5</v>
      </c>
      <c r="C21" s="56" t="s">
        <v>588</v>
      </c>
      <c r="D21" s="10" t="s">
        <v>730</v>
      </c>
      <c r="E21" s="12" t="s">
        <v>731</v>
      </c>
      <c r="F21" s="16" t="s">
        <v>3226</v>
      </c>
      <c r="G21" s="10" t="s">
        <v>30</v>
      </c>
      <c r="H21" s="10" t="s">
        <v>132</v>
      </c>
      <c r="I21" s="16" t="s">
        <v>18</v>
      </c>
      <c r="J21" s="53">
        <v>45602</v>
      </c>
      <c r="K21" s="13" t="s">
        <v>732</v>
      </c>
      <c r="L21" s="53">
        <f t="shared" si="0"/>
        <v>45609</v>
      </c>
      <c r="M21" s="53">
        <v>45606</v>
      </c>
      <c r="N21" s="92">
        <f t="shared" si="1"/>
        <v>-3</v>
      </c>
      <c r="O21" s="10" t="s">
        <v>776</v>
      </c>
      <c r="P21" s="16" t="s">
        <v>18</v>
      </c>
      <c r="Q21" s="21">
        <v>45784</v>
      </c>
      <c r="R21" s="10" t="s">
        <v>3227</v>
      </c>
      <c r="S21" s="21">
        <f>Q21+7</f>
        <v>45791</v>
      </c>
      <c r="T21" s="21">
        <v>45791</v>
      </c>
      <c r="U21" s="95">
        <f>T21-S21</f>
        <v>0</v>
      </c>
      <c r="V21" s="10" t="s">
        <v>3245</v>
      </c>
      <c r="W21" s="10" t="s">
        <v>5</v>
      </c>
      <c r="X21" s="21">
        <v>45794</v>
      </c>
      <c r="Y21" s="10" t="s">
        <v>3303</v>
      </c>
      <c r="Z21" s="53">
        <f>X21+7</f>
        <v>45801</v>
      </c>
      <c r="AA21" s="21">
        <v>45802</v>
      </c>
      <c r="AB21" s="95">
        <f>AA21-Z21</f>
        <v>1</v>
      </c>
      <c r="AC21" s="10" t="s">
        <v>3310</v>
      </c>
      <c r="AD21" s="10"/>
      <c r="AE21" s="21"/>
      <c r="AF21" s="10"/>
      <c r="AG21" s="10"/>
      <c r="AH21" s="21"/>
      <c r="AI21" s="95"/>
      <c r="AJ21" s="10"/>
      <c r="AK21" s="10"/>
      <c r="AL21" s="17"/>
      <c r="AM21" s="11"/>
      <c r="AN21" s="11"/>
      <c r="AO21" s="17"/>
      <c r="AP21" s="123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368"/>
    </row>
    <row r="22" spans="1:79" s="381" customFormat="1" ht="42" customHeight="1" x14ac:dyDescent="0.25">
      <c r="A22" s="367">
        <v>730007</v>
      </c>
      <c r="B22" s="11" t="s">
        <v>5</v>
      </c>
      <c r="C22" s="56" t="s">
        <v>725</v>
      </c>
      <c r="D22" s="10" t="s">
        <v>793</v>
      </c>
      <c r="E22" s="12" t="s">
        <v>794</v>
      </c>
      <c r="F22" s="16" t="s">
        <v>795</v>
      </c>
      <c r="G22" s="10" t="s">
        <v>30</v>
      </c>
      <c r="H22" s="10" t="s">
        <v>132</v>
      </c>
      <c r="I22" s="16" t="s">
        <v>18</v>
      </c>
      <c r="J22" s="53">
        <v>45605</v>
      </c>
      <c r="K22" s="13" t="s">
        <v>796</v>
      </c>
      <c r="L22" s="53">
        <f t="shared" si="0"/>
        <v>45612</v>
      </c>
      <c r="M22" s="53">
        <v>45616</v>
      </c>
      <c r="N22" s="92">
        <f t="shared" si="1"/>
        <v>4</v>
      </c>
      <c r="O22" s="10" t="s">
        <v>816</v>
      </c>
      <c r="P22" s="10" t="s">
        <v>18</v>
      </c>
      <c r="Q22" s="21">
        <v>45757</v>
      </c>
      <c r="R22" s="10" t="s">
        <v>2962</v>
      </c>
      <c r="S22" s="53">
        <f>Q22+7</f>
        <v>45764</v>
      </c>
      <c r="T22" s="21">
        <v>45774</v>
      </c>
      <c r="U22" s="95">
        <f>T22-S22</f>
        <v>10</v>
      </c>
      <c r="V22" s="10" t="s">
        <v>2964</v>
      </c>
      <c r="W22" s="10" t="s">
        <v>18</v>
      </c>
      <c r="X22" s="21">
        <v>45790</v>
      </c>
      <c r="Y22" s="10" t="s">
        <v>3272</v>
      </c>
      <c r="Z22" s="53">
        <f>X22+7</f>
        <v>45797</v>
      </c>
      <c r="AA22" s="21">
        <v>45798</v>
      </c>
      <c r="AB22" s="95">
        <f>AA22-Z22</f>
        <v>1</v>
      </c>
      <c r="AC22" s="10" t="s">
        <v>3281</v>
      </c>
      <c r="AD22" s="10" t="s">
        <v>5</v>
      </c>
      <c r="AE22" s="21">
        <v>45848</v>
      </c>
      <c r="AF22" s="150" t="s">
        <v>3632</v>
      </c>
      <c r="AG22" s="21">
        <f>AE22+7</f>
        <v>45855</v>
      </c>
      <c r="AH22" s="21">
        <v>45859</v>
      </c>
      <c r="AI22" s="95">
        <f>AH22-AG22</f>
        <v>4</v>
      </c>
      <c r="AJ22" s="151" t="s">
        <v>3637</v>
      </c>
      <c r="AK22" s="10"/>
      <c r="AL22" s="17"/>
      <c r="AM22" s="11"/>
      <c r="AN22" s="11"/>
      <c r="AO22" s="17"/>
      <c r="AP22" s="123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368"/>
    </row>
    <row r="23" spans="1:79" s="381" customFormat="1" ht="42" customHeight="1" x14ac:dyDescent="0.25">
      <c r="A23" s="367">
        <v>730007</v>
      </c>
      <c r="B23" s="58" t="s">
        <v>508</v>
      </c>
      <c r="C23" s="56" t="s">
        <v>627</v>
      </c>
      <c r="D23" s="10" t="s">
        <v>797</v>
      </c>
      <c r="E23" s="12" t="s">
        <v>798</v>
      </c>
      <c r="F23" s="16" t="s">
        <v>799</v>
      </c>
      <c r="G23" s="10" t="s">
        <v>30</v>
      </c>
      <c r="H23" s="10" t="s">
        <v>132</v>
      </c>
      <c r="I23" s="16" t="s">
        <v>18</v>
      </c>
      <c r="J23" s="53">
        <v>45606</v>
      </c>
      <c r="K23" s="13" t="s">
        <v>831</v>
      </c>
      <c r="L23" s="53">
        <f t="shared" si="0"/>
        <v>45613</v>
      </c>
      <c r="M23" s="53">
        <v>45613</v>
      </c>
      <c r="N23" s="92">
        <f t="shared" si="1"/>
        <v>0</v>
      </c>
      <c r="O23" s="10" t="s">
        <v>835</v>
      </c>
      <c r="P23" s="58" t="s">
        <v>508</v>
      </c>
      <c r="Q23" s="21">
        <v>46070</v>
      </c>
      <c r="R23" s="10" t="s">
        <v>5858</v>
      </c>
      <c r="S23" s="10" t="s">
        <v>626</v>
      </c>
      <c r="T23" s="21" t="s">
        <v>626</v>
      </c>
      <c r="U23" s="95" t="s">
        <v>626</v>
      </c>
      <c r="V23" s="10" t="s">
        <v>626</v>
      </c>
      <c r="W23" s="10"/>
      <c r="X23" s="21"/>
      <c r="Y23" s="10"/>
      <c r="Z23" s="10"/>
      <c r="AA23" s="21"/>
      <c r="AB23" s="95"/>
      <c r="AC23" s="10"/>
      <c r="AD23" s="10"/>
      <c r="AE23" s="21"/>
      <c r="AF23" s="10"/>
      <c r="AG23" s="10"/>
      <c r="AH23" s="21"/>
      <c r="AI23" s="95"/>
      <c r="AJ23" s="10"/>
      <c r="AK23" s="10"/>
      <c r="AL23" s="17"/>
      <c r="AM23" s="11"/>
      <c r="AN23" s="11"/>
      <c r="AO23" s="17"/>
      <c r="AP23" s="123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368"/>
    </row>
    <row r="24" spans="1:79" s="381" customFormat="1" ht="42" customHeight="1" x14ac:dyDescent="0.25">
      <c r="A24" s="367">
        <v>730007</v>
      </c>
      <c r="B24" s="58" t="s">
        <v>508</v>
      </c>
      <c r="C24" s="56" t="s">
        <v>627</v>
      </c>
      <c r="D24" s="10" t="s">
        <v>800</v>
      </c>
      <c r="E24" s="12" t="s">
        <v>801</v>
      </c>
      <c r="F24" s="16" t="s">
        <v>802</v>
      </c>
      <c r="G24" s="10" t="s">
        <v>30</v>
      </c>
      <c r="H24" s="10" t="s">
        <v>132</v>
      </c>
      <c r="I24" s="16" t="s">
        <v>3</v>
      </c>
      <c r="J24" s="53">
        <v>45606</v>
      </c>
      <c r="K24" s="13" t="s">
        <v>832</v>
      </c>
      <c r="L24" s="53">
        <f t="shared" si="0"/>
        <v>45613</v>
      </c>
      <c r="M24" s="53">
        <v>45616</v>
      </c>
      <c r="N24" s="92">
        <f t="shared" si="1"/>
        <v>3</v>
      </c>
      <c r="O24" s="10" t="s">
        <v>836</v>
      </c>
      <c r="P24" s="58" t="s">
        <v>508</v>
      </c>
      <c r="Q24" s="21">
        <v>45652</v>
      </c>
      <c r="R24" s="10" t="s">
        <v>1670</v>
      </c>
      <c r="S24" s="10" t="s">
        <v>626</v>
      </c>
      <c r="T24" s="21" t="s">
        <v>626</v>
      </c>
      <c r="U24" s="95" t="s">
        <v>626</v>
      </c>
      <c r="V24" s="10" t="s">
        <v>626</v>
      </c>
      <c r="W24" s="10"/>
      <c r="X24" s="21"/>
      <c r="Y24" s="10"/>
      <c r="Z24" s="10"/>
      <c r="AA24" s="21"/>
      <c r="AB24" s="95"/>
      <c r="AC24" s="10"/>
      <c r="AD24" s="10"/>
      <c r="AE24" s="21"/>
      <c r="AF24" s="10"/>
      <c r="AG24" s="10"/>
      <c r="AH24" s="21"/>
      <c r="AI24" s="95"/>
      <c r="AJ24" s="10"/>
      <c r="AK24" s="10"/>
      <c r="AL24" s="17"/>
      <c r="AM24" s="11"/>
      <c r="AN24" s="11"/>
      <c r="AO24" s="17"/>
      <c r="AP24" s="123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368"/>
    </row>
    <row r="25" spans="1:79" s="381" customFormat="1" ht="42" customHeight="1" x14ac:dyDescent="0.25">
      <c r="A25" s="367">
        <v>730007</v>
      </c>
      <c r="B25" s="11" t="s">
        <v>5</v>
      </c>
      <c r="C25" s="56" t="s">
        <v>208</v>
      </c>
      <c r="D25" s="10" t="s">
        <v>825</v>
      </c>
      <c r="E25" s="12" t="s">
        <v>826</v>
      </c>
      <c r="F25" s="16" t="s">
        <v>827</v>
      </c>
      <c r="G25" s="10" t="s">
        <v>30</v>
      </c>
      <c r="H25" s="10" t="s">
        <v>132</v>
      </c>
      <c r="I25" s="16" t="s">
        <v>18</v>
      </c>
      <c r="J25" s="53">
        <v>45606</v>
      </c>
      <c r="K25" s="13" t="s">
        <v>833</v>
      </c>
      <c r="L25" s="53">
        <f t="shared" si="0"/>
        <v>45613</v>
      </c>
      <c r="M25" s="53">
        <v>45617</v>
      </c>
      <c r="N25" s="92">
        <f t="shared" si="1"/>
        <v>4</v>
      </c>
      <c r="O25" s="10" t="s">
        <v>837</v>
      </c>
      <c r="P25" s="12" t="s">
        <v>5</v>
      </c>
      <c r="Q25" s="21">
        <v>45708</v>
      </c>
      <c r="R25" s="10" t="s">
        <v>2552</v>
      </c>
      <c r="S25" s="53">
        <f>Q25+7</f>
        <v>45715</v>
      </c>
      <c r="T25" s="21">
        <v>45712</v>
      </c>
      <c r="U25" s="95">
        <f>T25-S25</f>
        <v>-3</v>
      </c>
      <c r="V25" s="10" t="s">
        <v>2576</v>
      </c>
      <c r="W25" s="10"/>
      <c r="X25" s="21"/>
      <c r="Y25" s="10"/>
      <c r="Z25" s="10"/>
      <c r="AA25" s="21"/>
      <c r="AB25" s="95"/>
      <c r="AC25" s="10"/>
      <c r="AD25" s="10"/>
      <c r="AE25" s="21"/>
      <c r="AF25" s="10"/>
      <c r="AG25" s="10"/>
      <c r="AH25" s="21"/>
      <c r="AI25" s="95"/>
      <c r="AJ25" s="10"/>
      <c r="AK25" s="10"/>
      <c r="AL25" s="17"/>
      <c r="AM25" s="11"/>
      <c r="AN25" s="11"/>
      <c r="AO25" s="17"/>
      <c r="AP25" s="123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368"/>
    </row>
    <row r="26" spans="1:79" s="381" customFormat="1" ht="42" customHeight="1" x14ac:dyDescent="0.25">
      <c r="A26" s="367">
        <v>730007</v>
      </c>
      <c r="B26" s="11" t="s">
        <v>5</v>
      </c>
      <c r="C26" s="56" t="s">
        <v>588</v>
      </c>
      <c r="D26" s="10" t="s">
        <v>856</v>
      </c>
      <c r="E26" s="12" t="s">
        <v>857</v>
      </c>
      <c r="F26" s="16" t="s">
        <v>859</v>
      </c>
      <c r="G26" s="10" t="s">
        <v>30</v>
      </c>
      <c r="H26" s="10" t="s">
        <v>132</v>
      </c>
      <c r="I26" s="16" t="s">
        <v>18</v>
      </c>
      <c r="J26" s="53">
        <v>45607</v>
      </c>
      <c r="K26" s="13" t="s">
        <v>860</v>
      </c>
      <c r="L26" s="53">
        <f t="shared" si="0"/>
        <v>45614</v>
      </c>
      <c r="M26" s="53">
        <v>45623</v>
      </c>
      <c r="N26" s="92">
        <f t="shared" si="1"/>
        <v>9</v>
      </c>
      <c r="O26" s="10" t="s">
        <v>888</v>
      </c>
      <c r="P26" s="12" t="s">
        <v>18</v>
      </c>
      <c r="Q26" s="21">
        <v>45709</v>
      </c>
      <c r="R26" s="10" t="s">
        <v>2559</v>
      </c>
      <c r="S26" s="53">
        <f>Q26+7</f>
        <v>45716</v>
      </c>
      <c r="T26" s="21">
        <v>45712</v>
      </c>
      <c r="U26" s="95">
        <f>T26-S26</f>
        <v>-4</v>
      </c>
      <c r="V26" s="10" t="s">
        <v>2577</v>
      </c>
      <c r="W26" s="10" t="s">
        <v>5</v>
      </c>
      <c r="X26" s="21">
        <v>45724</v>
      </c>
      <c r="Y26" s="10" t="s">
        <v>2700</v>
      </c>
      <c r="Z26" s="53">
        <f>X26+7</f>
        <v>45731</v>
      </c>
      <c r="AA26" s="21">
        <v>45734</v>
      </c>
      <c r="AB26" s="95">
        <f>AA26-Z26</f>
        <v>3</v>
      </c>
      <c r="AC26" s="10" t="s">
        <v>2738</v>
      </c>
      <c r="AD26" s="10"/>
      <c r="AE26" s="21"/>
      <c r="AF26" s="10"/>
      <c r="AG26" s="10"/>
      <c r="AH26" s="21"/>
      <c r="AI26" s="95"/>
      <c r="AJ26" s="10"/>
      <c r="AK26" s="10"/>
      <c r="AL26" s="17"/>
      <c r="AM26" s="11"/>
      <c r="AN26" s="11"/>
      <c r="AO26" s="17"/>
      <c r="AP26" s="123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368"/>
    </row>
    <row r="27" spans="1:79" s="381" customFormat="1" ht="42" customHeight="1" x14ac:dyDescent="0.25">
      <c r="A27" s="367">
        <v>730007</v>
      </c>
      <c r="B27" s="11" t="s">
        <v>5</v>
      </c>
      <c r="C27" s="56" t="s">
        <v>2456</v>
      </c>
      <c r="D27" s="10" t="s">
        <v>869</v>
      </c>
      <c r="E27" s="12" t="s">
        <v>870</v>
      </c>
      <c r="F27" s="16" t="s">
        <v>868</v>
      </c>
      <c r="G27" s="10" t="s">
        <v>30</v>
      </c>
      <c r="H27" s="10" t="s">
        <v>132</v>
      </c>
      <c r="I27" s="16" t="s">
        <v>18</v>
      </c>
      <c r="J27" s="53">
        <v>45608</v>
      </c>
      <c r="K27" s="13" t="s">
        <v>875</v>
      </c>
      <c r="L27" s="53">
        <f t="shared" si="0"/>
        <v>45615</v>
      </c>
      <c r="M27" s="53">
        <v>45616</v>
      </c>
      <c r="N27" s="92">
        <f>M27-L27</f>
        <v>1</v>
      </c>
      <c r="O27" s="10" t="s">
        <v>893</v>
      </c>
      <c r="P27" s="16" t="s">
        <v>18</v>
      </c>
      <c r="Q27" s="21">
        <v>45735</v>
      </c>
      <c r="R27" s="150" t="s">
        <v>2854</v>
      </c>
      <c r="S27" s="53">
        <f>Q27+7</f>
        <v>45742</v>
      </c>
      <c r="T27" s="21">
        <v>45753</v>
      </c>
      <c r="U27" s="95">
        <f>T27-S27</f>
        <v>11</v>
      </c>
      <c r="V27" s="10" t="s">
        <v>2857</v>
      </c>
      <c r="W27" s="10" t="s">
        <v>18</v>
      </c>
      <c r="X27" s="21">
        <v>45754</v>
      </c>
      <c r="Y27" s="10" t="s">
        <v>2952</v>
      </c>
      <c r="Z27" s="53">
        <f>X27+7</f>
        <v>45761</v>
      </c>
      <c r="AA27" s="21">
        <v>45763</v>
      </c>
      <c r="AB27" s="95">
        <f>AA27-Z27</f>
        <v>2</v>
      </c>
      <c r="AC27" s="10" t="s">
        <v>2954</v>
      </c>
      <c r="AD27" s="10" t="s">
        <v>5</v>
      </c>
      <c r="AE27" s="21">
        <v>45768</v>
      </c>
      <c r="AF27" s="10" t="s">
        <v>3050</v>
      </c>
      <c r="AG27" s="53">
        <f>AE27+7</f>
        <v>45775</v>
      </c>
      <c r="AH27" s="21">
        <v>45777</v>
      </c>
      <c r="AI27" s="95">
        <f>AH27-AG27</f>
        <v>2</v>
      </c>
      <c r="AJ27" s="10" t="s">
        <v>3060</v>
      </c>
      <c r="AK27" s="10" t="s">
        <v>5</v>
      </c>
      <c r="AL27" s="17">
        <v>45804</v>
      </c>
      <c r="AM27" s="11" t="s">
        <v>3371</v>
      </c>
      <c r="AN27" s="53">
        <f>AL27+7</f>
        <v>45811</v>
      </c>
      <c r="AO27" s="17">
        <v>45822</v>
      </c>
      <c r="AP27" s="123">
        <f>AO27-AN27</f>
        <v>11</v>
      </c>
      <c r="AQ27" s="17" t="s">
        <v>3379</v>
      </c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368"/>
    </row>
    <row r="28" spans="1:79" s="381" customFormat="1" ht="42" customHeight="1" x14ac:dyDescent="0.25">
      <c r="A28" s="367">
        <v>730007</v>
      </c>
      <c r="B28" s="58" t="s">
        <v>508</v>
      </c>
      <c r="C28" s="13" t="s">
        <v>627</v>
      </c>
      <c r="D28" s="10" t="s">
        <v>907</v>
      </c>
      <c r="E28" s="12" t="s">
        <v>908</v>
      </c>
      <c r="F28" s="10" t="s">
        <v>909</v>
      </c>
      <c r="G28" s="10" t="s">
        <v>30</v>
      </c>
      <c r="H28" s="10" t="s">
        <v>132</v>
      </c>
      <c r="I28" s="10" t="s">
        <v>3</v>
      </c>
      <c r="J28" s="53">
        <v>45609</v>
      </c>
      <c r="K28" s="13" t="s">
        <v>910</v>
      </c>
      <c r="L28" s="53">
        <f t="shared" si="0"/>
        <v>45616</v>
      </c>
      <c r="M28" s="53">
        <v>45617</v>
      </c>
      <c r="N28" s="92">
        <f>M28-L28</f>
        <v>1</v>
      </c>
      <c r="O28" s="10" t="s">
        <v>913</v>
      </c>
      <c r="P28" s="10" t="s">
        <v>508</v>
      </c>
      <c r="Q28" s="21">
        <v>45650</v>
      </c>
      <c r="R28" s="10" t="s">
        <v>1627</v>
      </c>
      <c r="S28" s="10" t="s">
        <v>626</v>
      </c>
      <c r="T28" s="10" t="s">
        <v>626</v>
      </c>
      <c r="U28" s="95" t="s">
        <v>626</v>
      </c>
      <c r="V28" s="10" t="s">
        <v>626</v>
      </c>
      <c r="W28" s="10"/>
      <c r="X28" s="21"/>
      <c r="Y28" s="10"/>
      <c r="Z28" s="10"/>
      <c r="AA28" s="21"/>
      <c r="AB28" s="95"/>
      <c r="AC28" s="10"/>
      <c r="AD28" s="10"/>
      <c r="AE28" s="21"/>
      <c r="AF28" s="10"/>
      <c r="AG28" s="10"/>
      <c r="AH28" s="21"/>
      <c r="AI28" s="95"/>
      <c r="AJ28" s="10"/>
      <c r="AK28" s="10"/>
      <c r="AL28" s="20"/>
      <c r="AM28" s="12"/>
      <c r="AN28" s="12"/>
      <c r="AO28" s="20"/>
      <c r="AP28" s="91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368" t="s">
        <v>1117</v>
      </c>
    </row>
    <row r="29" spans="1:79" s="381" customFormat="1" ht="42" customHeight="1" x14ac:dyDescent="0.25">
      <c r="A29" s="367">
        <v>730007</v>
      </c>
      <c r="B29" s="11" t="s">
        <v>5</v>
      </c>
      <c r="C29" s="56" t="s">
        <v>2456</v>
      </c>
      <c r="D29" s="10" t="s">
        <v>1022</v>
      </c>
      <c r="E29" s="12" t="s">
        <v>1023</v>
      </c>
      <c r="F29" s="16" t="s">
        <v>1024</v>
      </c>
      <c r="G29" s="10" t="s">
        <v>30</v>
      </c>
      <c r="H29" s="10" t="s">
        <v>132</v>
      </c>
      <c r="I29" s="16" t="s">
        <v>3</v>
      </c>
      <c r="J29" s="53">
        <v>45620</v>
      </c>
      <c r="K29" s="13" t="s">
        <v>1025</v>
      </c>
      <c r="L29" s="53">
        <f t="shared" si="0"/>
        <v>45627</v>
      </c>
      <c r="M29" s="53">
        <v>45623</v>
      </c>
      <c r="N29" s="92">
        <f t="shared" si="1"/>
        <v>-4</v>
      </c>
      <c r="O29" s="10" t="s">
        <v>1040</v>
      </c>
      <c r="P29" s="10" t="s">
        <v>18</v>
      </c>
      <c r="Q29" s="21">
        <v>45630</v>
      </c>
      <c r="R29" s="10" t="s">
        <v>1255</v>
      </c>
      <c r="S29" s="21">
        <f>Q29+7</f>
        <v>45637</v>
      </c>
      <c r="T29" s="21">
        <v>45635</v>
      </c>
      <c r="U29" s="95">
        <f>T29-S29</f>
        <v>-2</v>
      </c>
      <c r="V29" s="10" t="s">
        <v>1261</v>
      </c>
      <c r="W29" s="10" t="s">
        <v>18</v>
      </c>
      <c r="X29" s="21">
        <v>45768</v>
      </c>
      <c r="Y29" s="10" t="s">
        <v>3057</v>
      </c>
      <c r="Z29" s="53">
        <f>X29+7</f>
        <v>45775</v>
      </c>
      <c r="AA29" s="21">
        <v>45778</v>
      </c>
      <c r="AB29" s="95">
        <f>AA29-Z29</f>
        <v>3</v>
      </c>
      <c r="AC29" s="10" t="s">
        <v>3064</v>
      </c>
      <c r="AD29" s="10" t="s">
        <v>18</v>
      </c>
      <c r="AE29" s="21">
        <v>45786</v>
      </c>
      <c r="AF29" s="10" t="s">
        <v>3238</v>
      </c>
      <c r="AG29" s="53">
        <f>AE29+7</f>
        <v>45793</v>
      </c>
      <c r="AH29" s="21">
        <v>45798</v>
      </c>
      <c r="AI29" s="95">
        <f>AH29-AG29</f>
        <v>5</v>
      </c>
      <c r="AJ29" s="10" t="s">
        <v>3249</v>
      </c>
      <c r="AK29" s="10" t="s">
        <v>5</v>
      </c>
      <c r="AL29" s="17">
        <v>45799</v>
      </c>
      <c r="AM29" s="11" t="s">
        <v>3339</v>
      </c>
      <c r="AN29" s="53">
        <f>AL29+7</f>
        <v>45806</v>
      </c>
      <c r="AO29" s="17">
        <v>45809</v>
      </c>
      <c r="AP29" s="123">
        <f>AO29-AN29</f>
        <v>3</v>
      </c>
      <c r="AQ29" s="17" t="s">
        <v>3350</v>
      </c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440"/>
    </row>
    <row r="30" spans="1:79" s="381" customFormat="1" ht="42" customHeight="1" x14ac:dyDescent="0.25">
      <c r="A30" s="367">
        <v>730007</v>
      </c>
      <c r="B30" s="58" t="s">
        <v>508</v>
      </c>
      <c r="C30" s="56" t="s">
        <v>627</v>
      </c>
      <c r="D30" s="10" t="s">
        <v>1043</v>
      </c>
      <c r="E30" s="12" t="s">
        <v>1046</v>
      </c>
      <c r="F30" s="16" t="s">
        <v>1049</v>
      </c>
      <c r="G30" s="10" t="s">
        <v>30</v>
      </c>
      <c r="H30" s="10" t="s">
        <v>132</v>
      </c>
      <c r="I30" s="16" t="s">
        <v>3</v>
      </c>
      <c r="J30" s="53">
        <v>45621</v>
      </c>
      <c r="K30" s="13" t="s">
        <v>1050</v>
      </c>
      <c r="L30" s="53">
        <f t="shared" si="0"/>
        <v>45628</v>
      </c>
      <c r="M30" s="53">
        <v>45623</v>
      </c>
      <c r="N30" s="92">
        <f>M30-L30</f>
        <v>-5</v>
      </c>
      <c r="O30" s="10" t="s">
        <v>1089</v>
      </c>
      <c r="P30" s="58" t="s">
        <v>508</v>
      </c>
      <c r="Q30" s="21">
        <v>45878</v>
      </c>
      <c r="R30" s="10" t="s">
        <v>3902</v>
      </c>
      <c r="S30" s="10"/>
      <c r="T30" s="21"/>
      <c r="U30" s="95"/>
      <c r="V30" s="10"/>
      <c r="W30" s="10"/>
      <c r="X30" s="21"/>
      <c r="Y30" s="10"/>
      <c r="Z30" s="10"/>
      <c r="AA30" s="21"/>
      <c r="AB30" s="95"/>
      <c r="AC30" s="10"/>
      <c r="AD30" s="10"/>
      <c r="AE30" s="21"/>
      <c r="AF30" s="10"/>
      <c r="AG30" s="10"/>
      <c r="AH30" s="21"/>
      <c r="AI30" s="95"/>
      <c r="AJ30" s="10"/>
      <c r="AK30" s="10"/>
      <c r="AL30" s="17"/>
      <c r="AM30" s="11"/>
      <c r="AN30" s="11"/>
      <c r="AO30" s="17"/>
      <c r="AP30" s="123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440"/>
    </row>
    <row r="31" spans="1:79" s="381" customFormat="1" ht="42" customHeight="1" x14ac:dyDescent="0.25">
      <c r="A31" s="367">
        <v>730007</v>
      </c>
      <c r="B31" s="58" t="s">
        <v>508</v>
      </c>
      <c r="C31" s="56" t="s">
        <v>627</v>
      </c>
      <c r="D31" s="10" t="s">
        <v>1044</v>
      </c>
      <c r="E31" s="12" t="s">
        <v>1047</v>
      </c>
      <c r="F31" s="16" t="s">
        <v>1051</v>
      </c>
      <c r="G31" s="10" t="s">
        <v>30</v>
      </c>
      <c r="H31" s="10" t="s">
        <v>132</v>
      </c>
      <c r="I31" s="16" t="s">
        <v>3</v>
      </c>
      <c r="J31" s="53">
        <v>45621</v>
      </c>
      <c r="K31" s="13" t="s">
        <v>1052</v>
      </c>
      <c r="L31" s="53">
        <f t="shared" si="0"/>
        <v>45628</v>
      </c>
      <c r="M31" s="53">
        <v>45624</v>
      </c>
      <c r="N31" s="92">
        <f t="shared" si="1"/>
        <v>-4</v>
      </c>
      <c r="O31" s="10" t="s">
        <v>1090</v>
      </c>
      <c r="P31" s="58" t="s">
        <v>508</v>
      </c>
      <c r="Q31" s="21">
        <v>45824</v>
      </c>
      <c r="R31" s="150" t="s">
        <v>3504</v>
      </c>
      <c r="S31" s="10"/>
      <c r="T31" s="21"/>
      <c r="U31" s="95"/>
      <c r="V31" s="10"/>
      <c r="W31" s="10"/>
      <c r="X31" s="21"/>
      <c r="Y31" s="10"/>
      <c r="Z31" s="10"/>
      <c r="AA31" s="21"/>
      <c r="AB31" s="95"/>
      <c r="AC31" s="10"/>
      <c r="AD31" s="10"/>
      <c r="AE31" s="21"/>
      <c r="AF31" s="10"/>
      <c r="AG31" s="10"/>
      <c r="AH31" s="21"/>
      <c r="AI31" s="95"/>
      <c r="AJ31" s="10"/>
      <c r="AK31" s="10"/>
      <c r="AL31" s="17"/>
      <c r="AM31" s="11"/>
      <c r="AN31" s="11"/>
      <c r="AO31" s="17"/>
      <c r="AP31" s="123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440"/>
    </row>
    <row r="32" spans="1:79" s="381" customFormat="1" ht="42" customHeight="1" x14ac:dyDescent="0.25">
      <c r="A32" s="367">
        <v>730007</v>
      </c>
      <c r="B32" s="58" t="s">
        <v>508</v>
      </c>
      <c r="C32" s="56" t="s">
        <v>627</v>
      </c>
      <c r="D32" s="10" t="s">
        <v>1045</v>
      </c>
      <c r="E32" s="12" t="s">
        <v>1048</v>
      </c>
      <c r="F32" s="16" t="s">
        <v>1053</v>
      </c>
      <c r="G32" s="10" t="s">
        <v>30</v>
      </c>
      <c r="H32" s="10" t="s">
        <v>132</v>
      </c>
      <c r="I32" s="16" t="s">
        <v>3</v>
      </c>
      <c r="J32" s="53">
        <v>45621</v>
      </c>
      <c r="K32" s="13" t="s">
        <v>1054</v>
      </c>
      <c r="L32" s="53">
        <f t="shared" si="0"/>
        <v>45628</v>
      </c>
      <c r="M32" s="53">
        <v>45624</v>
      </c>
      <c r="N32" s="92">
        <f t="shared" ref="N32:N37" si="2">M32-L32</f>
        <v>-4</v>
      </c>
      <c r="O32" s="10" t="s">
        <v>1091</v>
      </c>
      <c r="P32" s="12" t="s">
        <v>3</v>
      </c>
      <c r="Q32" s="21">
        <v>45654</v>
      </c>
      <c r="R32" s="10" t="s">
        <v>1686</v>
      </c>
      <c r="S32" s="21">
        <f>Q32+7</f>
        <v>45661</v>
      </c>
      <c r="T32" s="21">
        <v>45663</v>
      </c>
      <c r="U32" s="92">
        <f>T32-S32</f>
        <v>2</v>
      </c>
      <c r="V32" s="10" t="s">
        <v>1692</v>
      </c>
      <c r="W32" s="58" t="s">
        <v>508</v>
      </c>
      <c r="X32" s="21">
        <v>45878</v>
      </c>
      <c r="Y32" s="10" t="s">
        <v>3902</v>
      </c>
      <c r="Z32" s="10"/>
      <c r="AA32" s="21"/>
      <c r="AB32" s="95"/>
      <c r="AC32" s="10"/>
      <c r="AD32" s="10"/>
      <c r="AE32" s="21"/>
      <c r="AF32" s="10"/>
      <c r="AG32" s="10"/>
      <c r="AH32" s="21"/>
      <c r="AI32" s="95"/>
      <c r="AJ32" s="10"/>
      <c r="AK32" s="10"/>
      <c r="AL32" s="17"/>
      <c r="AM32" s="11"/>
      <c r="AN32" s="11"/>
      <c r="AO32" s="17"/>
      <c r="AP32" s="123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440"/>
    </row>
    <row r="33" spans="1:79" s="381" customFormat="1" ht="42" customHeight="1" x14ac:dyDescent="0.25">
      <c r="A33" s="367">
        <v>730007</v>
      </c>
      <c r="B33" s="11" t="s">
        <v>5</v>
      </c>
      <c r="C33" s="56" t="s">
        <v>54</v>
      </c>
      <c r="D33" s="10" t="s">
        <v>1172</v>
      </c>
      <c r="E33" s="12" t="s">
        <v>1174</v>
      </c>
      <c r="F33" s="16" t="s">
        <v>1176</v>
      </c>
      <c r="G33" s="10" t="s">
        <v>30</v>
      </c>
      <c r="H33" s="10" t="s">
        <v>132</v>
      </c>
      <c r="I33" s="60" t="s">
        <v>5</v>
      </c>
      <c r="J33" s="53">
        <v>45628</v>
      </c>
      <c r="K33" s="13" t="s">
        <v>1178</v>
      </c>
      <c r="L33" s="53">
        <f t="shared" si="0"/>
        <v>45635</v>
      </c>
      <c r="M33" s="53">
        <v>45631</v>
      </c>
      <c r="N33" s="92">
        <f t="shared" si="2"/>
        <v>-4</v>
      </c>
      <c r="O33" s="10" t="s">
        <v>1195</v>
      </c>
      <c r="P33" s="58"/>
      <c r="Q33" s="21"/>
      <c r="R33" s="10"/>
      <c r="S33" s="10"/>
      <c r="T33" s="21"/>
      <c r="U33" s="95"/>
      <c r="V33" s="10"/>
      <c r="W33" s="10"/>
      <c r="X33" s="21"/>
      <c r="Y33" s="10"/>
      <c r="Z33" s="10"/>
      <c r="AA33" s="21"/>
      <c r="AB33" s="95"/>
      <c r="AC33" s="10"/>
      <c r="AD33" s="10"/>
      <c r="AE33" s="21"/>
      <c r="AF33" s="10"/>
      <c r="AG33" s="10"/>
      <c r="AH33" s="21"/>
      <c r="AI33" s="95"/>
      <c r="AJ33" s="10"/>
      <c r="AK33" s="10"/>
      <c r="AL33" s="17"/>
      <c r="AM33" s="11"/>
      <c r="AN33" s="11"/>
      <c r="AO33" s="17"/>
      <c r="AP33" s="123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440"/>
    </row>
    <row r="34" spans="1:79" s="381" customFormat="1" ht="42" customHeight="1" x14ac:dyDescent="0.25">
      <c r="A34" s="367">
        <v>730007</v>
      </c>
      <c r="B34" s="11" t="s">
        <v>5</v>
      </c>
      <c r="C34" s="56">
        <v>10</v>
      </c>
      <c r="D34" s="10" t="s">
        <v>1173</v>
      </c>
      <c r="E34" s="12" t="s">
        <v>1175</v>
      </c>
      <c r="F34" s="16" t="s">
        <v>1177</v>
      </c>
      <c r="G34" s="10" t="s">
        <v>30</v>
      </c>
      <c r="H34" s="10" t="s">
        <v>132</v>
      </c>
      <c r="I34" s="16" t="s">
        <v>3</v>
      </c>
      <c r="J34" s="53">
        <v>45628</v>
      </c>
      <c r="K34" s="13" t="s">
        <v>1179</v>
      </c>
      <c r="L34" s="53">
        <f t="shared" ref="L34:L42" si="3">J34+7</f>
        <v>45635</v>
      </c>
      <c r="M34" s="53">
        <v>45641</v>
      </c>
      <c r="N34" s="92">
        <f t="shared" si="2"/>
        <v>6</v>
      </c>
      <c r="O34" s="10" t="s">
        <v>1197</v>
      </c>
      <c r="P34" s="12" t="s">
        <v>18</v>
      </c>
      <c r="Q34" s="21">
        <v>45647</v>
      </c>
      <c r="R34" s="10" t="s">
        <v>1584</v>
      </c>
      <c r="S34" s="21">
        <f>Q34+7</f>
        <v>45654</v>
      </c>
      <c r="T34" s="21">
        <v>45656</v>
      </c>
      <c r="U34" s="92">
        <f>T34-S34</f>
        <v>2</v>
      </c>
      <c r="V34" s="10" t="s">
        <v>1603</v>
      </c>
      <c r="W34" s="10" t="s">
        <v>18</v>
      </c>
      <c r="X34" s="21">
        <v>45750</v>
      </c>
      <c r="Y34" s="10" t="s">
        <v>2937</v>
      </c>
      <c r="Z34" s="21">
        <f>X34+7</f>
        <v>45757</v>
      </c>
      <c r="AA34" s="21">
        <v>45762</v>
      </c>
      <c r="AB34" s="92">
        <f>AA34-Z34</f>
        <v>5</v>
      </c>
      <c r="AC34" s="10" t="s">
        <v>2940</v>
      </c>
      <c r="AD34" s="10" t="s">
        <v>18</v>
      </c>
      <c r="AE34" s="21">
        <v>45768</v>
      </c>
      <c r="AF34" s="10" t="s">
        <v>3051</v>
      </c>
      <c r="AG34" s="53">
        <f>AE34+7</f>
        <v>45775</v>
      </c>
      <c r="AH34" s="21">
        <v>45778</v>
      </c>
      <c r="AI34" s="95">
        <f>AH34-AG34</f>
        <v>3</v>
      </c>
      <c r="AJ34" s="10" t="s">
        <v>3061</v>
      </c>
      <c r="AK34" s="10" t="s">
        <v>18</v>
      </c>
      <c r="AL34" s="17">
        <v>45799</v>
      </c>
      <c r="AM34" s="11" t="s">
        <v>3337</v>
      </c>
      <c r="AN34" s="53">
        <f>AL34+7</f>
        <v>45806</v>
      </c>
      <c r="AO34" s="17">
        <v>45809</v>
      </c>
      <c r="AP34" s="123">
        <f>AO34-AN34</f>
        <v>3</v>
      </c>
      <c r="AQ34" s="17" t="s">
        <v>3344</v>
      </c>
      <c r="AR34" s="10" t="s">
        <v>18</v>
      </c>
      <c r="AS34" s="17">
        <v>45845</v>
      </c>
      <c r="AT34" s="150" t="s">
        <v>3598</v>
      </c>
      <c r="AU34" s="53">
        <f>AS34+7</f>
        <v>45852</v>
      </c>
      <c r="AV34" s="17">
        <v>45855</v>
      </c>
      <c r="AW34" s="123">
        <f>AV34-AU34</f>
        <v>3</v>
      </c>
      <c r="AX34" s="151" t="s">
        <v>3611</v>
      </c>
      <c r="AY34" s="17" t="s">
        <v>18</v>
      </c>
      <c r="AZ34" s="17">
        <v>45974</v>
      </c>
      <c r="BA34" s="17" t="s">
        <v>4884</v>
      </c>
      <c r="BB34" s="53">
        <f>AZ34+7</f>
        <v>45981</v>
      </c>
      <c r="BC34" s="17">
        <v>45986</v>
      </c>
      <c r="BD34" s="123">
        <f>BC34-BB34</f>
        <v>5</v>
      </c>
      <c r="BE34" s="11" t="s">
        <v>4896</v>
      </c>
      <c r="BF34" s="11" t="s">
        <v>18</v>
      </c>
      <c r="BG34" s="17">
        <v>46062</v>
      </c>
      <c r="BH34" s="11" t="s">
        <v>5803</v>
      </c>
      <c r="BI34" s="53">
        <f>BG34+7</f>
        <v>46069</v>
      </c>
      <c r="BJ34" s="17">
        <v>46074</v>
      </c>
      <c r="BK34" s="123">
        <f>BJ34-BI34</f>
        <v>5</v>
      </c>
      <c r="BL34" s="11" t="s">
        <v>5810</v>
      </c>
      <c r="BM34" s="11" t="s">
        <v>18</v>
      </c>
      <c r="BN34" s="17">
        <v>46121</v>
      </c>
      <c r="BO34" s="11" t="s">
        <v>6313</v>
      </c>
      <c r="BP34" s="53">
        <f>BN34+7</f>
        <v>46128</v>
      </c>
      <c r="BQ34" s="17">
        <v>46138</v>
      </c>
      <c r="BR34" s="123">
        <f>BQ34-BP34</f>
        <v>10</v>
      </c>
      <c r="BS34" s="11" t="s">
        <v>6324</v>
      </c>
      <c r="BT34" s="11" t="s">
        <v>5</v>
      </c>
      <c r="BU34" s="17">
        <v>46139</v>
      </c>
      <c r="BV34" s="11" t="s">
        <v>6549</v>
      </c>
      <c r="BW34" s="53">
        <f>BU34+7</f>
        <v>46146</v>
      </c>
      <c r="BX34" s="17">
        <v>46149</v>
      </c>
      <c r="BY34" s="123">
        <f>BX34-BW34</f>
        <v>3</v>
      </c>
      <c r="BZ34" s="11" t="s">
        <v>6559</v>
      </c>
      <c r="CA34" s="440"/>
    </row>
    <row r="35" spans="1:79" s="381" customFormat="1" ht="42" customHeight="1" x14ac:dyDescent="0.25">
      <c r="A35" s="367">
        <v>730007</v>
      </c>
      <c r="B35" s="11" t="s">
        <v>5</v>
      </c>
      <c r="C35" s="56" t="s">
        <v>54</v>
      </c>
      <c r="D35" s="10" t="s">
        <v>1228</v>
      </c>
      <c r="E35" s="12" t="s">
        <v>1230</v>
      </c>
      <c r="F35" s="16" t="s">
        <v>1232</v>
      </c>
      <c r="G35" s="10" t="s">
        <v>30</v>
      </c>
      <c r="H35" s="10" t="s">
        <v>132</v>
      </c>
      <c r="I35" s="16" t="s">
        <v>5</v>
      </c>
      <c r="J35" s="53">
        <v>45630</v>
      </c>
      <c r="K35" s="13" t="s">
        <v>1233</v>
      </c>
      <c r="L35" s="53">
        <f t="shared" si="3"/>
        <v>45637</v>
      </c>
      <c r="M35" s="53">
        <v>45634</v>
      </c>
      <c r="N35" s="92">
        <f t="shared" si="2"/>
        <v>-3</v>
      </c>
      <c r="O35" s="10" t="s">
        <v>1244</v>
      </c>
      <c r="P35" s="58"/>
      <c r="Q35" s="21"/>
      <c r="R35" s="10"/>
      <c r="S35" s="10"/>
      <c r="T35" s="21"/>
      <c r="U35" s="95"/>
      <c r="V35" s="10"/>
      <c r="W35" s="10"/>
      <c r="X35" s="21"/>
      <c r="Y35" s="10"/>
      <c r="Z35" s="10"/>
      <c r="AA35" s="21"/>
      <c r="AB35" s="95"/>
      <c r="AC35" s="10"/>
      <c r="AD35" s="10"/>
      <c r="AE35" s="21"/>
      <c r="AF35" s="10"/>
      <c r="AG35" s="10"/>
      <c r="AH35" s="21"/>
      <c r="AI35" s="95"/>
      <c r="AJ35" s="10"/>
      <c r="AK35" s="10"/>
      <c r="AL35" s="17"/>
      <c r="AM35" s="11"/>
      <c r="AN35" s="11"/>
      <c r="AO35" s="17"/>
      <c r="AP35" s="123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440"/>
    </row>
    <row r="36" spans="1:79" s="381" customFormat="1" ht="42" customHeight="1" x14ac:dyDescent="0.25">
      <c r="A36" s="367">
        <v>730007</v>
      </c>
      <c r="B36" s="58" t="s">
        <v>508</v>
      </c>
      <c r="C36" s="56" t="s">
        <v>627</v>
      </c>
      <c r="D36" s="10" t="s">
        <v>1229</v>
      </c>
      <c r="E36" s="12" t="s">
        <v>1231</v>
      </c>
      <c r="F36" s="16" t="s">
        <v>1234</v>
      </c>
      <c r="G36" s="10" t="s">
        <v>30</v>
      </c>
      <c r="H36" s="10" t="s">
        <v>132</v>
      </c>
      <c r="I36" s="16" t="s">
        <v>3</v>
      </c>
      <c r="J36" s="53">
        <v>45630</v>
      </c>
      <c r="K36" s="13" t="s">
        <v>1235</v>
      </c>
      <c r="L36" s="53">
        <f t="shared" si="3"/>
        <v>45637</v>
      </c>
      <c r="M36" s="53">
        <v>45645</v>
      </c>
      <c r="N36" s="92">
        <f t="shared" si="2"/>
        <v>8</v>
      </c>
      <c r="O36" s="10" t="s">
        <v>1245</v>
      </c>
      <c r="P36" s="12" t="s">
        <v>3</v>
      </c>
      <c r="Q36" s="21">
        <v>45655</v>
      </c>
      <c r="R36" s="10" t="s">
        <v>1698</v>
      </c>
      <c r="S36" s="21">
        <f>Q36+7</f>
        <v>45662</v>
      </c>
      <c r="T36" s="21">
        <v>45683</v>
      </c>
      <c r="U36" s="92">
        <f>T36-S36</f>
        <v>21</v>
      </c>
      <c r="V36" s="10" t="s">
        <v>1704</v>
      </c>
      <c r="W36" s="10" t="s">
        <v>3</v>
      </c>
      <c r="X36" s="21">
        <v>45686</v>
      </c>
      <c r="Y36" s="10" t="s">
        <v>2190</v>
      </c>
      <c r="Z36" s="21">
        <f>X36+7</f>
        <v>45693</v>
      </c>
      <c r="AA36" s="21">
        <v>45692</v>
      </c>
      <c r="AB36" s="92">
        <f>AA36-Z36</f>
        <v>-1</v>
      </c>
      <c r="AC36" s="10" t="s">
        <v>2224</v>
      </c>
      <c r="AD36" s="10" t="s">
        <v>18</v>
      </c>
      <c r="AE36" s="21">
        <v>45700</v>
      </c>
      <c r="AF36" s="10" t="s">
        <v>2439</v>
      </c>
      <c r="AG36" s="21">
        <f>AE36+7</f>
        <v>45707</v>
      </c>
      <c r="AH36" s="21">
        <v>45712</v>
      </c>
      <c r="AI36" s="95">
        <f>AH36-AG36</f>
        <v>5</v>
      </c>
      <c r="AJ36" s="10" t="s">
        <v>2444</v>
      </c>
      <c r="AK36" s="10" t="s">
        <v>18</v>
      </c>
      <c r="AL36" s="17">
        <v>45805</v>
      </c>
      <c r="AM36" s="11" t="s">
        <v>3393</v>
      </c>
      <c r="AN36" s="53">
        <f>AL36+7</f>
        <v>45812</v>
      </c>
      <c r="AO36" s="17">
        <v>45823</v>
      </c>
      <c r="AP36" s="123">
        <f>AO36-AN36</f>
        <v>11</v>
      </c>
      <c r="AQ36" s="17" t="s">
        <v>3401</v>
      </c>
      <c r="AR36" s="17" t="s">
        <v>18</v>
      </c>
      <c r="AS36" s="17">
        <v>45865</v>
      </c>
      <c r="AT36" s="150" t="s">
        <v>3817</v>
      </c>
      <c r="AU36" s="53">
        <f>AS36+7</f>
        <v>45872</v>
      </c>
      <c r="AV36" s="17">
        <v>45873</v>
      </c>
      <c r="AW36" s="123">
        <f>AV36-AU36</f>
        <v>1</v>
      </c>
      <c r="AX36" s="151" t="s">
        <v>3823</v>
      </c>
      <c r="AY36" s="58" t="s">
        <v>508</v>
      </c>
      <c r="AZ36" s="21">
        <v>46070</v>
      </c>
      <c r="BA36" s="10" t="s">
        <v>5858</v>
      </c>
      <c r="BB36" s="10" t="s">
        <v>626</v>
      </c>
      <c r="BC36" s="21" t="s">
        <v>626</v>
      </c>
      <c r="BD36" s="95" t="s">
        <v>626</v>
      </c>
      <c r="BE36" s="10" t="s">
        <v>626</v>
      </c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440"/>
    </row>
    <row r="37" spans="1:79" s="381" customFormat="1" ht="42" customHeight="1" x14ac:dyDescent="0.25">
      <c r="A37" s="367">
        <v>730007</v>
      </c>
      <c r="B37" s="58" t="s">
        <v>508</v>
      </c>
      <c r="C37" s="56" t="s">
        <v>627</v>
      </c>
      <c r="D37" s="10" t="s">
        <v>1236</v>
      </c>
      <c r="E37" s="12" t="s">
        <v>1237</v>
      </c>
      <c r="F37" s="16" t="s">
        <v>1238</v>
      </c>
      <c r="G37" s="10" t="s">
        <v>30</v>
      </c>
      <c r="H37" s="10" t="s">
        <v>132</v>
      </c>
      <c r="I37" s="16" t="s">
        <v>18</v>
      </c>
      <c r="J37" s="53">
        <v>45630</v>
      </c>
      <c r="K37" s="13" t="s">
        <v>1239</v>
      </c>
      <c r="L37" s="53">
        <f t="shared" si="3"/>
        <v>45637</v>
      </c>
      <c r="M37" s="53">
        <v>45654</v>
      </c>
      <c r="N37" s="92">
        <f t="shared" si="2"/>
        <v>17</v>
      </c>
      <c r="O37" s="10" t="s">
        <v>1246</v>
      </c>
      <c r="P37" s="58" t="s">
        <v>508</v>
      </c>
      <c r="Q37" s="21">
        <v>45878</v>
      </c>
      <c r="R37" s="10" t="s">
        <v>3902</v>
      </c>
      <c r="S37" s="10"/>
      <c r="T37" s="21"/>
      <c r="U37" s="95"/>
      <c r="V37" s="10"/>
      <c r="W37" s="10"/>
      <c r="X37" s="21"/>
      <c r="Y37" s="10"/>
      <c r="Z37" s="10"/>
      <c r="AA37" s="21"/>
      <c r="AB37" s="95"/>
      <c r="AC37" s="10"/>
      <c r="AD37" s="10"/>
      <c r="AE37" s="21"/>
      <c r="AF37" s="10"/>
      <c r="AG37" s="10"/>
      <c r="AH37" s="21"/>
      <c r="AI37" s="95"/>
      <c r="AJ37" s="10"/>
      <c r="AK37" s="10"/>
      <c r="AL37" s="17"/>
      <c r="AM37" s="11"/>
      <c r="AN37" s="11"/>
      <c r="AO37" s="17"/>
      <c r="AP37" s="123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440"/>
    </row>
    <row r="38" spans="1:79" s="381" customFormat="1" ht="42" customHeight="1" x14ac:dyDescent="0.25">
      <c r="A38" s="367">
        <v>730007</v>
      </c>
      <c r="B38" s="58" t="s">
        <v>508</v>
      </c>
      <c r="C38" s="56" t="s">
        <v>627</v>
      </c>
      <c r="D38" s="10" t="s">
        <v>1268</v>
      </c>
      <c r="E38" s="12" t="s">
        <v>1269</v>
      </c>
      <c r="F38" s="16" t="s">
        <v>1270</v>
      </c>
      <c r="G38" s="10" t="s">
        <v>30</v>
      </c>
      <c r="H38" s="10" t="s">
        <v>132</v>
      </c>
      <c r="I38" s="16" t="s">
        <v>3</v>
      </c>
      <c r="J38" s="53">
        <v>45631</v>
      </c>
      <c r="K38" s="13" t="s">
        <v>1271</v>
      </c>
      <c r="L38" s="53">
        <f t="shared" si="3"/>
        <v>45638</v>
      </c>
      <c r="M38" s="53">
        <v>45643</v>
      </c>
      <c r="N38" s="92">
        <f t="shared" ref="N38:N46" si="4">M38-L38</f>
        <v>5</v>
      </c>
      <c r="O38" s="10" t="s">
        <v>1329</v>
      </c>
      <c r="P38" s="10" t="s">
        <v>3</v>
      </c>
      <c r="Q38" s="21">
        <v>45654</v>
      </c>
      <c r="R38" s="10" t="s">
        <v>1682</v>
      </c>
      <c r="S38" s="21">
        <f>Q38+7</f>
        <v>45661</v>
      </c>
      <c r="T38" s="21">
        <v>45665</v>
      </c>
      <c r="U38" s="92">
        <f>T38-S38</f>
        <v>4</v>
      </c>
      <c r="V38" s="10" t="s">
        <v>1688</v>
      </c>
      <c r="W38" s="58" t="s">
        <v>508</v>
      </c>
      <c r="X38" s="21">
        <v>45652</v>
      </c>
      <c r="Y38" s="10" t="s">
        <v>1669</v>
      </c>
      <c r="Z38" s="10"/>
      <c r="AA38" s="21"/>
      <c r="AB38" s="95"/>
      <c r="AC38" s="10"/>
      <c r="AD38" s="10"/>
      <c r="AE38" s="21"/>
      <c r="AF38" s="10"/>
      <c r="AG38" s="10"/>
      <c r="AH38" s="21"/>
      <c r="AI38" s="95"/>
      <c r="AJ38" s="10"/>
      <c r="AK38" s="10"/>
      <c r="AL38" s="17"/>
      <c r="AM38" s="11"/>
      <c r="AN38" s="11"/>
      <c r="AO38" s="17"/>
      <c r="AP38" s="123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440"/>
    </row>
    <row r="39" spans="1:79" s="381" customFormat="1" ht="41.45" customHeight="1" x14ac:dyDescent="0.25">
      <c r="A39" s="367">
        <v>730007</v>
      </c>
      <c r="B39" s="11" t="s">
        <v>5</v>
      </c>
      <c r="C39" s="56" t="s">
        <v>208</v>
      </c>
      <c r="D39" s="10" t="s">
        <v>1332</v>
      </c>
      <c r="E39" s="12" t="s">
        <v>1333</v>
      </c>
      <c r="F39" s="16" t="s">
        <v>1334</v>
      </c>
      <c r="G39" s="10" t="s">
        <v>30</v>
      </c>
      <c r="H39" s="10" t="s">
        <v>132</v>
      </c>
      <c r="I39" s="16" t="s">
        <v>18</v>
      </c>
      <c r="J39" s="53">
        <v>45634</v>
      </c>
      <c r="K39" s="13" t="s">
        <v>1335</v>
      </c>
      <c r="L39" s="53">
        <f t="shared" si="3"/>
        <v>45641</v>
      </c>
      <c r="M39" s="53">
        <v>45642</v>
      </c>
      <c r="N39" s="92">
        <f t="shared" si="4"/>
        <v>1</v>
      </c>
      <c r="O39" s="10" t="s">
        <v>1347</v>
      </c>
      <c r="P39" s="16" t="s">
        <v>5</v>
      </c>
      <c r="Q39" s="21">
        <v>45708</v>
      </c>
      <c r="R39" s="10" t="s">
        <v>2551</v>
      </c>
      <c r="S39" s="21">
        <f>Q39+7</f>
        <v>45715</v>
      </c>
      <c r="T39" s="21">
        <v>45712</v>
      </c>
      <c r="U39" s="92">
        <f>T39-S39</f>
        <v>-3</v>
      </c>
      <c r="V39" s="10" t="s">
        <v>2579</v>
      </c>
      <c r="W39" s="10"/>
      <c r="X39" s="21"/>
      <c r="Y39" s="10"/>
      <c r="Z39" s="10"/>
      <c r="AA39" s="21"/>
      <c r="AB39" s="95"/>
      <c r="AC39" s="10"/>
      <c r="AD39" s="10"/>
      <c r="AE39" s="21"/>
      <c r="AF39" s="10"/>
      <c r="AG39" s="10"/>
      <c r="AH39" s="21"/>
      <c r="AI39" s="95"/>
      <c r="AJ39" s="10"/>
      <c r="AK39" s="10"/>
      <c r="AL39" s="17"/>
      <c r="AM39" s="11"/>
      <c r="AN39" s="11"/>
      <c r="AO39" s="17"/>
      <c r="AP39" s="123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440"/>
    </row>
    <row r="40" spans="1:79" s="381" customFormat="1" ht="42" customHeight="1" x14ac:dyDescent="0.25">
      <c r="A40" s="367">
        <v>730007</v>
      </c>
      <c r="B40" s="11" t="s">
        <v>5</v>
      </c>
      <c r="C40" s="56" t="s">
        <v>588</v>
      </c>
      <c r="D40" s="10" t="s">
        <v>1340</v>
      </c>
      <c r="E40" s="12" t="s">
        <v>1341</v>
      </c>
      <c r="F40" s="16" t="s">
        <v>1342</v>
      </c>
      <c r="G40" s="10" t="s">
        <v>30</v>
      </c>
      <c r="H40" s="10" t="s">
        <v>132</v>
      </c>
      <c r="I40" s="16" t="s">
        <v>18</v>
      </c>
      <c r="J40" s="53">
        <v>45635</v>
      </c>
      <c r="K40" s="13" t="s">
        <v>1343</v>
      </c>
      <c r="L40" s="53">
        <f t="shared" si="3"/>
        <v>45642</v>
      </c>
      <c r="M40" s="53">
        <v>45642</v>
      </c>
      <c r="N40" s="92">
        <f t="shared" si="4"/>
        <v>0</v>
      </c>
      <c r="O40" s="10" t="s">
        <v>1348</v>
      </c>
      <c r="P40" s="10" t="s">
        <v>18</v>
      </c>
      <c r="Q40" s="21">
        <v>45654</v>
      </c>
      <c r="R40" s="10" t="s">
        <v>1683</v>
      </c>
      <c r="S40" s="21">
        <f>Q40+7</f>
        <v>45661</v>
      </c>
      <c r="T40" s="21">
        <v>45663</v>
      </c>
      <c r="U40" s="92">
        <f>T40-S40</f>
        <v>2</v>
      </c>
      <c r="V40" s="10" t="s">
        <v>1689</v>
      </c>
      <c r="W40" s="10" t="s">
        <v>5</v>
      </c>
      <c r="X40" s="21">
        <v>45709</v>
      </c>
      <c r="Y40" s="10" t="s">
        <v>2561</v>
      </c>
      <c r="Z40" s="21">
        <f>X40+7</f>
        <v>45716</v>
      </c>
      <c r="AA40" s="21">
        <v>45713</v>
      </c>
      <c r="AB40" s="95">
        <f>AA40-Z40</f>
        <v>-3</v>
      </c>
      <c r="AC40" s="10" t="s">
        <v>2580</v>
      </c>
      <c r="AD40" s="10"/>
      <c r="AE40" s="21"/>
      <c r="AF40" s="10"/>
      <c r="AG40" s="10"/>
      <c r="AH40" s="21"/>
      <c r="AI40" s="95"/>
      <c r="AJ40" s="10"/>
      <c r="AK40" s="10"/>
      <c r="AL40" s="17"/>
      <c r="AM40" s="11"/>
      <c r="AN40" s="11"/>
      <c r="AO40" s="17"/>
      <c r="AP40" s="123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440"/>
    </row>
    <row r="41" spans="1:79" s="381" customFormat="1" ht="42" customHeight="1" x14ac:dyDescent="0.25">
      <c r="A41" s="367">
        <v>730007</v>
      </c>
      <c r="B41" s="58" t="s">
        <v>508</v>
      </c>
      <c r="C41" s="56" t="s">
        <v>627</v>
      </c>
      <c r="D41" s="10" t="s">
        <v>1451</v>
      </c>
      <c r="E41" s="12" t="s">
        <v>1452</v>
      </c>
      <c r="F41" s="16" t="s">
        <v>1453</v>
      </c>
      <c r="G41" s="10" t="s">
        <v>30</v>
      </c>
      <c r="H41" s="10" t="s">
        <v>132</v>
      </c>
      <c r="I41" s="16" t="s">
        <v>18</v>
      </c>
      <c r="J41" s="53">
        <v>45642</v>
      </c>
      <c r="K41" s="13" t="s">
        <v>1454</v>
      </c>
      <c r="L41" s="53">
        <f t="shared" si="3"/>
        <v>45649</v>
      </c>
      <c r="M41" s="53">
        <v>45649</v>
      </c>
      <c r="N41" s="92">
        <f t="shared" si="4"/>
        <v>0</v>
      </c>
      <c r="O41" s="10" t="s">
        <v>1495</v>
      </c>
      <c r="P41" s="58" t="s">
        <v>508</v>
      </c>
      <c r="Q41" s="21">
        <v>45652</v>
      </c>
      <c r="R41" s="10" t="s">
        <v>1669</v>
      </c>
      <c r="S41" s="10"/>
      <c r="T41" s="21"/>
      <c r="U41" s="95"/>
      <c r="V41" s="10"/>
      <c r="W41" s="16"/>
      <c r="X41" s="21"/>
      <c r="Y41" s="10"/>
      <c r="Z41" s="10"/>
      <c r="AA41" s="21"/>
      <c r="AB41" s="95"/>
      <c r="AC41" s="10"/>
      <c r="AD41" s="10"/>
      <c r="AE41" s="21"/>
      <c r="AF41" s="10"/>
      <c r="AG41" s="10"/>
      <c r="AH41" s="21"/>
      <c r="AI41" s="95"/>
      <c r="AJ41" s="10"/>
      <c r="AK41" s="10"/>
      <c r="AL41" s="17"/>
      <c r="AM41" s="11"/>
      <c r="AN41" s="11"/>
      <c r="AO41" s="17"/>
      <c r="AP41" s="123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440"/>
    </row>
    <row r="42" spans="1:79" s="381" customFormat="1" ht="42" customHeight="1" x14ac:dyDescent="0.25">
      <c r="A42" s="367">
        <v>730007</v>
      </c>
      <c r="B42" s="11" t="s">
        <v>5</v>
      </c>
      <c r="C42" s="56" t="s">
        <v>54</v>
      </c>
      <c r="D42" s="10" t="s">
        <v>1553</v>
      </c>
      <c r="E42" s="12" t="s">
        <v>1554</v>
      </c>
      <c r="F42" s="16" t="s">
        <v>1555</v>
      </c>
      <c r="G42" s="10" t="s">
        <v>30</v>
      </c>
      <c r="H42" s="10" t="s">
        <v>132</v>
      </c>
      <c r="I42" s="16" t="s">
        <v>5</v>
      </c>
      <c r="J42" s="53">
        <v>45646</v>
      </c>
      <c r="K42" s="13" t="s">
        <v>1562</v>
      </c>
      <c r="L42" s="53">
        <f t="shared" si="3"/>
        <v>45653</v>
      </c>
      <c r="M42" s="53">
        <v>45650</v>
      </c>
      <c r="N42" s="92">
        <f t="shared" si="4"/>
        <v>-3</v>
      </c>
      <c r="O42" s="10" t="s">
        <v>1592</v>
      </c>
      <c r="P42" s="10"/>
      <c r="Q42" s="21"/>
      <c r="R42" s="10"/>
      <c r="S42" s="10"/>
      <c r="T42" s="21"/>
      <c r="U42" s="95"/>
      <c r="V42" s="10"/>
      <c r="W42" s="10"/>
      <c r="X42" s="21"/>
      <c r="Y42" s="10"/>
      <c r="Z42" s="10"/>
      <c r="AA42" s="21"/>
      <c r="AB42" s="95"/>
      <c r="AC42" s="10"/>
      <c r="AD42" s="10"/>
      <c r="AE42" s="21"/>
      <c r="AF42" s="10"/>
      <c r="AG42" s="10"/>
      <c r="AH42" s="21"/>
      <c r="AI42" s="95"/>
      <c r="AJ42" s="10"/>
      <c r="AK42" s="10"/>
      <c r="AL42" s="17"/>
      <c r="AM42" s="11"/>
      <c r="AN42" s="11"/>
      <c r="AO42" s="17"/>
      <c r="AP42" s="123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440"/>
    </row>
    <row r="43" spans="1:79" s="381" customFormat="1" ht="42" customHeight="1" x14ac:dyDescent="0.25">
      <c r="A43" s="367">
        <v>730007</v>
      </c>
      <c r="B43" s="58" t="s">
        <v>508</v>
      </c>
      <c r="C43" s="56" t="s">
        <v>627</v>
      </c>
      <c r="D43" s="10" t="s">
        <v>1556</v>
      </c>
      <c r="E43" s="12" t="s">
        <v>1557</v>
      </c>
      <c r="F43" s="16" t="s">
        <v>1558</v>
      </c>
      <c r="G43" s="10" t="s">
        <v>30</v>
      </c>
      <c r="H43" s="10" t="s">
        <v>132</v>
      </c>
      <c r="I43" s="16" t="s">
        <v>3</v>
      </c>
      <c r="J43" s="53">
        <v>45646</v>
      </c>
      <c r="K43" s="13" t="s">
        <v>1563</v>
      </c>
      <c r="L43" s="53">
        <f t="shared" ref="L43:L48" si="5">J43+7</f>
        <v>45653</v>
      </c>
      <c r="M43" s="53">
        <v>45673</v>
      </c>
      <c r="N43" s="92">
        <f t="shared" si="4"/>
        <v>20</v>
      </c>
      <c r="O43" s="10" t="s">
        <v>1593</v>
      </c>
      <c r="P43" s="58" t="s">
        <v>508</v>
      </c>
      <c r="Q43" s="21">
        <v>45652</v>
      </c>
      <c r="R43" s="10" t="s">
        <v>1669</v>
      </c>
      <c r="S43" s="10"/>
      <c r="T43" s="21"/>
      <c r="U43" s="95"/>
      <c r="V43" s="10"/>
      <c r="W43" s="10"/>
      <c r="X43" s="21"/>
      <c r="Y43" s="10"/>
      <c r="Z43" s="10"/>
      <c r="AA43" s="21"/>
      <c r="AB43" s="95"/>
      <c r="AC43" s="10"/>
      <c r="AD43" s="10"/>
      <c r="AE43" s="21"/>
      <c r="AF43" s="10"/>
      <c r="AG43" s="10"/>
      <c r="AH43" s="21"/>
      <c r="AI43" s="95"/>
      <c r="AJ43" s="10"/>
      <c r="AK43" s="10"/>
      <c r="AL43" s="17"/>
      <c r="AM43" s="11"/>
      <c r="AN43" s="11"/>
      <c r="AO43" s="17"/>
      <c r="AP43" s="123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440"/>
    </row>
    <row r="44" spans="1:79" s="381" customFormat="1" ht="42" customHeight="1" x14ac:dyDescent="0.25">
      <c r="A44" s="367">
        <v>730007</v>
      </c>
      <c r="B44" s="11" t="s">
        <v>5</v>
      </c>
      <c r="C44" s="56" t="s">
        <v>588</v>
      </c>
      <c r="D44" s="10" t="s">
        <v>1559</v>
      </c>
      <c r="E44" s="12" t="s">
        <v>1560</v>
      </c>
      <c r="F44" s="16" t="s">
        <v>1561</v>
      </c>
      <c r="G44" s="10" t="s">
        <v>30</v>
      </c>
      <c r="H44" s="10" t="s">
        <v>132</v>
      </c>
      <c r="I44" s="16" t="s">
        <v>18</v>
      </c>
      <c r="J44" s="53">
        <v>45646</v>
      </c>
      <c r="K44" s="13" t="s">
        <v>1564</v>
      </c>
      <c r="L44" s="53">
        <f t="shared" si="5"/>
        <v>45653</v>
      </c>
      <c r="M44" s="53">
        <v>45654</v>
      </c>
      <c r="N44" s="92">
        <f t="shared" si="4"/>
        <v>1</v>
      </c>
      <c r="O44" s="10" t="s">
        <v>1594</v>
      </c>
      <c r="P44" s="10" t="s">
        <v>18</v>
      </c>
      <c r="Q44" s="21">
        <v>45803</v>
      </c>
      <c r="R44" s="10" t="s">
        <v>3360</v>
      </c>
      <c r="S44" s="21">
        <f>Q44+7</f>
        <v>45810</v>
      </c>
      <c r="T44" s="21">
        <v>45823</v>
      </c>
      <c r="U44" s="92">
        <f>T44-S44</f>
        <v>13</v>
      </c>
      <c r="V44" s="10" t="s">
        <v>3363</v>
      </c>
      <c r="W44" s="10" t="s">
        <v>5</v>
      </c>
      <c r="X44" s="21">
        <v>45836</v>
      </c>
      <c r="Y44" s="150" t="s">
        <v>3546</v>
      </c>
      <c r="Z44" s="21">
        <f>X44+7</f>
        <v>45843</v>
      </c>
      <c r="AA44" s="21">
        <v>45851</v>
      </c>
      <c r="AB44" s="92">
        <f>AA44-Z44</f>
        <v>8</v>
      </c>
      <c r="AC44" s="10" t="s">
        <v>3551</v>
      </c>
      <c r="AD44" s="10"/>
      <c r="AE44" s="21"/>
      <c r="AF44" s="10"/>
      <c r="AG44" s="10"/>
      <c r="AH44" s="21"/>
      <c r="AI44" s="95"/>
      <c r="AJ44" s="10"/>
      <c r="AK44" s="10"/>
      <c r="AL44" s="17"/>
      <c r="AM44" s="11"/>
      <c r="AN44" s="11"/>
      <c r="AO44" s="17"/>
      <c r="AP44" s="123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440"/>
    </row>
    <row r="45" spans="1:79" s="381" customFormat="1" ht="42" customHeight="1" x14ac:dyDescent="0.25">
      <c r="A45" s="367">
        <v>730007</v>
      </c>
      <c r="B45" s="11" t="s">
        <v>5</v>
      </c>
      <c r="C45" s="56" t="s">
        <v>208</v>
      </c>
      <c r="D45" s="10" t="s">
        <v>1762</v>
      </c>
      <c r="E45" s="12" t="s">
        <v>1764</v>
      </c>
      <c r="F45" s="16" t="s">
        <v>1766</v>
      </c>
      <c r="G45" s="10" t="s">
        <v>30</v>
      </c>
      <c r="H45" s="10" t="s">
        <v>132</v>
      </c>
      <c r="I45" s="16" t="s">
        <v>18</v>
      </c>
      <c r="J45" s="53">
        <v>45658</v>
      </c>
      <c r="K45" s="13" t="s">
        <v>1767</v>
      </c>
      <c r="L45" s="53">
        <f t="shared" si="5"/>
        <v>45665</v>
      </c>
      <c r="M45" s="53">
        <v>45769</v>
      </c>
      <c r="N45" s="92">
        <f t="shared" si="4"/>
        <v>104</v>
      </c>
      <c r="O45" s="10" t="s">
        <v>2112</v>
      </c>
      <c r="P45" s="10" t="s">
        <v>5</v>
      </c>
      <c r="Q45" s="21">
        <v>45838</v>
      </c>
      <c r="R45" s="150" t="s">
        <v>3562</v>
      </c>
      <c r="S45" s="21">
        <f>Q45+7</f>
        <v>45845</v>
      </c>
      <c r="T45" s="21">
        <v>45855</v>
      </c>
      <c r="U45" s="92">
        <f>T45-S45</f>
        <v>10</v>
      </c>
      <c r="V45" s="151" t="s">
        <v>3569</v>
      </c>
      <c r="W45" s="10"/>
      <c r="X45" s="21"/>
      <c r="Y45" s="10"/>
      <c r="Z45" s="10"/>
      <c r="AA45" s="21"/>
      <c r="AB45" s="95"/>
      <c r="AC45" s="10"/>
      <c r="AD45" s="10"/>
      <c r="AE45" s="21"/>
      <c r="AF45" s="10"/>
      <c r="AG45" s="10"/>
      <c r="AH45" s="21"/>
      <c r="AI45" s="95"/>
      <c r="AJ45" s="10"/>
      <c r="AK45" s="10"/>
      <c r="AL45" s="17"/>
      <c r="AM45" s="11"/>
      <c r="AN45" s="11"/>
      <c r="AO45" s="17"/>
      <c r="AP45" s="123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440"/>
    </row>
    <row r="46" spans="1:79" s="381" customFormat="1" ht="42" customHeight="1" x14ac:dyDescent="0.25">
      <c r="A46" s="367">
        <v>730007</v>
      </c>
      <c r="B46" s="58" t="s">
        <v>508</v>
      </c>
      <c r="C46" s="56" t="s">
        <v>627</v>
      </c>
      <c r="D46" s="10" t="s">
        <v>1763</v>
      </c>
      <c r="E46" s="12" t="s">
        <v>1765</v>
      </c>
      <c r="F46" s="16" t="s">
        <v>1768</v>
      </c>
      <c r="G46" s="10" t="s">
        <v>30</v>
      </c>
      <c r="H46" s="10" t="s">
        <v>132</v>
      </c>
      <c r="I46" s="16" t="s">
        <v>18</v>
      </c>
      <c r="J46" s="53">
        <v>45658</v>
      </c>
      <c r="K46" s="13" t="s">
        <v>1769</v>
      </c>
      <c r="L46" s="53">
        <f t="shared" si="5"/>
        <v>45665</v>
      </c>
      <c r="M46" s="53">
        <v>45677</v>
      </c>
      <c r="N46" s="92">
        <f t="shared" si="4"/>
        <v>12</v>
      </c>
      <c r="O46" s="10" t="s">
        <v>1771</v>
      </c>
      <c r="P46" s="58" t="s">
        <v>508</v>
      </c>
      <c r="Q46" s="21">
        <v>46070</v>
      </c>
      <c r="R46" s="10" t="s">
        <v>5858</v>
      </c>
      <c r="S46" s="10" t="s">
        <v>626</v>
      </c>
      <c r="T46" s="21" t="s">
        <v>626</v>
      </c>
      <c r="U46" s="95" t="s">
        <v>626</v>
      </c>
      <c r="V46" s="10" t="s">
        <v>626</v>
      </c>
      <c r="W46" s="10"/>
      <c r="X46" s="21"/>
      <c r="Y46" s="10"/>
      <c r="Z46" s="10"/>
      <c r="AA46" s="21"/>
      <c r="AB46" s="95"/>
      <c r="AC46" s="10"/>
      <c r="AD46" s="10"/>
      <c r="AE46" s="21"/>
      <c r="AF46" s="10"/>
      <c r="AG46" s="10"/>
      <c r="AH46" s="21"/>
      <c r="AI46" s="95"/>
      <c r="AJ46" s="10"/>
      <c r="AK46" s="10"/>
      <c r="AL46" s="17"/>
      <c r="AM46" s="11"/>
      <c r="AN46" s="11"/>
      <c r="AO46" s="17"/>
      <c r="AP46" s="123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440"/>
    </row>
    <row r="47" spans="1:79" s="381" customFormat="1" ht="42" customHeight="1" x14ac:dyDescent="0.25">
      <c r="A47" s="367">
        <v>730007</v>
      </c>
      <c r="B47" s="11" t="s">
        <v>7461</v>
      </c>
      <c r="C47" s="56" t="s">
        <v>725</v>
      </c>
      <c r="D47" s="10" t="s">
        <v>1838</v>
      </c>
      <c r="E47" s="12" t="s">
        <v>1839</v>
      </c>
      <c r="F47" s="16" t="s">
        <v>1843</v>
      </c>
      <c r="G47" s="10" t="s">
        <v>30</v>
      </c>
      <c r="H47" s="10" t="s">
        <v>132</v>
      </c>
      <c r="I47" s="16" t="s">
        <v>18</v>
      </c>
      <c r="J47" s="53">
        <v>45662</v>
      </c>
      <c r="K47" s="13" t="s">
        <v>1844</v>
      </c>
      <c r="L47" s="53">
        <f t="shared" si="5"/>
        <v>45669</v>
      </c>
      <c r="M47" s="53">
        <v>45677</v>
      </c>
      <c r="N47" s="92">
        <f t="shared" ref="N47:N73" si="6">M47-L47</f>
        <v>8</v>
      </c>
      <c r="O47" s="10" t="s">
        <v>1847</v>
      </c>
      <c r="P47" s="10" t="s">
        <v>18</v>
      </c>
      <c r="Q47" s="21">
        <v>45733</v>
      </c>
      <c r="R47" s="10" t="s">
        <v>2818</v>
      </c>
      <c r="S47" s="21">
        <f t="shared" ref="S47:S54" si="7">Q47+7</f>
        <v>45740</v>
      </c>
      <c r="T47" s="21">
        <v>45753</v>
      </c>
      <c r="U47" s="92">
        <f t="shared" ref="U47:U55" si="8">T47-S47</f>
        <v>13</v>
      </c>
      <c r="V47" s="10" t="s">
        <v>2823</v>
      </c>
      <c r="W47" s="10" t="s">
        <v>18</v>
      </c>
      <c r="X47" s="21">
        <v>46233</v>
      </c>
      <c r="Y47" s="150" t="s">
        <v>7376</v>
      </c>
      <c r="Z47" s="21">
        <f>X47+7</f>
        <v>46240</v>
      </c>
      <c r="AA47" s="21">
        <v>46244</v>
      </c>
      <c r="AB47" s="92">
        <f>AA47-Z47</f>
        <v>4</v>
      </c>
      <c r="AC47" s="10" t="s">
        <v>7380</v>
      </c>
      <c r="AD47" s="10" t="s">
        <v>7461</v>
      </c>
      <c r="AE47" s="21">
        <v>46257</v>
      </c>
      <c r="AF47" s="10" t="s">
        <v>7511</v>
      </c>
      <c r="AG47" s="21">
        <f>AE47+7</f>
        <v>46264</v>
      </c>
      <c r="AH47" s="21"/>
      <c r="AI47" s="95">
        <f>AH47-AG47</f>
        <v>-46264</v>
      </c>
      <c r="AJ47" s="10"/>
      <c r="AK47" s="10"/>
      <c r="AL47" s="17"/>
      <c r="AM47" s="11"/>
      <c r="AN47" s="11"/>
      <c r="AO47" s="17"/>
      <c r="AP47" s="123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440"/>
    </row>
    <row r="48" spans="1:79" s="381" customFormat="1" ht="42" customHeight="1" x14ac:dyDescent="0.25">
      <c r="A48" s="367">
        <v>730007</v>
      </c>
      <c r="B48" s="11" t="s">
        <v>5</v>
      </c>
      <c r="C48" s="56" t="s">
        <v>208</v>
      </c>
      <c r="D48" s="10" t="s">
        <v>1859</v>
      </c>
      <c r="E48" s="12" t="s">
        <v>1860</v>
      </c>
      <c r="F48" s="16" t="s">
        <v>1861</v>
      </c>
      <c r="G48" s="10" t="s">
        <v>30</v>
      </c>
      <c r="H48" s="10" t="s">
        <v>132</v>
      </c>
      <c r="I48" s="16" t="s">
        <v>18</v>
      </c>
      <c r="J48" s="53">
        <v>45664</v>
      </c>
      <c r="K48" s="13" t="s">
        <v>1862</v>
      </c>
      <c r="L48" s="53">
        <f t="shared" si="5"/>
        <v>45671</v>
      </c>
      <c r="M48" s="53">
        <v>45678</v>
      </c>
      <c r="N48" s="92">
        <f t="shared" si="6"/>
        <v>7</v>
      </c>
      <c r="O48" s="10" t="s">
        <v>1868</v>
      </c>
      <c r="P48" s="10" t="s">
        <v>5</v>
      </c>
      <c r="Q48" s="21">
        <v>45733</v>
      </c>
      <c r="R48" s="10" t="s">
        <v>2819</v>
      </c>
      <c r="S48" s="21">
        <f t="shared" si="7"/>
        <v>45740</v>
      </c>
      <c r="T48" s="21">
        <v>45753</v>
      </c>
      <c r="U48" s="92">
        <f>T48-S48</f>
        <v>13</v>
      </c>
      <c r="V48" s="10" t="s">
        <v>2824</v>
      </c>
      <c r="W48" s="10"/>
      <c r="X48" s="21"/>
      <c r="Y48" s="10"/>
      <c r="Z48" s="10"/>
      <c r="AA48" s="21"/>
      <c r="AB48" s="95"/>
      <c r="AC48" s="10"/>
      <c r="AD48" s="10"/>
      <c r="AE48" s="21"/>
      <c r="AF48" s="10"/>
      <c r="AG48" s="10"/>
      <c r="AH48" s="21"/>
      <c r="AI48" s="95"/>
      <c r="AJ48" s="10"/>
      <c r="AK48" s="10"/>
      <c r="AL48" s="17"/>
      <c r="AM48" s="11"/>
      <c r="AN48" s="11"/>
      <c r="AO48" s="17"/>
      <c r="AP48" s="123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440"/>
    </row>
    <row r="49" spans="1:79" s="381" customFormat="1" ht="42" customHeight="1" x14ac:dyDescent="0.25">
      <c r="A49" s="367">
        <v>730007</v>
      </c>
      <c r="B49" s="11" t="s">
        <v>5</v>
      </c>
      <c r="C49" s="56" t="s">
        <v>2384</v>
      </c>
      <c r="D49" s="10" t="s">
        <v>2002</v>
      </c>
      <c r="E49" s="12" t="s">
        <v>2003</v>
      </c>
      <c r="F49" s="16" t="s">
        <v>2006</v>
      </c>
      <c r="G49" s="10" t="s">
        <v>30</v>
      </c>
      <c r="H49" s="10" t="s">
        <v>132</v>
      </c>
      <c r="I49" s="16" t="s">
        <v>3</v>
      </c>
      <c r="J49" s="53">
        <v>45672</v>
      </c>
      <c r="K49" s="13" t="s">
        <v>2007</v>
      </c>
      <c r="L49" s="53">
        <f t="shared" ref="L49:L55" si="9">J49+7</f>
        <v>45679</v>
      </c>
      <c r="M49" s="53">
        <v>45686</v>
      </c>
      <c r="N49" s="92">
        <f>M49-L49</f>
        <v>7</v>
      </c>
      <c r="O49" s="10" t="s">
        <v>2021</v>
      </c>
      <c r="P49" s="16" t="s">
        <v>3</v>
      </c>
      <c r="Q49" s="21">
        <v>45709</v>
      </c>
      <c r="R49" s="10" t="s">
        <v>2560</v>
      </c>
      <c r="S49" s="21">
        <f t="shared" si="7"/>
        <v>45716</v>
      </c>
      <c r="T49" s="21">
        <v>45718</v>
      </c>
      <c r="U49" s="92">
        <f t="shared" si="8"/>
        <v>2</v>
      </c>
      <c r="V49" s="10" t="s">
        <v>2581</v>
      </c>
      <c r="W49" s="10" t="s">
        <v>3</v>
      </c>
      <c r="X49" s="21">
        <v>45783</v>
      </c>
      <c r="Y49" s="10" t="s">
        <v>3205</v>
      </c>
      <c r="Z49" s="21">
        <f>X49+7</f>
        <v>45790</v>
      </c>
      <c r="AA49" s="21">
        <v>45788</v>
      </c>
      <c r="AB49" s="95">
        <f>AA49-Z49</f>
        <v>-2</v>
      </c>
      <c r="AC49" s="10" t="s">
        <v>3218</v>
      </c>
      <c r="AD49" s="10" t="s">
        <v>3</v>
      </c>
      <c r="AE49" s="21">
        <v>45812</v>
      </c>
      <c r="AF49" s="150" t="s">
        <v>3477</v>
      </c>
      <c r="AG49" s="21">
        <f>AE49+7</f>
        <v>45819</v>
      </c>
      <c r="AH49" s="21">
        <v>45830</v>
      </c>
      <c r="AI49" s="95">
        <f>AH49-AG49</f>
        <v>11</v>
      </c>
      <c r="AJ49" s="151" t="s">
        <v>3474</v>
      </c>
      <c r="AK49" s="10" t="s">
        <v>18</v>
      </c>
      <c r="AL49" s="17">
        <v>45840</v>
      </c>
      <c r="AM49" s="150" t="s">
        <v>3585</v>
      </c>
      <c r="AN49" s="21">
        <f>AL49+7</f>
        <v>45847</v>
      </c>
      <c r="AO49" s="17">
        <v>45853</v>
      </c>
      <c r="AP49" s="95">
        <f>AO49-AN49</f>
        <v>6</v>
      </c>
      <c r="AQ49" s="151" t="s">
        <v>3587</v>
      </c>
      <c r="AR49" s="17" t="s">
        <v>5</v>
      </c>
      <c r="AS49" s="17">
        <v>46054</v>
      </c>
      <c r="AT49" s="17" t="s">
        <v>5712</v>
      </c>
      <c r="AU49" s="21">
        <f>AS49+7</f>
        <v>46061</v>
      </c>
      <c r="AV49" s="17">
        <v>46064</v>
      </c>
      <c r="AW49" s="95">
        <f>AV49-AU49</f>
        <v>3</v>
      </c>
      <c r="AX49" s="17" t="s">
        <v>5740</v>
      </c>
      <c r="AY49" s="17"/>
      <c r="AZ49" s="17"/>
      <c r="BA49" s="17"/>
      <c r="BB49" s="17"/>
      <c r="BC49" s="17"/>
      <c r="BD49" s="17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440"/>
    </row>
    <row r="50" spans="1:79" s="381" customFormat="1" ht="42" customHeight="1" x14ac:dyDescent="0.25">
      <c r="A50" s="367">
        <v>730007</v>
      </c>
      <c r="B50" s="11" t="s">
        <v>5</v>
      </c>
      <c r="C50" s="56" t="s">
        <v>6025</v>
      </c>
      <c r="D50" s="10" t="s">
        <v>2004</v>
      </c>
      <c r="E50" s="12" t="s">
        <v>2005</v>
      </c>
      <c r="F50" s="16" t="s">
        <v>2008</v>
      </c>
      <c r="G50" s="10" t="s">
        <v>30</v>
      </c>
      <c r="H50" s="10" t="s">
        <v>132</v>
      </c>
      <c r="I50" s="16" t="s">
        <v>3</v>
      </c>
      <c r="J50" s="53">
        <v>45672</v>
      </c>
      <c r="K50" s="13" t="s">
        <v>2009</v>
      </c>
      <c r="L50" s="53">
        <f t="shared" si="9"/>
        <v>45679</v>
      </c>
      <c r="M50" s="53">
        <v>45685</v>
      </c>
      <c r="N50" s="92">
        <f t="shared" si="6"/>
        <v>6</v>
      </c>
      <c r="O50" s="10" t="s">
        <v>2022</v>
      </c>
      <c r="P50" s="16" t="s">
        <v>3</v>
      </c>
      <c r="Q50" s="21">
        <v>45689</v>
      </c>
      <c r="R50" s="10" t="s">
        <v>2264</v>
      </c>
      <c r="S50" s="21">
        <f t="shared" si="7"/>
        <v>45696</v>
      </c>
      <c r="T50" s="21">
        <v>45694</v>
      </c>
      <c r="U50" s="92">
        <f t="shared" si="8"/>
        <v>-2</v>
      </c>
      <c r="V50" s="10" t="s">
        <v>2280</v>
      </c>
      <c r="W50" s="10" t="s">
        <v>18</v>
      </c>
      <c r="X50" s="21">
        <v>45700</v>
      </c>
      <c r="Y50" s="10" t="s">
        <v>2438</v>
      </c>
      <c r="Z50" s="21">
        <f>X50+7</f>
        <v>45707</v>
      </c>
      <c r="AA50" s="21">
        <v>45705</v>
      </c>
      <c r="AB50" s="95">
        <f>AA50-Z50</f>
        <v>-2</v>
      </c>
      <c r="AC50" s="10" t="s">
        <v>2443</v>
      </c>
      <c r="AD50" s="10" t="s">
        <v>18</v>
      </c>
      <c r="AE50" s="21">
        <v>45812</v>
      </c>
      <c r="AF50" s="150" t="s">
        <v>3483</v>
      </c>
      <c r="AG50" s="21">
        <f>AE50+7</f>
        <v>45819</v>
      </c>
      <c r="AH50" s="21">
        <v>45830</v>
      </c>
      <c r="AI50" s="95">
        <f>AH50-AG50</f>
        <v>11</v>
      </c>
      <c r="AJ50" s="151" t="s">
        <v>3485</v>
      </c>
      <c r="AK50" s="10" t="s">
        <v>18</v>
      </c>
      <c r="AL50" s="17">
        <v>45841</v>
      </c>
      <c r="AM50" s="150" t="s">
        <v>3589</v>
      </c>
      <c r="AN50" s="21">
        <f>AL50+7</f>
        <v>45848</v>
      </c>
      <c r="AO50" s="17">
        <v>45853</v>
      </c>
      <c r="AP50" s="95">
        <f>AO50-AN50</f>
        <v>5</v>
      </c>
      <c r="AQ50" s="151" t="s">
        <v>3588</v>
      </c>
      <c r="AR50" s="17" t="s">
        <v>18</v>
      </c>
      <c r="AS50" s="17">
        <v>45953</v>
      </c>
      <c r="AT50" s="17" t="s">
        <v>4580</v>
      </c>
      <c r="AU50" s="21">
        <f>AS50+7</f>
        <v>45960</v>
      </c>
      <c r="AV50" s="17">
        <v>45964</v>
      </c>
      <c r="AW50" s="95">
        <f>AV50-AU50</f>
        <v>4</v>
      </c>
      <c r="AX50" s="17" t="s">
        <v>4591</v>
      </c>
      <c r="AY50" s="17" t="s">
        <v>18</v>
      </c>
      <c r="AZ50" s="17">
        <v>45978</v>
      </c>
      <c r="BA50" s="17" t="s">
        <v>4951</v>
      </c>
      <c r="BB50" s="21">
        <f>AZ50+7</f>
        <v>45985</v>
      </c>
      <c r="BC50" s="17">
        <v>45984</v>
      </c>
      <c r="BD50" s="95">
        <f>BC50-BB50</f>
        <v>-1</v>
      </c>
      <c r="BE50" s="11" t="s">
        <v>4956</v>
      </c>
      <c r="BF50" s="11" t="s">
        <v>18</v>
      </c>
      <c r="BG50" s="17">
        <v>46023</v>
      </c>
      <c r="BH50" s="11" t="s">
        <v>5440</v>
      </c>
      <c r="BI50" s="21">
        <f>BG50+7</f>
        <v>46030</v>
      </c>
      <c r="BJ50" s="17">
        <v>46033</v>
      </c>
      <c r="BK50" s="95">
        <f>BJ50-BI50</f>
        <v>3</v>
      </c>
      <c r="BL50" s="11" t="s">
        <v>5442</v>
      </c>
      <c r="BM50" s="11" t="s">
        <v>18</v>
      </c>
      <c r="BN50" s="17">
        <v>46053</v>
      </c>
      <c r="BO50" s="11" t="s">
        <v>5704</v>
      </c>
      <c r="BP50" s="21">
        <f>BN50+7</f>
        <v>46060</v>
      </c>
      <c r="BQ50" s="17">
        <v>46063</v>
      </c>
      <c r="BR50" s="95">
        <f>BQ50-BP50</f>
        <v>3</v>
      </c>
      <c r="BS50" s="11" t="s">
        <v>5726</v>
      </c>
      <c r="BT50" s="11" t="s">
        <v>5</v>
      </c>
      <c r="BU50" s="17">
        <v>46093</v>
      </c>
      <c r="BV50" s="11" t="s">
        <v>6027</v>
      </c>
      <c r="BW50" s="21">
        <f>BU50+7</f>
        <v>46100</v>
      </c>
      <c r="BX50" s="17">
        <v>46106</v>
      </c>
      <c r="BY50" s="95">
        <f>BX50-BW50</f>
        <v>6</v>
      </c>
      <c r="BZ50" s="11" t="s">
        <v>6034</v>
      </c>
      <c r="CA50" s="440"/>
    </row>
    <row r="51" spans="1:79" s="381" customFormat="1" ht="42" customHeight="1" x14ac:dyDescent="0.25">
      <c r="A51" s="367">
        <v>730007</v>
      </c>
      <c r="B51" s="11" t="s">
        <v>5</v>
      </c>
      <c r="C51" s="56" t="s">
        <v>208</v>
      </c>
      <c r="D51" s="10" t="s">
        <v>2124</v>
      </c>
      <c r="E51" s="12" t="s">
        <v>2123</v>
      </c>
      <c r="F51" s="16" t="s">
        <v>2126</v>
      </c>
      <c r="G51" s="10" t="s">
        <v>30</v>
      </c>
      <c r="H51" s="10" t="s">
        <v>132</v>
      </c>
      <c r="I51" s="16" t="s">
        <v>18</v>
      </c>
      <c r="J51" s="53">
        <v>45681</v>
      </c>
      <c r="K51" s="13" t="s">
        <v>2125</v>
      </c>
      <c r="L51" s="53">
        <f t="shared" si="9"/>
        <v>45688</v>
      </c>
      <c r="M51" s="53">
        <v>45686</v>
      </c>
      <c r="N51" s="92">
        <f t="shared" si="6"/>
        <v>-2</v>
      </c>
      <c r="O51" s="10" t="s">
        <v>2141</v>
      </c>
      <c r="P51" s="10" t="s">
        <v>5</v>
      </c>
      <c r="Q51" s="21">
        <v>45709</v>
      </c>
      <c r="R51" s="10" t="s">
        <v>2562</v>
      </c>
      <c r="S51" s="21">
        <f t="shared" si="7"/>
        <v>45716</v>
      </c>
      <c r="T51" s="21">
        <v>45717</v>
      </c>
      <c r="U51" s="92">
        <f t="shared" si="8"/>
        <v>1</v>
      </c>
      <c r="V51" s="10" t="s">
        <v>2582</v>
      </c>
      <c r="W51" s="10"/>
      <c r="X51" s="21"/>
      <c r="Y51" s="10"/>
      <c r="Z51" s="10"/>
      <c r="AA51" s="21"/>
      <c r="AB51" s="95"/>
      <c r="AC51" s="10"/>
      <c r="AD51" s="10"/>
      <c r="AE51" s="21"/>
      <c r="AF51" s="10"/>
      <c r="AG51" s="10"/>
      <c r="AH51" s="21"/>
      <c r="AI51" s="95"/>
      <c r="AJ51" s="10"/>
      <c r="AK51" s="10"/>
      <c r="AL51" s="17"/>
      <c r="AM51" s="11"/>
      <c r="AN51" s="11"/>
      <c r="AO51" s="17"/>
      <c r="AP51" s="123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440"/>
    </row>
    <row r="52" spans="1:79" s="381" customFormat="1" ht="42" customHeight="1" x14ac:dyDescent="0.25">
      <c r="A52" s="367">
        <v>730007</v>
      </c>
      <c r="B52" s="11" t="s">
        <v>5</v>
      </c>
      <c r="C52" s="56" t="s">
        <v>208</v>
      </c>
      <c r="D52" s="10" t="s">
        <v>2160</v>
      </c>
      <c r="E52" s="12" t="s">
        <v>2159</v>
      </c>
      <c r="F52" s="16" t="s">
        <v>2161</v>
      </c>
      <c r="G52" s="10" t="s">
        <v>30</v>
      </c>
      <c r="H52" s="10" t="s">
        <v>132</v>
      </c>
      <c r="I52" s="16" t="s">
        <v>3</v>
      </c>
      <c r="J52" s="53">
        <v>45683</v>
      </c>
      <c r="K52" s="13" t="s">
        <v>2162</v>
      </c>
      <c r="L52" s="53">
        <f t="shared" si="9"/>
        <v>45690</v>
      </c>
      <c r="M52" s="53">
        <v>45694</v>
      </c>
      <c r="N52" s="92">
        <f t="shared" si="6"/>
        <v>4</v>
      </c>
      <c r="O52" s="10" t="s">
        <v>2169</v>
      </c>
      <c r="P52" s="10" t="s">
        <v>5</v>
      </c>
      <c r="Q52" s="21">
        <v>45756</v>
      </c>
      <c r="R52" s="10" t="s">
        <v>2961</v>
      </c>
      <c r="S52" s="21">
        <f t="shared" si="7"/>
        <v>45763</v>
      </c>
      <c r="T52" s="21">
        <v>45767</v>
      </c>
      <c r="U52" s="95">
        <f t="shared" si="8"/>
        <v>4</v>
      </c>
      <c r="V52" s="10" t="s">
        <v>2963</v>
      </c>
      <c r="W52" s="10"/>
      <c r="X52" s="21"/>
      <c r="Y52" s="10"/>
      <c r="Z52" s="10"/>
      <c r="AA52" s="21"/>
      <c r="AB52" s="95"/>
      <c r="AC52" s="10"/>
      <c r="AD52" s="10"/>
      <c r="AE52" s="21"/>
      <c r="AF52" s="10"/>
      <c r="AG52" s="10"/>
      <c r="AH52" s="21"/>
      <c r="AI52" s="95"/>
      <c r="AJ52" s="10"/>
      <c r="AK52" s="10"/>
      <c r="AL52" s="17"/>
      <c r="AM52" s="11"/>
      <c r="AN52" s="11"/>
      <c r="AO52" s="17"/>
      <c r="AP52" s="123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440"/>
    </row>
    <row r="53" spans="1:79" s="381" customFormat="1" ht="42" customHeight="1" x14ac:dyDescent="0.25">
      <c r="A53" s="367">
        <v>730007</v>
      </c>
      <c r="B53" s="11" t="s">
        <v>18</v>
      </c>
      <c r="C53" s="56" t="s">
        <v>588</v>
      </c>
      <c r="D53" s="10" t="s">
        <v>2186</v>
      </c>
      <c r="E53" s="12" t="s">
        <v>2187</v>
      </c>
      <c r="F53" s="16" t="s">
        <v>2188</v>
      </c>
      <c r="G53" s="10" t="s">
        <v>30</v>
      </c>
      <c r="H53" s="10" t="s">
        <v>132</v>
      </c>
      <c r="I53" s="16" t="s">
        <v>18</v>
      </c>
      <c r="J53" s="53">
        <v>45686</v>
      </c>
      <c r="K53" s="13" t="s">
        <v>2189</v>
      </c>
      <c r="L53" s="53">
        <f t="shared" si="9"/>
        <v>45693</v>
      </c>
      <c r="M53" s="53">
        <v>45700</v>
      </c>
      <c r="N53" s="92">
        <f t="shared" si="6"/>
        <v>7</v>
      </c>
      <c r="O53" s="10" t="s">
        <v>2223</v>
      </c>
      <c r="P53" s="10" t="s">
        <v>18</v>
      </c>
      <c r="Q53" s="21">
        <v>45733</v>
      </c>
      <c r="R53" s="10" t="s">
        <v>2820</v>
      </c>
      <c r="S53" s="21">
        <f t="shared" si="7"/>
        <v>45740</v>
      </c>
      <c r="T53" s="21">
        <v>45753</v>
      </c>
      <c r="U53" s="92">
        <f t="shared" si="8"/>
        <v>13</v>
      </c>
      <c r="V53" s="10" t="s">
        <v>2825</v>
      </c>
      <c r="W53" s="10" t="s">
        <v>18</v>
      </c>
      <c r="X53" s="21">
        <v>45759</v>
      </c>
      <c r="Y53" s="10" t="s">
        <v>2965</v>
      </c>
      <c r="Z53" s="21">
        <f>X53+7</f>
        <v>45766</v>
      </c>
      <c r="AA53" s="21">
        <v>45768</v>
      </c>
      <c r="AB53" s="95">
        <f>AA53-Z53</f>
        <v>2</v>
      </c>
      <c r="AC53" s="10" t="s">
        <v>2969</v>
      </c>
      <c r="AD53" s="10"/>
      <c r="AE53" s="21"/>
      <c r="AF53" s="10"/>
      <c r="AG53" s="10"/>
      <c r="AH53" s="21"/>
      <c r="AI53" s="95"/>
      <c r="AJ53" s="10"/>
      <c r="AK53" s="10"/>
      <c r="AL53" s="17"/>
      <c r="AM53" s="11"/>
      <c r="AN53" s="11"/>
      <c r="AO53" s="17"/>
      <c r="AP53" s="123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440"/>
    </row>
    <row r="54" spans="1:79" s="381" customFormat="1" ht="42" customHeight="1" x14ac:dyDescent="0.25">
      <c r="A54" s="367">
        <v>730007</v>
      </c>
      <c r="B54" s="11" t="s">
        <v>3</v>
      </c>
      <c r="C54" s="56" t="s">
        <v>588</v>
      </c>
      <c r="D54" s="10" t="s">
        <v>2502</v>
      </c>
      <c r="E54" s="12" t="s">
        <v>2503</v>
      </c>
      <c r="F54" s="16" t="s">
        <v>2504</v>
      </c>
      <c r="G54" s="10" t="s">
        <v>30</v>
      </c>
      <c r="H54" s="10" t="s">
        <v>132</v>
      </c>
      <c r="I54" s="16" t="s">
        <v>3</v>
      </c>
      <c r="J54" s="53">
        <v>45706</v>
      </c>
      <c r="K54" s="13" t="s">
        <v>2505</v>
      </c>
      <c r="L54" s="53">
        <f t="shared" si="9"/>
        <v>45713</v>
      </c>
      <c r="M54" s="53">
        <v>45718</v>
      </c>
      <c r="N54" s="92">
        <f t="shared" si="6"/>
        <v>5</v>
      </c>
      <c r="O54" s="10" t="s">
        <v>2527</v>
      </c>
      <c r="P54" s="10" t="s">
        <v>3</v>
      </c>
      <c r="Q54" s="21">
        <v>45750</v>
      </c>
      <c r="R54" s="10" t="s">
        <v>2938</v>
      </c>
      <c r="S54" s="21">
        <f t="shared" si="7"/>
        <v>45757</v>
      </c>
      <c r="T54" s="21">
        <v>45757</v>
      </c>
      <c r="U54" s="92">
        <f t="shared" si="8"/>
        <v>0</v>
      </c>
      <c r="V54" s="10" t="s">
        <v>2941</v>
      </c>
      <c r="W54" s="10" t="s">
        <v>3</v>
      </c>
      <c r="X54" s="21">
        <v>45759</v>
      </c>
      <c r="Y54" s="10" t="s">
        <v>2966</v>
      </c>
      <c r="Z54" s="21">
        <f>X54+7</f>
        <v>45766</v>
      </c>
      <c r="AA54" s="21">
        <v>45768</v>
      </c>
      <c r="AB54" s="95">
        <f>AA54-Z54</f>
        <v>2</v>
      </c>
      <c r="AC54" s="10" t="s">
        <v>2970</v>
      </c>
      <c r="AD54" s="10"/>
      <c r="AE54" s="21"/>
      <c r="AF54" s="10"/>
      <c r="AG54" s="10"/>
      <c r="AH54" s="21"/>
      <c r="AI54" s="95"/>
      <c r="AJ54" s="10"/>
      <c r="AK54" s="10"/>
      <c r="AL54" s="17"/>
      <c r="AM54" s="11"/>
      <c r="AN54" s="11"/>
      <c r="AO54" s="17"/>
      <c r="AP54" s="123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440"/>
    </row>
    <row r="55" spans="1:79" s="381" customFormat="1" ht="42" customHeight="1" x14ac:dyDescent="0.25">
      <c r="A55" s="367">
        <v>730007</v>
      </c>
      <c r="B55" s="58" t="s">
        <v>508</v>
      </c>
      <c r="C55" s="56" t="s">
        <v>627</v>
      </c>
      <c r="D55" s="10" t="s">
        <v>2734</v>
      </c>
      <c r="E55" s="12" t="s">
        <v>2735</v>
      </c>
      <c r="F55" s="16" t="s">
        <v>2736</v>
      </c>
      <c r="G55" s="10" t="s">
        <v>30</v>
      </c>
      <c r="H55" s="10" t="s">
        <v>132</v>
      </c>
      <c r="I55" s="16" t="s">
        <v>18</v>
      </c>
      <c r="J55" s="53">
        <v>45726</v>
      </c>
      <c r="K55" s="13" t="s">
        <v>2737</v>
      </c>
      <c r="L55" s="53">
        <f t="shared" si="9"/>
        <v>45733</v>
      </c>
      <c r="M55" s="53">
        <v>45739</v>
      </c>
      <c r="N55" s="92">
        <f t="shared" si="6"/>
        <v>6</v>
      </c>
      <c r="O55" s="10" t="s">
        <v>2758</v>
      </c>
      <c r="P55" s="10" t="s">
        <v>3</v>
      </c>
      <c r="Q55" s="21">
        <v>45781</v>
      </c>
      <c r="R55" s="10" t="s">
        <v>3170</v>
      </c>
      <c r="S55" s="21">
        <f>Q55+7</f>
        <v>45788</v>
      </c>
      <c r="T55" s="21">
        <v>45790</v>
      </c>
      <c r="U55" s="95">
        <f t="shared" si="8"/>
        <v>2</v>
      </c>
      <c r="V55" s="10" t="s">
        <v>3182</v>
      </c>
      <c r="W55" s="193" t="s">
        <v>508</v>
      </c>
      <c r="X55" s="21">
        <v>45824</v>
      </c>
      <c r="Y55" s="150" t="s">
        <v>3504</v>
      </c>
      <c r="Z55" s="10"/>
      <c r="AA55" s="21"/>
      <c r="AB55" s="95"/>
      <c r="AC55" s="10"/>
      <c r="AD55" s="10"/>
      <c r="AE55" s="21"/>
      <c r="AF55" s="10"/>
      <c r="AG55" s="10"/>
      <c r="AH55" s="21"/>
      <c r="AI55" s="95"/>
      <c r="AJ55" s="10"/>
      <c r="AK55" s="10"/>
      <c r="AL55" s="17"/>
      <c r="AM55" s="11"/>
      <c r="AN55" s="11"/>
      <c r="AO55" s="17"/>
      <c r="AP55" s="123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440"/>
    </row>
    <row r="56" spans="1:79" s="381" customFormat="1" ht="42" customHeight="1" x14ac:dyDescent="0.25">
      <c r="A56" s="367">
        <v>730007</v>
      </c>
      <c r="B56" s="58" t="s">
        <v>508</v>
      </c>
      <c r="C56" s="56" t="s">
        <v>627</v>
      </c>
      <c r="D56" s="10" t="s">
        <v>2779</v>
      </c>
      <c r="E56" s="12" t="s">
        <v>2780</v>
      </c>
      <c r="F56" s="16" t="s">
        <v>2781</v>
      </c>
      <c r="G56" s="10" t="s">
        <v>30</v>
      </c>
      <c r="H56" s="10" t="s">
        <v>132</v>
      </c>
      <c r="I56" s="16" t="s">
        <v>3</v>
      </c>
      <c r="J56" s="53">
        <v>45728</v>
      </c>
      <c r="K56" s="13" t="s">
        <v>2782</v>
      </c>
      <c r="L56" s="53">
        <f t="shared" ref="L56:L62" si="10">J56+7</f>
        <v>45735</v>
      </c>
      <c r="M56" s="53">
        <v>45741</v>
      </c>
      <c r="N56" s="92">
        <f t="shared" si="6"/>
        <v>6</v>
      </c>
      <c r="O56" s="10" t="s">
        <v>2788</v>
      </c>
      <c r="P56" s="63" t="s">
        <v>508</v>
      </c>
      <c r="Q56" s="21">
        <v>45824</v>
      </c>
      <c r="R56" s="150" t="s">
        <v>3504</v>
      </c>
      <c r="S56" s="10"/>
      <c r="T56" s="21"/>
      <c r="U56" s="95"/>
      <c r="V56" s="10"/>
      <c r="W56" s="10"/>
      <c r="X56" s="21"/>
      <c r="Y56" s="10"/>
      <c r="Z56" s="10"/>
      <c r="AA56" s="21"/>
      <c r="AB56" s="95"/>
      <c r="AC56" s="10"/>
      <c r="AD56" s="10"/>
      <c r="AE56" s="21"/>
      <c r="AF56" s="10"/>
      <c r="AG56" s="10"/>
      <c r="AH56" s="21"/>
      <c r="AI56" s="95"/>
      <c r="AJ56" s="10"/>
      <c r="AK56" s="10"/>
      <c r="AL56" s="17"/>
      <c r="AM56" s="11"/>
      <c r="AN56" s="11"/>
      <c r="AO56" s="17"/>
      <c r="AP56" s="123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440"/>
    </row>
    <row r="57" spans="1:79" s="381" customFormat="1" ht="42" customHeight="1" x14ac:dyDescent="0.25">
      <c r="A57" s="367">
        <v>730007</v>
      </c>
      <c r="B57" s="11" t="s">
        <v>18</v>
      </c>
      <c r="C57" s="56" t="s">
        <v>4883</v>
      </c>
      <c r="D57" s="10" t="s">
        <v>2914</v>
      </c>
      <c r="E57" s="12" t="s">
        <v>2915</v>
      </c>
      <c r="F57" s="16" t="s">
        <v>2916</v>
      </c>
      <c r="G57" s="10" t="s">
        <v>30</v>
      </c>
      <c r="H57" s="10" t="s">
        <v>132</v>
      </c>
      <c r="I57" s="16" t="s">
        <v>18</v>
      </c>
      <c r="J57" s="53">
        <v>45741</v>
      </c>
      <c r="K57" s="13" t="s">
        <v>2917</v>
      </c>
      <c r="L57" s="53">
        <f t="shared" si="10"/>
        <v>45748</v>
      </c>
      <c r="M57" s="53">
        <v>45767</v>
      </c>
      <c r="N57" s="92">
        <f t="shared" si="6"/>
        <v>19</v>
      </c>
      <c r="O57" s="10" t="s">
        <v>2920</v>
      </c>
      <c r="P57" s="10" t="s">
        <v>3</v>
      </c>
      <c r="Q57" s="21">
        <v>45786</v>
      </c>
      <c r="R57" s="10" t="s">
        <v>3244</v>
      </c>
      <c r="S57" s="21">
        <f>Q57+7</f>
        <v>45793</v>
      </c>
      <c r="T57" s="21">
        <v>45797</v>
      </c>
      <c r="U57" s="92">
        <f t="shared" ref="U57:U64" si="11">T57-S57</f>
        <v>4</v>
      </c>
      <c r="V57" s="10" t="s">
        <v>3252</v>
      </c>
      <c r="W57" s="10" t="s">
        <v>3</v>
      </c>
      <c r="X57" s="21">
        <v>45810</v>
      </c>
      <c r="Y57" s="150" t="s">
        <v>3433</v>
      </c>
      <c r="Z57" s="21">
        <f>X57+7</f>
        <v>45817</v>
      </c>
      <c r="AA57" s="21">
        <v>45823</v>
      </c>
      <c r="AB57" s="95">
        <f>AA57-Z57</f>
        <v>6</v>
      </c>
      <c r="AC57" s="10" t="s">
        <v>3434</v>
      </c>
      <c r="AD57" s="11" t="s">
        <v>3</v>
      </c>
      <c r="AE57" s="21">
        <v>45841</v>
      </c>
      <c r="AF57" s="150" t="s">
        <v>3592</v>
      </c>
      <c r="AG57" s="21">
        <f>AE57+7</f>
        <v>45848</v>
      </c>
      <c r="AH57" s="21">
        <v>45853</v>
      </c>
      <c r="AI57" s="95">
        <f>AH57-AG57</f>
        <v>5</v>
      </c>
      <c r="AJ57" s="10" t="s">
        <v>3594</v>
      </c>
      <c r="AK57" s="10" t="s">
        <v>18</v>
      </c>
      <c r="AL57" s="17">
        <v>46008</v>
      </c>
      <c r="AM57" s="11" t="s">
        <v>5334</v>
      </c>
      <c r="AN57" s="21">
        <f>AL57+7</f>
        <v>46015</v>
      </c>
      <c r="AO57" s="17">
        <v>46016</v>
      </c>
      <c r="AP57" s="95">
        <f>AO57-AN57</f>
        <v>1</v>
      </c>
      <c r="AQ57" s="17" t="s">
        <v>5347</v>
      </c>
      <c r="AR57" s="17" t="s">
        <v>18</v>
      </c>
      <c r="AS57" s="17">
        <v>46141</v>
      </c>
      <c r="AT57" s="17" t="s">
        <v>6592</v>
      </c>
      <c r="AU57" s="21">
        <f>AS57+7</f>
        <v>46148</v>
      </c>
      <c r="AV57" s="17">
        <v>46153</v>
      </c>
      <c r="AW57" s="95">
        <f>AV57-AU57</f>
        <v>5</v>
      </c>
      <c r="AX57" s="17" t="s">
        <v>6610</v>
      </c>
      <c r="AY57" s="17" t="s">
        <v>18</v>
      </c>
      <c r="AZ57" s="17">
        <v>46225</v>
      </c>
      <c r="BA57" s="150" t="s">
        <v>7322</v>
      </c>
      <c r="BB57" s="21">
        <f>AZ57+7</f>
        <v>46232</v>
      </c>
      <c r="BC57" s="439">
        <v>46236</v>
      </c>
      <c r="BD57" s="95">
        <f>BC57-BB57</f>
        <v>4</v>
      </c>
      <c r="BE57" s="151" t="s">
        <v>7323</v>
      </c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440"/>
    </row>
    <row r="58" spans="1:79" s="381" customFormat="1" ht="42" customHeight="1" x14ac:dyDescent="0.25">
      <c r="A58" s="367">
        <v>730007</v>
      </c>
      <c r="B58" s="58" t="s">
        <v>508</v>
      </c>
      <c r="C58" s="56" t="s">
        <v>627</v>
      </c>
      <c r="D58" s="10" t="s">
        <v>3047</v>
      </c>
      <c r="E58" s="12" t="s">
        <v>3048</v>
      </c>
      <c r="F58" s="16" t="s">
        <v>3049</v>
      </c>
      <c r="G58" s="10" t="s">
        <v>30</v>
      </c>
      <c r="H58" s="10" t="s">
        <v>132</v>
      </c>
      <c r="I58" s="16" t="s">
        <v>3</v>
      </c>
      <c r="J58" s="53">
        <v>45768</v>
      </c>
      <c r="K58" s="13" t="s">
        <v>3054</v>
      </c>
      <c r="L58" s="53">
        <f t="shared" si="10"/>
        <v>45775</v>
      </c>
      <c r="M58" s="53">
        <v>45778</v>
      </c>
      <c r="N58" s="92">
        <f t="shared" si="6"/>
        <v>3</v>
      </c>
      <c r="O58" s="10" t="s">
        <v>3062</v>
      </c>
      <c r="P58" s="10" t="s">
        <v>508</v>
      </c>
      <c r="Q58" s="21">
        <v>45921</v>
      </c>
      <c r="R58" s="10" t="s">
        <v>4253</v>
      </c>
      <c r="S58" s="10" t="s">
        <v>626</v>
      </c>
      <c r="T58" s="21" t="s">
        <v>626</v>
      </c>
      <c r="U58" s="95" t="s">
        <v>626</v>
      </c>
      <c r="V58" s="10"/>
      <c r="W58" s="10"/>
      <c r="X58" s="21"/>
      <c r="Y58" s="10"/>
      <c r="Z58" s="10"/>
      <c r="AA58" s="21"/>
      <c r="AB58" s="95"/>
      <c r="AC58" s="10"/>
      <c r="AD58" s="10"/>
      <c r="AE58" s="21"/>
      <c r="AF58" s="10"/>
      <c r="AG58" s="10"/>
      <c r="AH58" s="21"/>
      <c r="AI58" s="95"/>
      <c r="AJ58" s="10"/>
      <c r="AK58" s="10"/>
      <c r="AL58" s="17"/>
      <c r="AM58" s="11"/>
      <c r="AN58" s="11"/>
      <c r="AO58" s="17"/>
      <c r="AP58" s="123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440"/>
    </row>
    <row r="59" spans="1:79" s="381" customFormat="1" ht="42" customHeight="1" x14ac:dyDescent="0.25">
      <c r="A59" s="367">
        <v>730007</v>
      </c>
      <c r="B59" s="11" t="s">
        <v>5</v>
      </c>
      <c r="C59" s="56" t="s">
        <v>588</v>
      </c>
      <c r="D59" s="10" t="s">
        <v>3186</v>
      </c>
      <c r="E59" s="12" t="s">
        <v>3187</v>
      </c>
      <c r="F59" s="16" t="s">
        <v>3188</v>
      </c>
      <c r="G59" s="10" t="s">
        <v>30</v>
      </c>
      <c r="H59" s="10" t="s">
        <v>132</v>
      </c>
      <c r="I59" s="16" t="s">
        <v>3</v>
      </c>
      <c r="J59" s="53">
        <v>45782</v>
      </c>
      <c r="K59" s="13" t="s">
        <v>3189</v>
      </c>
      <c r="L59" s="53">
        <f t="shared" si="10"/>
        <v>45789</v>
      </c>
      <c r="M59" s="53">
        <v>45790</v>
      </c>
      <c r="N59" s="92">
        <f t="shared" si="6"/>
        <v>1</v>
      </c>
      <c r="O59" s="10" t="s">
        <v>3194</v>
      </c>
      <c r="P59" s="10" t="s">
        <v>3</v>
      </c>
      <c r="Q59" s="21">
        <v>45794</v>
      </c>
      <c r="R59" s="10" t="s">
        <v>3298</v>
      </c>
      <c r="S59" s="21">
        <f t="shared" ref="S59:S67" si="12">Q59+7</f>
        <v>45801</v>
      </c>
      <c r="T59" s="21">
        <v>45802</v>
      </c>
      <c r="U59" s="92">
        <f t="shared" si="11"/>
        <v>1</v>
      </c>
      <c r="V59" s="10" t="s">
        <v>3308</v>
      </c>
      <c r="W59" s="10" t="s">
        <v>5</v>
      </c>
      <c r="X59" s="21">
        <v>45808</v>
      </c>
      <c r="Y59" s="10" t="s">
        <v>3414</v>
      </c>
      <c r="Z59" s="21">
        <f>X59+7</f>
        <v>45815</v>
      </c>
      <c r="AA59" s="21">
        <v>45823</v>
      </c>
      <c r="AB59" s="95">
        <f>AA59-Z59</f>
        <v>8</v>
      </c>
      <c r="AC59" s="10" t="s">
        <v>3428</v>
      </c>
      <c r="AD59" s="10"/>
      <c r="AE59" s="21"/>
      <c r="AF59" s="10"/>
      <c r="AG59" s="10"/>
      <c r="AH59" s="21"/>
      <c r="AI59" s="95"/>
      <c r="AJ59" s="10"/>
      <c r="AK59" s="10"/>
      <c r="AL59" s="17"/>
      <c r="AM59" s="11"/>
      <c r="AN59" s="11"/>
      <c r="AO59" s="17"/>
      <c r="AP59" s="123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440"/>
    </row>
    <row r="60" spans="1:79" s="381" customFormat="1" ht="42" customHeight="1" x14ac:dyDescent="0.25">
      <c r="A60" s="441" t="s">
        <v>3256</v>
      </c>
      <c r="B60" s="11" t="s">
        <v>5</v>
      </c>
      <c r="C60" s="56" t="s">
        <v>208</v>
      </c>
      <c r="D60" s="10" t="s">
        <v>3358</v>
      </c>
      <c r="E60" s="12" t="s">
        <v>3357</v>
      </c>
      <c r="F60" s="16" t="s">
        <v>4496</v>
      </c>
      <c r="G60" s="10" t="s">
        <v>30</v>
      </c>
      <c r="H60" s="10" t="s">
        <v>132</v>
      </c>
      <c r="I60" s="16" t="s">
        <v>18</v>
      </c>
      <c r="J60" s="53">
        <v>45803</v>
      </c>
      <c r="K60" s="13" t="s">
        <v>3361</v>
      </c>
      <c r="L60" s="53">
        <f t="shared" si="10"/>
        <v>45810</v>
      </c>
      <c r="M60" s="53" t="s">
        <v>3470</v>
      </c>
      <c r="N60" s="92">
        <f t="shared" si="6"/>
        <v>2</v>
      </c>
      <c r="O60" s="10" t="s">
        <v>3364</v>
      </c>
      <c r="P60" s="10" t="s">
        <v>5</v>
      </c>
      <c r="Q60" s="21">
        <v>45946</v>
      </c>
      <c r="R60" s="10" t="s">
        <v>4497</v>
      </c>
      <c r="S60" s="21">
        <f t="shared" si="12"/>
        <v>45953</v>
      </c>
      <c r="T60" s="21">
        <v>45950</v>
      </c>
      <c r="U60" s="92">
        <f t="shared" si="11"/>
        <v>-3</v>
      </c>
      <c r="V60" s="10" t="s">
        <v>4507</v>
      </c>
      <c r="W60" s="10"/>
      <c r="X60" s="21"/>
      <c r="Y60" s="10"/>
      <c r="Z60" s="10"/>
      <c r="AA60" s="21"/>
      <c r="AB60" s="95"/>
      <c r="AC60" s="10"/>
      <c r="AD60" s="10"/>
      <c r="AE60" s="21"/>
      <c r="AF60" s="10"/>
      <c r="AG60" s="10"/>
      <c r="AH60" s="21"/>
      <c r="AI60" s="95"/>
      <c r="AJ60" s="10"/>
      <c r="AK60" s="10"/>
      <c r="AL60" s="17"/>
      <c r="AM60" s="11"/>
      <c r="AN60" s="11"/>
      <c r="AO60" s="17"/>
      <c r="AP60" s="123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440"/>
    </row>
    <row r="61" spans="1:79" s="381" customFormat="1" ht="42" customHeight="1" x14ac:dyDescent="0.25">
      <c r="A61" s="442" t="s">
        <v>3256</v>
      </c>
      <c r="B61" s="11" t="s">
        <v>5</v>
      </c>
      <c r="C61" s="56" t="s">
        <v>2456</v>
      </c>
      <c r="D61" s="10" t="s">
        <v>3386</v>
      </c>
      <c r="E61" s="12" t="s">
        <v>3387</v>
      </c>
      <c r="F61" s="16" t="s">
        <v>3388</v>
      </c>
      <c r="G61" s="10" t="s">
        <v>30</v>
      </c>
      <c r="H61" s="10" t="s">
        <v>132</v>
      </c>
      <c r="I61" s="16" t="s">
        <v>3</v>
      </c>
      <c r="J61" s="53">
        <v>45805</v>
      </c>
      <c r="K61" s="13" t="s">
        <v>3389</v>
      </c>
      <c r="L61" s="53">
        <f t="shared" si="10"/>
        <v>45812</v>
      </c>
      <c r="M61" s="53">
        <v>45822</v>
      </c>
      <c r="N61" s="92">
        <f t="shared" si="6"/>
        <v>10</v>
      </c>
      <c r="O61" s="10" t="s">
        <v>3400</v>
      </c>
      <c r="P61" s="11" t="s">
        <v>3</v>
      </c>
      <c r="Q61" s="21">
        <v>45834</v>
      </c>
      <c r="R61" s="150" t="s">
        <v>3535</v>
      </c>
      <c r="S61" s="21">
        <f t="shared" si="12"/>
        <v>45841</v>
      </c>
      <c r="T61" s="21">
        <v>45851</v>
      </c>
      <c r="U61" s="92">
        <f t="shared" si="11"/>
        <v>10</v>
      </c>
      <c r="V61" s="10" t="s">
        <v>3540</v>
      </c>
      <c r="W61" s="10" t="s">
        <v>18</v>
      </c>
      <c r="X61" s="21">
        <v>45862</v>
      </c>
      <c r="Y61" s="150" t="s">
        <v>3788</v>
      </c>
      <c r="Z61" s="21">
        <f>X61+7</f>
        <v>45869</v>
      </c>
      <c r="AA61" s="21">
        <v>45865</v>
      </c>
      <c r="AB61" s="95">
        <f>AA61-Z61</f>
        <v>-4</v>
      </c>
      <c r="AC61" s="10" t="s">
        <v>3789</v>
      </c>
      <c r="AD61" s="10" t="s">
        <v>3</v>
      </c>
      <c r="AE61" s="21">
        <v>45875</v>
      </c>
      <c r="AF61" s="10" t="s">
        <v>3886</v>
      </c>
      <c r="AG61" s="21">
        <f>AE61+7</f>
        <v>45882</v>
      </c>
      <c r="AH61" s="21">
        <v>45882</v>
      </c>
      <c r="AI61" s="95">
        <f>AH61-AG61</f>
        <v>0</v>
      </c>
      <c r="AJ61" s="10" t="s">
        <v>3894</v>
      </c>
      <c r="AK61" s="10" t="s">
        <v>5</v>
      </c>
      <c r="AL61" s="17">
        <v>45887</v>
      </c>
      <c r="AM61" s="11" t="s">
        <v>3979</v>
      </c>
      <c r="AN61" s="21">
        <f>AL61+7</f>
        <v>45894</v>
      </c>
      <c r="AO61" s="17">
        <v>45893</v>
      </c>
      <c r="AP61" s="95">
        <f>AO61-AN61</f>
        <v>-1</v>
      </c>
      <c r="AQ61" s="17" t="s">
        <v>4002</v>
      </c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440"/>
    </row>
    <row r="62" spans="1:79" s="381" customFormat="1" ht="42" customHeight="1" x14ac:dyDescent="0.25">
      <c r="A62" s="442" t="s">
        <v>3256</v>
      </c>
      <c r="B62" s="11" t="s">
        <v>5</v>
      </c>
      <c r="C62" s="56" t="s">
        <v>4883</v>
      </c>
      <c r="D62" s="10" t="s">
        <v>3795</v>
      </c>
      <c r="E62" s="12" t="s">
        <v>3796</v>
      </c>
      <c r="F62" s="200" t="s">
        <v>3797</v>
      </c>
      <c r="G62" s="10" t="s">
        <v>30</v>
      </c>
      <c r="H62" s="10" t="s">
        <v>132</v>
      </c>
      <c r="I62" s="11" t="s">
        <v>3</v>
      </c>
      <c r="J62" s="53">
        <v>45864</v>
      </c>
      <c r="K62" s="150" t="s">
        <v>3798</v>
      </c>
      <c r="L62" s="53">
        <f t="shared" si="10"/>
        <v>45871</v>
      </c>
      <c r="M62" s="53">
        <v>45874</v>
      </c>
      <c r="N62" s="92">
        <f t="shared" si="6"/>
        <v>3</v>
      </c>
      <c r="O62" s="10" t="s">
        <v>3802</v>
      </c>
      <c r="P62" s="10" t="s">
        <v>3</v>
      </c>
      <c r="Q62" s="21">
        <v>45906</v>
      </c>
      <c r="R62" s="10" t="s">
        <v>4123</v>
      </c>
      <c r="S62" s="21">
        <f t="shared" si="12"/>
        <v>45913</v>
      </c>
      <c r="T62" s="21">
        <v>45914</v>
      </c>
      <c r="U62" s="92">
        <f t="shared" si="11"/>
        <v>1</v>
      </c>
      <c r="V62" s="10" t="s">
        <v>4130</v>
      </c>
      <c r="W62" s="11" t="s">
        <v>3</v>
      </c>
      <c r="X62" s="21">
        <v>45924</v>
      </c>
      <c r="Y62" s="10" t="s">
        <v>4295</v>
      </c>
      <c r="Z62" s="21">
        <f>X62+7</f>
        <v>45931</v>
      </c>
      <c r="AA62" s="21">
        <v>45930</v>
      </c>
      <c r="AB62" s="95">
        <f>AA62-Z62</f>
        <v>-1</v>
      </c>
      <c r="AC62" s="10" t="s">
        <v>4307</v>
      </c>
      <c r="AD62" s="10" t="s">
        <v>18</v>
      </c>
      <c r="AE62" s="21">
        <v>45937</v>
      </c>
      <c r="AF62" s="10" t="s">
        <v>4418</v>
      </c>
      <c r="AG62" s="21">
        <f>AE62+7</f>
        <v>45944</v>
      </c>
      <c r="AH62" s="21">
        <v>45953</v>
      </c>
      <c r="AI62" s="95">
        <f>AH62-AG62</f>
        <v>9</v>
      </c>
      <c r="AJ62" s="10" t="s">
        <v>4428</v>
      </c>
      <c r="AK62" s="10" t="s">
        <v>3</v>
      </c>
      <c r="AL62" s="17">
        <v>45965</v>
      </c>
      <c r="AM62" s="11" t="s">
        <v>4728</v>
      </c>
      <c r="AN62" s="21">
        <f>AL62+7</f>
        <v>45972</v>
      </c>
      <c r="AO62" s="17">
        <v>45970</v>
      </c>
      <c r="AP62" s="95">
        <f>AO62-AN62</f>
        <v>-2</v>
      </c>
      <c r="AQ62" s="17" t="s">
        <v>4729</v>
      </c>
      <c r="AR62" s="10" t="s">
        <v>18</v>
      </c>
      <c r="AS62" s="17">
        <v>45973</v>
      </c>
      <c r="AT62" s="17" t="s">
        <v>4873</v>
      </c>
      <c r="AU62" s="21">
        <f>AS62+7</f>
        <v>45980</v>
      </c>
      <c r="AV62" s="17">
        <v>45985</v>
      </c>
      <c r="AW62" s="95">
        <f>AV62-AU62</f>
        <v>5</v>
      </c>
      <c r="AX62" s="17" t="s">
        <v>4899</v>
      </c>
      <c r="AY62" s="17" t="s">
        <v>5</v>
      </c>
      <c r="AZ62" s="17">
        <v>46004</v>
      </c>
      <c r="BA62" s="17" t="s">
        <v>5194</v>
      </c>
      <c r="BB62" s="21">
        <f>AZ62+7</f>
        <v>46011</v>
      </c>
      <c r="BC62" s="17">
        <v>46014</v>
      </c>
      <c r="BD62" s="95">
        <f>BC62-BB62</f>
        <v>3</v>
      </c>
      <c r="BE62" s="11" t="s">
        <v>5216</v>
      </c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440"/>
    </row>
    <row r="63" spans="1:79" s="381" customFormat="1" ht="42" customHeight="1" x14ac:dyDescent="0.25">
      <c r="A63" s="442" t="s">
        <v>3256</v>
      </c>
      <c r="B63" s="11" t="s">
        <v>5</v>
      </c>
      <c r="C63" s="56" t="s">
        <v>2384</v>
      </c>
      <c r="D63" s="12" t="s">
        <v>4054</v>
      </c>
      <c r="E63" s="12" t="s">
        <v>4055</v>
      </c>
      <c r="F63" s="16" t="s">
        <v>4056</v>
      </c>
      <c r="G63" s="10" t="s">
        <v>30</v>
      </c>
      <c r="H63" s="10" t="s">
        <v>132</v>
      </c>
      <c r="I63" s="16" t="s">
        <v>3</v>
      </c>
      <c r="J63" s="53">
        <v>45897</v>
      </c>
      <c r="K63" s="13" t="s">
        <v>4057</v>
      </c>
      <c r="L63" s="53">
        <f t="shared" ref="L63:L73" si="13">J63+7</f>
        <v>45904</v>
      </c>
      <c r="M63" s="53">
        <v>45906</v>
      </c>
      <c r="N63" s="92">
        <f t="shared" si="6"/>
        <v>2</v>
      </c>
      <c r="O63" s="10" t="s">
        <v>4075</v>
      </c>
      <c r="P63" s="10" t="s">
        <v>18</v>
      </c>
      <c r="Q63" s="21">
        <v>45909</v>
      </c>
      <c r="R63" s="10" t="s">
        <v>4142</v>
      </c>
      <c r="S63" s="21">
        <f t="shared" si="12"/>
        <v>45916</v>
      </c>
      <c r="T63" s="21">
        <v>45915</v>
      </c>
      <c r="U63" s="92">
        <f t="shared" si="11"/>
        <v>-1</v>
      </c>
      <c r="V63" s="10" t="s">
        <v>4146</v>
      </c>
      <c r="W63" s="10" t="s">
        <v>18</v>
      </c>
      <c r="X63" s="21">
        <v>46107</v>
      </c>
      <c r="Y63" s="10" t="s">
        <v>6153</v>
      </c>
      <c r="Z63" s="21">
        <f>X63+7</f>
        <v>46114</v>
      </c>
      <c r="AA63" s="21">
        <v>46118</v>
      </c>
      <c r="AB63" s="95">
        <f>AA63-Z63</f>
        <v>4</v>
      </c>
      <c r="AC63" s="10" t="s">
        <v>6157</v>
      </c>
      <c r="AD63" s="10" t="s">
        <v>18</v>
      </c>
      <c r="AE63" s="21">
        <v>46190</v>
      </c>
      <c r="AF63" s="10" t="s">
        <v>7023</v>
      </c>
      <c r="AG63" s="21">
        <f>AE63+7</f>
        <v>46197</v>
      </c>
      <c r="AH63" s="21">
        <v>46202</v>
      </c>
      <c r="AI63" s="95">
        <f>AH63-AG63</f>
        <v>5</v>
      </c>
      <c r="AJ63" s="10" t="s">
        <v>7028</v>
      </c>
      <c r="AK63" s="10" t="s">
        <v>18</v>
      </c>
      <c r="AL63" s="17">
        <v>46202</v>
      </c>
      <c r="AM63" s="11" t="s">
        <v>7140</v>
      </c>
      <c r="AN63" s="21">
        <f>AL63+7</f>
        <v>46209</v>
      </c>
      <c r="AO63" s="17">
        <v>46215</v>
      </c>
      <c r="AP63" s="95">
        <f>AO63-AN63</f>
        <v>6</v>
      </c>
      <c r="AQ63" s="17" t="s">
        <v>7154</v>
      </c>
      <c r="AR63" s="17" t="s">
        <v>5</v>
      </c>
      <c r="AS63" s="17">
        <v>46216</v>
      </c>
      <c r="AT63" s="17" t="s">
        <v>7277</v>
      </c>
      <c r="AU63" s="21">
        <f>AS63+7</f>
        <v>46223</v>
      </c>
      <c r="AV63" s="17">
        <v>46218</v>
      </c>
      <c r="AW63" s="95">
        <f>AV63-AU63</f>
        <v>-5</v>
      </c>
      <c r="AX63" s="17" t="s">
        <v>7280</v>
      </c>
      <c r="AY63" s="17"/>
      <c r="AZ63" s="17"/>
      <c r="BA63" s="17"/>
      <c r="BB63" s="17"/>
      <c r="BC63" s="17"/>
      <c r="BD63" s="17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440"/>
    </row>
    <row r="64" spans="1:79" s="381" customFormat="1" ht="42" customHeight="1" x14ac:dyDescent="0.25">
      <c r="A64" s="442" t="s">
        <v>3256</v>
      </c>
      <c r="B64" s="11" t="s">
        <v>5</v>
      </c>
      <c r="C64" s="56" t="s">
        <v>208</v>
      </c>
      <c r="D64" s="12" t="s">
        <v>4202</v>
      </c>
      <c r="E64" s="12" t="s">
        <v>4204</v>
      </c>
      <c r="F64" s="16" t="s">
        <v>4203</v>
      </c>
      <c r="G64" s="10" t="s">
        <v>30</v>
      </c>
      <c r="H64" s="10" t="s">
        <v>132</v>
      </c>
      <c r="I64" s="16" t="s">
        <v>18</v>
      </c>
      <c r="J64" s="53">
        <v>45917</v>
      </c>
      <c r="K64" s="13" t="s">
        <v>4205</v>
      </c>
      <c r="L64" s="53">
        <f t="shared" si="13"/>
        <v>45924</v>
      </c>
      <c r="M64" s="53">
        <v>45928</v>
      </c>
      <c r="N64" s="92">
        <f t="shared" si="6"/>
        <v>4</v>
      </c>
      <c r="O64" s="10" t="s">
        <v>4221</v>
      </c>
      <c r="P64" s="10" t="s">
        <v>5</v>
      </c>
      <c r="Q64" s="21">
        <v>46135</v>
      </c>
      <c r="R64" s="10" t="s">
        <v>6506</v>
      </c>
      <c r="S64" s="21">
        <f t="shared" si="12"/>
        <v>46142</v>
      </c>
      <c r="T64" s="21">
        <v>46145</v>
      </c>
      <c r="U64" s="92">
        <f t="shared" si="11"/>
        <v>3</v>
      </c>
      <c r="V64" s="10" t="s">
        <v>6526</v>
      </c>
      <c r="W64" s="10"/>
      <c r="X64" s="21"/>
      <c r="Y64" s="10"/>
      <c r="Z64" s="10"/>
      <c r="AA64" s="21"/>
      <c r="AB64" s="95"/>
      <c r="AC64" s="10"/>
      <c r="AD64" s="10"/>
      <c r="AE64" s="21"/>
      <c r="AF64" s="10"/>
      <c r="AG64" s="10"/>
      <c r="AH64" s="21"/>
      <c r="AI64" s="95"/>
      <c r="AJ64" s="10"/>
      <c r="AK64" s="10"/>
      <c r="AL64" s="17"/>
      <c r="AM64" s="11"/>
      <c r="AN64" s="11"/>
      <c r="AO64" s="17"/>
      <c r="AP64" s="123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440"/>
    </row>
    <row r="65" spans="1:79" s="381" customFormat="1" ht="42" customHeight="1" x14ac:dyDescent="0.25">
      <c r="A65" s="442" t="s">
        <v>3256</v>
      </c>
      <c r="B65" s="11" t="s">
        <v>5</v>
      </c>
      <c r="C65" s="56" t="s">
        <v>2456</v>
      </c>
      <c r="D65" s="12" t="s">
        <v>4291</v>
      </c>
      <c r="E65" s="12" t="s">
        <v>4292</v>
      </c>
      <c r="F65" s="16" t="s">
        <v>4294</v>
      </c>
      <c r="G65" s="10" t="s">
        <v>30</v>
      </c>
      <c r="H65" s="10" t="s">
        <v>132</v>
      </c>
      <c r="I65" s="16" t="s">
        <v>3</v>
      </c>
      <c r="J65" s="53">
        <v>45922</v>
      </c>
      <c r="K65" s="13" t="s">
        <v>4293</v>
      </c>
      <c r="L65" s="53">
        <f t="shared" si="13"/>
        <v>45929</v>
      </c>
      <c r="M65" s="53">
        <v>45931</v>
      </c>
      <c r="N65" s="92">
        <f t="shared" si="6"/>
        <v>2</v>
      </c>
      <c r="O65" s="10" t="s">
        <v>4306</v>
      </c>
      <c r="P65" s="10" t="s">
        <v>3</v>
      </c>
      <c r="Q65" s="21">
        <v>45976</v>
      </c>
      <c r="R65" s="10" t="s">
        <v>4907</v>
      </c>
      <c r="S65" s="21">
        <f t="shared" si="12"/>
        <v>45983</v>
      </c>
      <c r="T65" s="21">
        <v>45980</v>
      </c>
      <c r="U65" s="92">
        <f>T65-S65</f>
        <v>-3</v>
      </c>
      <c r="V65" s="10" t="s">
        <v>4934</v>
      </c>
      <c r="W65" s="10" t="s">
        <v>18</v>
      </c>
      <c r="X65" s="21">
        <v>45984</v>
      </c>
      <c r="Y65" s="10" t="s">
        <v>5025</v>
      </c>
      <c r="Z65" s="21">
        <f>X65+7</f>
        <v>45991</v>
      </c>
      <c r="AA65" s="21">
        <v>45993</v>
      </c>
      <c r="AB65" s="95">
        <f>AA65-Z65</f>
        <v>2</v>
      </c>
      <c r="AC65" s="10" t="s">
        <v>5029</v>
      </c>
      <c r="AD65" s="10" t="s">
        <v>18</v>
      </c>
      <c r="AE65" s="21">
        <v>46085</v>
      </c>
      <c r="AF65" s="10" t="s">
        <v>5955</v>
      </c>
      <c r="AG65" s="21">
        <f>AE65+7</f>
        <v>46092</v>
      </c>
      <c r="AH65" s="21">
        <v>46097</v>
      </c>
      <c r="AI65" s="95">
        <f>AH65-AG65</f>
        <v>5</v>
      </c>
      <c r="AJ65" s="10" t="s">
        <v>5963</v>
      </c>
      <c r="AK65" s="10" t="s">
        <v>5</v>
      </c>
      <c r="AL65" s="17">
        <v>46186</v>
      </c>
      <c r="AM65" s="11" t="s">
        <v>6993</v>
      </c>
      <c r="AN65" s="21">
        <f>AL65+7</f>
        <v>46193</v>
      </c>
      <c r="AO65" s="17">
        <v>46194</v>
      </c>
      <c r="AP65" s="95">
        <f>AO65-AN65</f>
        <v>1</v>
      </c>
      <c r="AQ65" s="17" t="s">
        <v>6994</v>
      </c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440"/>
    </row>
    <row r="66" spans="1:79" s="381" customFormat="1" ht="42" customHeight="1" x14ac:dyDescent="0.25">
      <c r="A66" s="442" t="s">
        <v>3256</v>
      </c>
      <c r="B66" s="11" t="s">
        <v>5</v>
      </c>
      <c r="C66" s="56" t="s">
        <v>588</v>
      </c>
      <c r="D66" s="12" t="s">
        <v>4888</v>
      </c>
      <c r="E66" s="12" t="s">
        <v>4889</v>
      </c>
      <c r="F66" s="16" t="s">
        <v>4890</v>
      </c>
      <c r="G66" s="10" t="s">
        <v>30</v>
      </c>
      <c r="H66" s="10" t="s">
        <v>132</v>
      </c>
      <c r="I66" s="16" t="s">
        <v>3</v>
      </c>
      <c r="J66" s="53">
        <v>45974</v>
      </c>
      <c r="K66" s="13" t="s">
        <v>4891</v>
      </c>
      <c r="L66" s="53">
        <f t="shared" si="13"/>
        <v>45981</v>
      </c>
      <c r="M66" s="53">
        <v>45984</v>
      </c>
      <c r="N66" s="92">
        <f t="shared" si="6"/>
        <v>3</v>
      </c>
      <c r="O66" s="10" t="s">
        <v>4921</v>
      </c>
      <c r="P66" s="10" t="s">
        <v>18</v>
      </c>
      <c r="Q66" s="21">
        <v>45994</v>
      </c>
      <c r="R66" s="10" t="s">
        <v>5133</v>
      </c>
      <c r="S66" s="21">
        <f t="shared" si="12"/>
        <v>46001</v>
      </c>
      <c r="T66" s="21">
        <v>46005</v>
      </c>
      <c r="U66" s="92">
        <f>T66-S66</f>
        <v>4</v>
      </c>
      <c r="V66" s="10" t="s">
        <v>5132</v>
      </c>
      <c r="W66" s="10" t="s">
        <v>5</v>
      </c>
      <c r="X66" s="21">
        <v>46054</v>
      </c>
      <c r="Y66" s="10" t="s">
        <v>5723</v>
      </c>
      <c r="Z66" s="21">
        <f>X66+7</f>
        <v>46061</v>
      </c>
      <c r="AA66" s="21">
        <v>46076</v>
      </c>
      <c r="AB66" s="95">
        <f>AA66-Z66</f>
        <v>15</v>
      </c>
      <c r="AC66" s="10" t="s">
        <v>5828</v>
      </c>
      <c r="AD66" s="10"/>
      <c r="AE66" s="21"/>
      <c r="AF66" s="10"/>
      <c r="AG66" s="10"/>
      <c r="AH66" s="21"/>
      <c r="AI66" s="95"/>
      <c r="AJ66" s="10"/>
      <c r="AK66" s="10"/>
      <c r="AL66" s="17"/>
      <c r="AM66" s="11"/>
      <c r="AN66" s="11"/>
      <c r="AO66" s="17"/>
      <c r="AP66" s="123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440"/>
    </row>
    <row r="67" spans="1:79" s="381" customFormat="1" ht="42" customHeight="1" x14ac:dyDescent="0.25">
      <c r="A67" s="442" t="s">
        <v>3256</v>
      </c>
      <c r="B67" s="11" t="s">
        <v>5</v>
      </c>
      <c r="C67" s="56" t="s">
        <v>7176</v>
      </c>
      <c r="D67" s="12" t="s">
        <v>5159</v>
      </c>
      <c r="E67" s="12" t="s">
        <v>5158</v>
      </c>
      <c r="F67" s="16" t="s">
        <v>5365</v>
      </c>
      <c r="G67" s="10" t="s">
        <v>30</v>
      </c>
      <c r="H67" s="10" t="s">
        <v>132</v>
      </c>
      <c r="I67" s="16" t="s">
        <v>18</v>
      </c>
      <c r="J67" s="53">
        <v>45999</v>
      </c>
      <c r="K67" s="13" t="s">
        <v>5160</v>
      </c>
      <c r="L67" s="53">
        <f t="shared" si="13"/>
        <v>46006</v>
      </c>
      <c r="M67" s="53">
        <v>46014</v>
      </c>
      <c r="N67" s="92">
        <f t="shared" si="6"/>
        <v>8</v>
      </c>
      <c r="O67" s="10" t="s">
        <v>5172</v>
      </c>
      <c r="P67" s="10" t="s">
        <v>18</v>
      </c>
      <c r="Q67" s="21">
        <v>46030</v>
      </c>
      <c r="R67" s="10" t="s">
        <v>5541</v>
      </c>
      <c r="S67" s="21">
        <f t="shared" si="12"/>
        <v>46037</v>
      </c>
      <c r="T67" s="21">
        <v>46042</v>
      </c>
      <c r="U67" s="92">
        <f>T67-S67</f>
        <v>5</v>
      </c>
      <c r="V67" s="10" t="s">
        <v>5543</v>
      </c>
      <c r="W67" s="10" t="s">
        <v>18</v>
      </c>
      <c r="X67" s="21">
        <v>46084</v>
      </c>
      <c r="Y67" s="10" t="s">
        <v>5949</v>
      </c>
      <c r="Z67" s="21">
        <f>X67+7</f>
        <v>46091</v>
      </c>
      <c r="AA67" s="21">
        <v>46093</v>
      </c>
      <c r="AB67" s="95">
        <f>AA67-Z67</f>
        <v>2</v>
      </c>
      <c r="AC67" s="10" t="s">
        <v>5950</v>
      </c>
      <c r="AD67" s="11" t="s">
        <v>3</v>
      </c>
      <c r="AE67" s="21">
        <v>46113</v>
      </c>
      <c r="AF67" s="10" t="s">
        <v>6210</v>
      </c>
      <c r="AG67" s="21">
        <f>AE67+7</f>
        <v>46120</v>
      </c>
      <c r="AH67" s="21">
        <v>46126</v>
      </c>
      <c r="AI67" s="95">
        <f>AH67-AG67</f>
        <v>6</v>
      </c>
      <c r="AJ67" s="10" t="s">
        <v>6218</v>
      </c>
      <c r="AK67" s="10" t="s">
        <v>18</v>
      </c>
      <c r="AL67" s="17">
        <v>46126</v>
      </c>
      <c r="AM67" s="11" t="s">
        <v>6387</v>
      </c>
      <c r="AN67" s="21">
        <f>AL67+7</f>
        <v>46133</v>
      </c>
      <c r="AO67" s="17">
        <v>46142</v>
      </c>
      <c r="AP67" s="95">
        <f>AO67-AN67</f>
        <v>9</v>
      </c>
      <c r="AQ67" s="17" t="s">
        <v>6391</v>
      </c>
      <c r="AR67" s="17" t="s">
        <v>18</v>
      </c>
      <c r="AS67" s="17">
        <v>46165</v>
      </c>
      <c r="AT67" s="17" t="s">
        <v>6901</v>
      </c>
      <c r="AU67" s="21">
        <f>AS67+7</f>
        <v>46172</v>
      </c>
      <c r="AV67" s="17">
        <v>46174</v>
      </c>
      <c r="AW67" s="95">
        <f>AV67-AU67</f>
        <v>2</v>
      </c>
      <c r="AX67" s="17" t="s">
        <v>6911</v>
      </c>
      <c r="AY67" s="17" t="s">
        <v>3</v>
      </c>
      <c r="AZ67" s="17">
        <v>46176</v>
      </c>
      <c r="BA67" s="17" t="s">
        <v>6935</v>
      </c>
      <c r="BB67" s="21">
        <f>AZ67+7</f>
        <v>46183</v>
      </c>
      <c r="BC67" s="17">
        <v>46187</v>
      </c>
      <c r="BD67" s="95">
        <f>BC67-BB67</f>
        <v>4</v>
      </c>
      <c r="BE67" s="11" t="s">
        <v>6937</v>
      </c>
      <c r="BF67" s="17" t="s">
        <v>5</v>
      </c>
      <c r="BG67" s="17">
        <v>46205</v>
      </c>
      <c r="BH67" s="17" t="s">
        <v>7177</v>
      </c>
      <c r="BI67" s="21">
        <f>BG67+7</f>
        <v>46212</v>
      </c>
      <c r="BJ67" s="17">
        <v>46215</v>
      </c>
      <c r="BK67" s="95">
        <f>BJ67-BI67</f>
        <v>3</v>
      </c>
      <c r="BL67" s="11" t="s">
        <v>7192</v>
      </c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440"/>
    </row>
    <row r="68" spans="1:79" s="381" customFormat="1" ht="42" customHeight="1" x14ac:dyDescent="0.25">
      <c r="A68" s="442" t="s">
        <v>3256</v>
      </c>
      <c r="B68" s="11" t="s">
        <v>5</v>
      </c>
      <c r="C68" s="56" t="s">
        <v>54</v>
      </c>
      <c r="D68" s="12" t="s">
        <v>6003</v>
      </c>
      <c r="E68" s="12" t="s">
        <v>6004</v>
      </c>
      <c r="F68" s="16" t="s">
        <v>6005</v>
      </c>
      <c r="G68" s="10" t="s">
        <v>30</v>
      </c>
      <c r="H68" s="10" t="s">
        <v>132</v>
      </c>
      <c r="I68" s="16" t="s">
        <v>5</v>
      </c>
      <c r="J68" s="53">
        <v>46090</v>
      </c>
      <c r="K68" s="13" t="s">
        <v>6006</v>
      </c>
      <c r="L68" s="53">
        <f t="shared" si="13"/>
        <v>46097</v>
      </c>
      <c r="M68" s="53">
        <v>46091</v>
      </c>
      <c r="N68" s="92">
        <f t="shared" si="6"/>
        <v>-6</v>
      </c>
      <c r="O68" s="10" t="s">
        <v>6007</v>
      </c>
      <c r="P68" s="10"/>
      <c r="Q68" s="21"/>
      <c r="R68" s="10"/>
      <c r="S68" s="10"/>
      <c r="T68" s="21"/>
      <c r="U68" s="95"/>
      <c r="V68" s="10"/>
      <c r="W68" s="10"/>
      <c r="X68" s="21"/>
      <c r="Y68" s="10"/>
      <c r="Z68" s="10"/>
      <c r="AA68" s="21"/>
      <c r="AB68" s="95"/>
      <c r="AC68" s="10"/>
      <c r="AD68" s="10"/>
      <c r="AE68" s="21"/>
      <c r="AF68" s="10"/>
      <c r="AG68" s="10"/>
      <c r="AH68" s="21"/>
      <c r="AI68" s="95"/>
      <c r="AJ68" s="10"/>
      <c r="AK68" s="10"/>
      <c r="AL68" s="17"/>
      <c r="AM68" s="11"/>
      <c r="AN68" s="11"/>
      <c r="AO68" s="17"/>
      <c r="AP68" s="123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440"/>
    </row>
    <row r="69" spans="1:79" s="381" customFormat="1" ht="42" customHeight="1" x14ac:dyDescent="0.25">
      <c r="A69" s="442" t="s">
        <v>3256</v>
      </c>
      <c r="B69" s="11" t="s">
        <v>5</v>
      </c>
      <c r="C69" s="56" t="s">
        <v>725</v>
      </c>
      <c r="D69" s="12" t="s">
        <v>6234</v>
      </c>
      <c r="E69" s="12" t="s">
        <v>6235</v>
      </c>
      <c r="F69" s="16" t="s">
        <v>6236</v>
      </c>
      <c r="G69" s="10" t="s">
        <v>30</v>
      </c>
      <c r="H69" s="10" t="s">
        <v>132</v>
      </c>
      <c r="I69" s="16" t="s">
        <v>18</v>
      </c>
      <c r="J69" s="53">
        <v>46116</v>
      </c>
      <c r="K69" s="13" t="s">
        <v>6237</v>
      </c>
      <c r="L69" s="53">
        <f t="shared" si="13"/>
        <v>46123</v>
      </c>
      <c r="M69" s="53">
        <v>46123</v>
      </c>
      <c r="N69" s="92">
        <f t="shared" si="6"/>
        <v>0</v>
      </c>
      <c r="O69" s="10" t="s">
        <v>6252</v>
      </c>
      <c r="P69" s="10" t="s">
        <v>18</v>
      </c>
      <c r="Q69" s="21">
        <v>46139</v>
      </c>
      <c r="R69" s="10" t="s">
        <v>6551</v>
      </c>
      <c r="S69" s="21">
        <f>Q69+7</f>
        <v>46146</v>
      </c>
      <c r="T69" s="21">
        <v>46147</v>
      </c>
      <c r="U69" s="92">
        <f>T69-S69</f>
        <v>1</v>
      </c>
      <c r="V69" s="10" t="s">
        <v>6552</v>
      </c>
      <c r="W69" s="10" t="s">
        <v>3</v>
      </c>
      <c r="X69" s="21">
        <v>46160</v>
      </c>
      <c r="Y69" s="10" t="s">
        <v>6853</v>
      </c>
      <c r="Z69" s="21">
        <f>X69+7</f>
        <v>46167</v>
      </c>
      <c r="AA69" s="21">
        <v>46175</v>
      </c>
      <c r="AB69" s="95">
        <f>AA69-Z69</f>
        <v>8</v>
      </c>
      <c r="AC69" s="10" t="s">
        <v>6865</v>
      </c>
      <c r="AD69" s="10" t="s">
        <v>5</v>
      </c>
      <c r="AE69" s="21">
        <v>46200</v>
      </c>
      <c r="AF69" s="10" t="s">
        <v>7106</v>
      </c>
      <c r="AG69" s="21">
        <f>AE69+7</f>
        <v>46207</v>
      </c>
      <c r="AH69" s="21">
        <v>46209</v>
      </c>
      <c r="AI69" s="95">
        <f>AH69-AG69</f>
        <v>2</v>
      </c>
      <c r="AJ69" s="10" t="s">
        <v>7116</v>
      </c>
      <c r="AK69" s="10"/>
      <c r="AL69" s="17"/>
      <c r="AM69" s="11"/>
      <c r="AN69" s="11"/>
      <c r="AO69" s="17"/>
      <c r="AP69" s="123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440"/>
    </row>
    <row r="70" spans="1:79" s="381" customFormat="1" ht="42" customHeight="1" x14ac:dyDescent="0.25">
      <c r="A70" s="442" t="s">
        <v>3256</v>
      </c>
      <c r="B70" s="11" t="s">
        <v>3</v>
      </c>
      <c r="C70" s="340" t="s">
        <v>208</v>
      </c>
      <c r="D70" s="12" t="s">
        <v>7047</v>
      </c>
      <c r="E70" s="12" t="s">
        <v>7046</v>
      </c>
      <c r="F70" s="16" t="s">
        <v>7045</v>
      </c>
      <c r="G70" s="10" t="s">
        <v>30</v>
      </c>
      <c r="H70" s="10" t="s">
        <v>132</v>
      </c>
      <c r="I70" s="16" t="s">
        <v>3</v>
      </c>
      <c r="J70" s="53">
        <v>46194</v>
      </c>
      <c r="K70" s="13" t="s">
        <v>7048</v>
      </c>
      <c r="L70" s="53">
        <f t="shared" si="13"/>
        <v>46201</v>
      </c>
      <c r="M70" s="53">
        <v>46198</v>
      </c>
      <c r="N70" s="92">
        <f t="shared" si="6"/>
        <v>-3</v>
      </c>
      <c r="O70" s="10" t="s">
        <v>7057</v>
      </c>
      <c r="P70" s="16" t="s">
        <v>3</v>
      </c>
      <c r="Q70" s="21">
        <v>46201</v>
      </c>
      <c r="R70" s="10" t="s">
        <v>7125</v>
      </c>
      <c r="S70" s="21">
        <f>Q70+7</f>
        <v>46208</v>
      </c>
      <c r="T70" s="21">
        <v>46208</v>
      </c>
      <c r="U70" s="92">
        <f>T70-S70</f>
        <v>0</v>
      </c>
      <c r="V70" s="10" t="s">
        <v>7133</v>
      </c>
      <c r="W70" s="16"/>
      <c r="X70" s="21"/>
      <c r="Y70" s="10"/>
      <c r="Z70" s="10"/>
      <c r="AA70" s="21"/>
      <c r="AB70" s="95"/>
      <c r="AC70" s="10"/>
      <c r="AD70" s="16"/>
      <c r="AE70" s="21"/>
      <c r="AF70" s="10"/>
      <c r="AG70" s="10"/>
      <c r="AH70" s="21"/>
      <c r="AI70" s="95"/>
      <c r="AJ70" s="10"/>
      <c r="AK70" s="10"/>
      <c r="AL70" s="17"/>
      <c r="AM70" s="11"/>
      <c r="AN70" s="11"/>
      <c r="AO70" s="17"/>
      <c r="AP70" s="123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440"/>
    </row>
    <row r="71" spans="1:79" s="381" customFormat="1" ht="42" customHeight="1" x14ac:dyDescent="0.25">
      <c r="A71" s="442" t="s">
        <v>3256</v>
      </c>
      <c r="B71" s="11" t="s">
        <v>7543</v>
      </c>
      <c r="C71" s="340" t="s">
        <v>208</v>
      </c>
      <c r="D71" s="12" t="s">
        <v>7098</v>
      </c>
      <c r="E71" s="12" t="s">
        <v>7099</v>
      </c>
      <c r="F71" s="16" t="s">
        <v>7551</v>
      </c>
      <c r="G71" s="10" t="s">
        <v>30</v>
      </c>
      <c r="H71" s="10" t="s">
        <v>132</v>
      </c>
      <c r="I71" s="16" t="s">
        <v>18</v>
      </c>
      <c r="J71" s="53">
        <v>46200</v>
      </c>
      <c r="K71" s="13" t="s">
        <v>7100</v>
      </c>
      <c r="L71" s="53">
        <f t="shared" si="13"/>
        <v>46207</v>
      </c>
      <c r="M71" s="53">
        <v>46223</v>
      </c>
      <c r="N71" s="92">
        <f t="shared" si="6"/>
        <v>16</v>
      </c>
      <c r="O71" s="10" t="s">
        <v>7102</v>
      </c>
      <c r="P71" s="10" t="s">
        <v>7543</v>
      </c>
      <c r="Q71" s="21">
        <v>46264</v>
      </c>
      <c r="R71" s="10" t="s">
        <v>7552</v>
      </c>
      <c r="S71" s="21">
        <f>Q71+7</f>
        <v>46271</v>
      </c>
      <c r="T71" s="21"/>
      <c r="U71" s="92">
        <f>T71-S71</f>
        <v>-46271</v>
      </c>
      <c r="V71" s="10"/>
      <c r="W71" s="10"/>
      <c r="X71" s="21"/>
      <c r="Y71" s="10"/>
      <c r="Z71" s="10"/>
      <c r="AA71" s="21"/>
      <c r="AB71" s="95"/>
      <c r="AC71" s="10"/>
      <c r="AD71" s="10"/>
      <c r="AE71" s="21"/>
      <c r="AF71" s="10"/>
      <c r="AG71" s="10"/>
      <c r="AH71" s="21"/>
      <c r="AI71" s="95"/>
      <c r="AJ71" s="10"/>
      <c r="AK71" s="10"/>
      <c r="AL71" s="17"/>
      <c r="AM71" s="11"/>
      <c r="AN71" s="11"/>
      <c r="AO71" s="17"/>
      <c r="AP71" s="123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440"/>
    </row>
    <row r="72" spans="1:79" s="381" customFormat="1" ht="42" customHeight="1" x14ac:dyDescent="0.25">
      <c r="A72" s="442" t="s">
        <v>3256</v>
      </c>
      <c r="B72" s="11" t="s">
        <v>5</v>
      </c>
      <c r="C72" s="340" t="s">
        <v>54</v>
      </c>
      <c r="D72" s="12" t="s">
        <v>7199</v>
      </c>
      <c r="E72" s="12" t="s">
        <v>7200</v>
      </c>
      <c r="F72" s="16" t="s">
        <v>7201</v>
      </c>
      <c r="G72" s="10" t="s">
        <v>30</v>
      </c>
      <c r="H72" s="10" t="s">
        <v>132</v>
      </c>
      <c r="I72" s="16" t="s">
        <v>5</v>
      </c>
      <c r="J72" s="53">
        <v>46209</v>
      </c>
      <c r="K72" s="13" t="s">
        <v>7219</v>
      </c>
      <c r="L72" s="53">
        <f t="shared" si="13"/>
        <v>46216</v>
      </c>
      <c r="M72" s="53">
        <v>46216</v>
      </c>
      <c r="N72" s="92">
        <f t="shared" si="6"/>
        <v>0</v>
      </c>
      <c r="O72" s="10" t="s">
        <v>7220</v>
      </c>
      <c r="P72" s="10"/>
      <c r="Q72" s="21"/>
      <c r="R72" s="10"/>
      <c r="S72" s="10"/>
      <c r="T72" s="21"/>
      <c r="U72" s="95"/>
      <c r="V72" s="10"/>
      <c r="W72" s="10"/>
      <c r="X72" s="21"/>
      <c r="Y72" s="10"/>
      <c r="Z72" s="10"/>
      <c r="AA72" s="21"/>
      <c r="AB72" s="95"/>
      <c r="AC72" s="10"/>
      <c r="AD72" s="10"/>
      <c r="AE72" s="21"/>
      <c r="AF72" s="10"/>
      <c r="AG72" s="10"/>
      <c r="AH72" s="21"/>
      <c r="AI72" s="95"/>
      <c r="AJ72" s="10"/>
      <c r="AK72" s="10"/>
      <c r="AL72" s="17"/>
      <c r="AM72" s="11"/>
      <c r="AN72" s="11"/>
      <c r="AO72" s="17"/>
      <c r="AP72" s="123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440"/>
    </row>
    <row r="73" spans="1:79" s="381" customFormat="1" ht="42" customHeight="1" x14ac:dyDescent="0.25">
      <c r="A73" s="442" t="s">
        <v>3256</v>
      </c>
      <c r="B73" s="502" t="s">
        <v>7528</v>
      </c>
      <c r="C73" s="340" t="s">
        <v>54</v>
      </c>
      <c r="D73" s="12" t="s">
        <v>7529</v>
      </c>
      <c r="E73" s="12" t="s">
        <v>7530</v>
      </c>
      <c r="F73" s="494" t="s">
        <v>7531</v>
      </c>
      <c r="G73" s="10" t="s">
        <v>30</v>
      </c>
      <c r="H73" s="10" t="s">
        <v>132</v>
      </c>
      <c r="I73" s="494" t="s">
        <v>7461</v>
      </c>
      <c r="J73" s="503">
        <v>46261</v>
      </c>
      <c r="K73" s="504" t="s">
        <v>7532</v>
      </c>
      <c r="L73" s="53">
        <f t="shared" si="13"/>
        <v>46268</v>
      </c>
      <c r="M73" s="503"/>
      <c r="N73" s="92">
        <f t="shared" si="6"/>
        <v>-46268</v>
      </c>
      <c r="O73" s="496"/>
      <c r="P73" s="496"/>
      <c r="Q73" s="505"/>
      <c r="R73" s="496"/>
      <c r="S73" s="496"/>
      <c r="T73" s="505"/>
      <c r="U73" s="506"/>
      <c r="V73" s="496"/>
      <c r="W73" s="496"/>
      <c r="X73" s="505"/>
      <c r="Y73" s="496"/>
      <c r="Z73" s="496"/>
      <c r="AA73" s="505"/>
      <c r="AB73" s="506"/>
      <c r="AC73" s="496"/>
      <c r="AD73" s="496"/>
      <c r="AE73" s="505"/>
      <c r="AF73" s="496"/>
      <c r="AG73" s="496"/>
      <c r="AH73" s="505"/>
      <c r="AI73" s="506"/>
      <c r="AJ73" s="496"/>
      <c r="AK73" s="496"/>
      <c r="AL73" s="507"/>
      <c r="AM73" s="502"/>
      <c r="AN73" s="502"/>
      <c r="AO73" s="507"/>
      <c r="AP73" s="508"/>
      <c r="AQ73" s="507"/>
      <c r="AR73" s="507"/>
      <c r="AS73" s="507"/>
      <c r="AT73" s="507"/>
      <c r="AU73" s="507"/>
      <c r="AV73" s="507"/>
      <c r="AW73" s="507"/>
      <c r="AX73" s="507"/>
      <c r="AY73" s="507"/>
      <c r="AZ73" s="507"/>
      <c r="BA73" s="507"/>
      <c r="BB73" s="507"/>
      <c r="BC73" s="507"/>
      <c r="BD73" s="507"/>
      <c r="BE73" s="502"/>
      <c r="BF73" s="502"/>
      <c r="BG73" s="502"/>
      <c r="BH73" s="502"/>
      <c r="BI73" s="502"/>
      <c r="BJ73" s="502"/>
      <c r="BK73" s="502"/>
      <c r="BL73" s="502"/>
      <c r="BM73" s="502"/>
      <c r="BN73" s="502"/>
      <c r="BO73" s="502"/>
      <c r="BP73" s="502"/>
      <c r="BQ73" s="502"/>
      <c r="BR73" s="502"/>
      <c r="BS73" s="502"/>
      <c r="BT73" s="502"/>
      <c r="BU73" s="502"/>
      <c r="BV73" s="502"/>
      <c r="BW73" s="502"/>
      <c r="BX73" s="502"/>
      <c r="BY73" s="502"/>
      <c r="BZ73" s="502"/>
      <c r="CA73" s="509"/>
    </row>
    <row r="74" spans="1:79" s="381" customFormat="1" ht="42" customHeight="1" thickBot="1" x14ac:dyDescent="0.3">
      <c r="A74" s="369"/>
      <c r="B74" s="446"/>
      <c r="C74" s="446"/>
      <c r="D74" s="370"/>
      <c r="E74" s="370"/>
      <c r="F74" s="262"/>
      <c r="G74" s="263"/>
      <c r="H74" s="263"/>
      <c r="I74" s="262"/>
      <c r="J74" s="372"/>
      <c r="K74" s="373"/>
      <c r="L74" s="373"/>
      <c r="M74" s="372"/>
      <c r="N74" s="425"/>
      <c r="O74" s="263"/>
      <c r="P74" s="447"/>
      <c r="Q74" s="374"/>
      <c r="R74" s="263"/>
      <c r="S74" s="263"/>
      <c r="T74" s="374"/>
      <c r="U74" s="375"/>
      <c r="V74" s="263"/>
      <c r="W74" s="263"/>
      <c r="X74" s="374"/>
      <c r="Y74" s="263"/>
      <c r="Z74" s="263"/>
      <c r="AA74" s="374"/>
      <c r="AB74" s="375"/>
      <c r="AC74" s="263"/>
      <c r="AD74" s="263"/>
      <c r="AE74" s="374"/>
      <c r="AF74" s="263"/>
      <c r="AG74" s="263"/>
      <c r="AH74" s="374"/>
      <c r="AI74" s="375"/>
      <c r="AJ74" s="263"/>
      <c r="AK74" s="263"/>
      <c r="AL74" s="376"/>
      <c r="AM74" s="371"/>
      <c r="AN74" s="371"/>
      <c r="AO74" s="376"/>
      <c r="AP74" s="377"/>
      <c r="AQ74" s="376"/>
      <c r="AR74" s="376"/>
      <c r="AS74" s="376"/>
      <c r="AT74" s="376"/>
      <c r="AU74" s="376"/>
      <c r="AV74" s="376"/>
      <c r="AW74" s="376"/>
      <c r="AX74" s="376"/>
      <c r="AY74" s="376"/>
      <c r="AZ74" s="376"/>
      <c r="BA74" s="376"/>
      <c r="BB74" s="376"/>
      <c r="BC74" s="376"/>
      <c r="BD74" s="376"/>
      <c r="BE74" s="371"/>
      <c r="BF74" s="371"/>
      <c r="BG74" s="371"/>
      <c r="BH74" s="371"/>
      <c r="BI74" s="371"/>
      <c r="BJ74" s="371"/>
      <c r="BK74" s="371"/>
      <c r="BL74" s="371"/>
      <c r="BM74" s="371"/>
      <c r="BN74" s="371"/>
      <c r="BO74" s="371"/>
      <c r="BP74" s="371"/>
      <c r="BQ74" s="371"/>
      <c r="BR74" s="371"/>
      <c r="BS74" s="371"/>
      <c r="BT74" s="371"/>
      <c r="BU74" s="371"/>
      <c r="BV74" s="371"/>
      <c r="BW74" s="371"/>
      <c r="BX74" s="371"/>
      <c r="BY74" s="371"/>
      <c r="BZ74" s="371"/>
      <c r="CA74" s="445"/>
    </row>
  </sheetData>
  <autoFilter ref="A11:CA69" xr:uid="{00000000-0009-0000-0000-000004000000}"/>
  <mergeCells count="21">
    <mergeCell ref="H1:H2"/>
    <mergeCell ref="I1:I2"/>
    <mergeCell ref="A10:A11"/>
    <mergeCell ref="G10:G11"/>
    <mergeCell ref="B10:B11"/>
    <mergeCell ref="C10:C11"/>
    <mergeCell ref="D10:D11"/>
    <mergeCell ref="E10:E11"/>
    <mergeCell ref="F10:F11"/>
    <mergeCell ref="AR10:AX10"/>
    <mergeCell ref="AY10:BE10"/>
    <mergeCell ref="CA10:CA11"/>
    <mergeCell ref="H10:H11"/>
    <mergeCell ref="I10:O10"/>
    <mergeCell ref="P10:V10"/>
    <mergeCell ref="W10:AC10"/>
    <mergeCell ref="AD10:AJ10"/>
    <mergeCell ref="AK10:AQ10"/>
    <mergeCell ref="BF10:BL10"/>
    <mergeCell ref="BM10:BS10"/>
    <mergeCell ref="BT10:BZ10"/>
  </mergeCells>
  <phoneticPr fontId="5" type="noConversion"/>
  <conditionalFormatting sqref="A13:A59 B17:AM17 AP17:AT17 B22:AE22 AG22:AI22 B27:Q27 B44:X44 B45:Q45 S45:U45 B49:AE50 AG49:AI50 AK49:AL50 AN49:AP50 B57:X57 Z57:AB57 AD57:AE57 AG57:AZ57 BB57 B58:AB59 A60:AB60 A61:Q61 S61:U61 W61:X61 V61:V63 A62:E62 G62:J62 L62:U62 A63:U63">
    <cfRule type="cellIs" dxfId="6060" priority="285" operator="equal">
      <formula>"E - Review not Required - Proceed"</formula>
    </cfRule>
    <cfRule type="cellIs" dxfId="6059" priority="286" operator="equal">
      <formula>"D - Rejected"</formula>
    </cfRule>
    <cfRule type="cellIs" dxfId="6058" priority="288" operator="equal">
      <formula>"C - Revise and Resubmit - Do Not Proceed"</formula>
    </cfRule>
    <cfRule type="cellIs" dxfId="6057" priority="287" operator="equal">
      <formula>"B- Incorporate Comments - Proceed"</formula>
    </cfRule>
  </conditionalFormatting>
  <conditionalFormatting sqref="A13:A59 B17:AM17 AP17:AT17 B22:AE22 AG22:AI22 B27:Q27 B44:X44 B45:Q45 S45:U45 B49:AE50 AG49:AI50 AK49:AL50 AN49:AP50 C55:V55 C56:O56 B57:X57 Z57:AB57 AD57:AE57 AG57:AZ57 BB57 B58:AB59 A60:AB60 A61:Q61 S61:U61 W61:X61 V61:V63 A62:E62 G62:J62 L62:U62 A63:U63">
    <cfRule type="cellIs" dxfId="6056" priority="289" operator="equal">
      <formula>"A - Work May Proceed"</formula>
    </cfRule>
  </conditionalFormatting>
  <conditionalFormatting sqref="A10:CA10">
    <cfRule type="cellIs" dxfId="6055" priority="6" operator="equal">
      <formula>"E - Review not Required - Proceed"</formula>
    </cfRule>
    <cfRule type="cellIs" dxfId="6054" priority="8" operator="equal">
      <formula>"B- Incorporate Comments - Proceed"</formula>
    </cfRule>
    <cfRule type="cellIs" dxfId="6053" priority="9" operator="equal">
      <formula>"C - Revise and Resubmit - Do Not Proceed"</formula>
    </cfRule>
    <cfRule type="cellIs" dxfId="6052" priority="10" operator="equal">
      <formula>"A - Work May Proceed"</formula>
    </cfRule>
    <cfRule type="cellIs" dxfId="6051" priority="7" operator="equal">
      <formula>"D - Rejected"</formula>
    </cfRule>
  </conditionalFormatting>
  <conditionalFormatting sqref="B55:B56">
    <cfRule type="cellIs" dxfId="6050" priority="138" operator="equal">
      <formula>"B- Incorporate Comments - Proceed"</formula>
    </cfRule>
    <cfRule type="cellIs" dxfId="6049" priority="140" operator="equal">
      <formula>"A - Work May Proceed"</formula>
    </cfRule>
    <cfRule type="cellIs" dxfId="6048" priority="139" operator="equal">
      <formula>"C - Revise and Resubmit - Do Not Proceed"</formula>
    </cfRule>
    <cfRule type="cellIs" dxfId="6047" priority="137" operator="equal">
      <formula>"D - Rejected"</formula>
    </cfRule>
    <cfRule type="cellIs" dxfId="6046" priority="136" operator="equal">
      <formula>"E - Review not Required - Proceed"</formula>
    </cfRule>
  </conditionalFormatting>
  <conditionalFormatting sqref="B38:C38">
    <cfRule type="cellIs" dxfId="6045" priority="183" operator="equal">
      <formula>"B- Incorporate Comments - Proceed"</formula>
    </cfRule>
    <cfRule type="cellIs" dxfId="6044" priority="184" operator="equal">
      <formula>"C - Revise and Resubmit - Do Not Proceed"</formula>
    </cfRule>
    <cfRule type="cellIs" dxfId="6043" priority="185" operator="equal">
      <formula>"A - Work May Proceed"</formula>
    </cfRule>
    <cfRule type="cellIs" dxfId="6042" priority="182" operator="equal">
      <formula>"D - Rejected"</formula>
    </cfRule>
    <cfRule type="cellIs" dxfId="6041" priority="181" operator="equal">
      <formula>"E - Review not Required - Proceed"</formula>
    </cfRule>
  </conditionalFormatting>
  <conditionalFormatting sqref="B41:C41">
    <cfRule type="cellIs" dxfId="6040" priority="180" operator="equal">
      <formula>"A - Work May Proceed"</formula>
    </cfRule>
    <cfRule type="cellIs" dxfId="6039" priority="179" operator="equal">
      <formula>"C - Revise and Resubmit - Do Not Proceed"</formula>
    </cfRule>
    <cfRule type="cellIs" dxfId="6038" priority="178" operator="equal">
      <formula>"B- Incorporate Comments - Proceed"</formula>
    </cfRule>
    <cfRule type="cellIs" dxfId="6037" priority="177" operator="equal">
      <formula>"D - Rejected"</formula>
    </cfRule>
    <cfRule type="cellIs" dxfId="6036" priority="176" operator="equal">
      <formula>"E - Review not Required - Proceed"</formula>
    </cfRule>
  </conditionalFormatting>
  <conditionalFormatting sqref="B43:C43">
    <cfRule type="cellIs" dxfId="6035" priority="172" operator="equal">
      <formula>"D - Rejected"</formula>
    </cfRule>
    <cfRule type="cellIs" dxfId="6034" priority="171" operator="equal">
      <formula>"E - Review not Required - Proceed"</formula>
    </cfRule>
    <cfRule type="cellIs" dxfId="6033" priority="173" operator="equal">
      <formula>"B- Incorporate Comments - Proceed"</formula>
    </cfRule>
    <cfRule type="cellIs" dxfId="6032" priority="175" operator="equal">
      <formula>"A - Work May Proceed"</formula>
    </cfRule>
    <cfRule type="cellIs" dxfId="6031" priority="174" operator="equal">
      <formula>"C - Revise and Resubmit - Do Not Proceed"</formula>
    </cfRule>
  </conditionalFormatting>
  <conditionalFormatting sqref="B47:X47">
    <cfRule type="cellIs" dxfId="6030" priority="105" operator="equal">
      <formula>"A - Work May Proceed"</formula>
    </cfRule>
    <cfRule type="cellIs" dxfId="6029" priority="104" operator="equal">
      <formula>"C - Revise and Resubmit - Do Not Proceed"</formula>
    </cfRule>
    <cfRule type="cellIs" dxfId="6028" priority="101" operator="equal">
      <formula>"E - Review not Required - Proceed"</formula>
    </cfRule>
    <cfRule type="cellIs" dxfId="6027" priority="102" operator="equal">
      <formula>"D - Rejected"</formula>
    </cfRule>
    <cfRule type="cellIs" dxfId="6026" priority="103" operator="equal">
      <formula>"B- Incorporate Comments - Proceed"</formula>
    </cfRule>
  </conditionalFormatting>
  <conditionalFormatting sqref="B34:AS34">
    <cfRule type="cellIs" dxfId="6025" priority="277" operator="equal">
      <formula>"B- Incorporate Comments - Proceed"</formula>
    </cfRule>
    <cfRule type="cellIs" dxfId="6024" priority="276" operator="equal">
      <formula>"D - Rejected"</formula>
    </cfRule>
    <cfRule type="cellIs" dxfId="6023" priority="278" operator="equal">
      <formula>"C - Revise and Resubmit - Do Not Proceed"</formula>
    </cfRule>
    <cfRule type="cellIs" dxfId="6022" priority="279" operator="equal">
      <formula>"A - Work May Proceed"</formula>
    </cfRule>
    <cfRule type="cellIs" dxfId="6021" priority="275" operator="equal">
      <formula>"E - Review not Required - Proceed"</formula>
    </cfRule>
  </conditionalFormatting>
  <conditionalFormatting sqref="B36:AS36">
    <cfRule type="cellIs" dxfId="6020" priority="91" operator="equal">
      <formula>"E - Review not Required - Proceed"</formula>
    </cfRule>
    <cfRule type="cellIs" dxfId="6019" priority="92" operator="equal">
      <formula>"D - Rejected"</formula>
    </cfRule>
    <cfRule type="cellIs" dxfId="6018" priority="93" operator="equal">
      <formula>"B- Incorporate Comments - Proceed"</formula>
    </cfRule>
    <cfRule type="cellIs" dxfId="6017" priority="94" operator="equal">
      <formula>"C - Revise and Resubmit - Do Not Proceed"</formula>
    </cfRule>
    <cfRule type="cellIs" dxfId="6016" priority="95" operator="equal">
      <formula>"A - Work May Proceed"</formula>
    </cfRule>
  </conditionalFormatting>
  <conditionalFormatting sqref="B23:XFD26 B32:XFD33 AY36:XFD36 B37:XFD43">
    <cfRule type="cellIs" dxfId="6015" priority="81" operator="equal">
      <formula>"A - Work May Proceed"</formula>
    </cfRule>
    <cfRule type="cellIs" dxfId="6014" priority="83" operator="equal">
      <formula>"D - Rejected"</formula>
    </cfRule>
    <cfRule type="cellIs" dxfId="6013" priority="84" operator="equal">
      <formula>"B- Incorporate Comments - Proceed"</formula>
    </cfRule>
    <cfRule type="cellIs" dxfId="6012" priority="85" operator="equal">
      <formula>"C - Revise and Resubmit - Do Not Proceed"</formula>
    </cfRule>
    <cfRule type="cellIs" dxfId="6011" priority="82" operator="equal">
      <formula>"E - Review not Required - Proceed"</formula>
    </cfRule>
  </conditionalFormatting>
  <conditionalFormatting sqref="C56:Q56">
    <cfRule type="cellIs" dxfId="6010" priority="232" operator="equal">
      <formula>"B- Incorporate Comments - Proceed"</formula>
    </cfRule>
    <cfRule type="cellIs" dxfId="6009" priority="233" operator="equal">
      <formula>"C - Revise and Resubmit - Do Not Proceed"</formula>
    </cfRule>
    <cfRule type="cellIs" dxfId="6008" priority="230" operator="equal">
      <formula>"E - Review not Required - Proceed"</formula>
    </cfRule>
    <cfRule type="cellIs" dxfId="6007" priority="231" operator="equal">
      <formula>"D - Rejected"</formula>
    </cfRule>
  </conditionalFormatting>
  <conditionalFormatting sqref="C55:X55">
    <cfRule type="cellIs" dxfId="6006" priority="253" operator="equal">
      <formula>"C - Revise and Resubmit - Do Not Proceed"</formula>
    </cfRule>
    <cfRule type="cellIs" dxfId="6005" priority="250" operator="equal">
      <formula>"E - Review not Required - Proceed"</formula>
    </cfRule>
    <cfRule type="cellIs" dxfId="6004" priority="251" operator="equal">
      <formula>"D - Rejected"</formula>
    </cfRule>
    <cfRule type="cellIs" dxfId="6003" priority="252" operator="equal">
      <formula>"B- Incorporate Comments - Proceed"</formula>
    </cfRule>
  </conditionalFormatting>
  <conditionalFormatting sqref="D11:BZ11 B1:G2 B3:H4 B9:H9 A11:B11">
    <cfRule type="cellIs" dxfId="6002" priority="334" operator="equal">
      <formula>"A - Work May Proceed"</formula>
    </cfRule>
    <cfRule type="cellIs" dxfId="6001" priority="332" operator="equal">
      <formula>"B- Incorporate Comments - Proceed"</formula>
    </cfRule>
    <cfRule type="cellIs" dxfId="6000" priority="333" operator="equal">
      <formula>"C - Revise and Resubmit - Do Not Proceed"</formula>
    </cfRule>
    <cfRule type="cellIs" dxfId="5999" priority="331" operator="equal">
      <formula>"D - Rejected"</formula>
    </cfRule>
    <cfRule type="cellIs" dxfId="5998" priority="330" operator="equal">
      <formula>"E - Review not Required - Proceed"</formula>
    </cfRule>
  </conditionalFormatting>
  <conditionalFormatting sqref="I11">
    <cfRule type="cellIs" dxfId="5997" priority="413" operator="between">
      <formula>"C - Revise and Resubmit - Do Not Proceed"</formula>
      <formula>"C - Revise and Resubmit - Do Not Proceed"</formula>
    </cfRule>
    <cfRule type="cellIs" dxfId="5996" priority="412" operator="between">
      <formula>"A - Work May Proceed"</formula>
      <formula>"A - Work May Proceed"</formula>
    </cfRule>
    <cfRule type="cellIs" dxfId="5995" priority="411" operator="between">
      <formula>"CANCELLED"</formula>
      <formula>"CANCELLED"</formula>
    </cfRule>
    <cfRule type="cellIs" dxfId="5994" priority="410" operator="between">
      <formula>"D - Rejected "</formula>
      <formula>"D - Rejected "</formula>
    </cfRule>
    <cfRule type="cellIs" dxfId="5993" priority="409" operator="between">
      <formula>"E - Review not Required - Proceed"</formula>
      <formula>"E - Review not Required - Proceed"</formula>
    </cfRule>
    <cfRule type="cellIs" dxfId="5992" priority="408" operator="between">
      <formula>"B - Incorporate Comments - Proceed"</formula>
      <formula>"B - Incorporate Comments - Proceed"</formula>
    </cfRule>
    <cfRule type="cellIs" dxfId="5991" priority="407" operator="between">
      <formula>"A - Work May Proceed"</formula>
      <formula>"A - Work May Proceed"</formula>
    </cfRule>
    <cfRule type="cellIs" dxfId="5990" priority="406" operator="between">
      <formula>"B - Incorporate Comments - Proceed"</formula>
      <formula>"B - Incorporate Comments - Proceed"</formula>
    </cfRule>
    <cfRule type="cellIs" dxfId="5989" priority="405" operator="between">
      <formula>"C - Revise and Resubmit - Do Not Proceed"</formula>
      <formula>"C - Revise and Resubmit - Do Not Proceed"</formula>
    </cfRule>
    <cfRule type="cellIs" dxfId="5988" priority="404" operator="between">
      <formula>"'D - Rejected "</formula>
      <formula>"'D - Rejected "</formula>
    </cfRule>
    <cfRule type="cellIs" dxfId="5987" priority="403" operator="between">
      <formula>"E - Review not Required - Proceed"</formula>
      <formula>"E - Review not Required - Proceed"</formula>
    </cfRule>
    <cfRule type="cellIs" dxfId="5986" priority="402" operator="equal">
      <formula>"E - Review Not Required - Proceed"</formula>
    </cfRule>
    <cfRule type="cellIs" dxfId="5985" priority="401" operator="equal">
      <formula>"B - Incorporate Comments - Proceed "</formula>
    </cfRule>
    <cfRule type="cellIs" dxfId="5984" priority="400" operator="equal">
      <formula>"For Information"</formula>
    </cfRule>
    <cfRule type="cellIs" dxfId="5983" priority="399" operator="equal">
      <formula>"B - Incorporate Comments - Proceed"</formula>
    </cfRule>
    <cfRule type="cellIs" dxfId="5982" priority="414" stopIfTrue="1" operator="between">
      <formula>"B - Incorporate Comments - Proceed "</formula>
      <formula>"B - Incorporate Comments - Proceed "</formula>
    </cfRule>
  </conditionalFormatting>
  <conditionalFormatting sqref="J5:J6 B5:I7 B8:J8">
    <cfRule type="cellIs" dxfId="5981" priority="280" operator="equal">
      <formula>"E - Review not Required - Proceed"</formula>
    </cfRule>
    <cfRule type="cellIs" dxfId="5980" priority="281" operator="equal">
      <formula>"D - Rejected"</formula>
    </cfRule>
    <cfRule type="cellIs" dxfId="5979" priority="282" operator="equal">
      <formula>"B- Incorporate Comments - Proceed"</formula>
    </cfRule>
    <cfRule type="cellIs" dxfId="5978" priority="283" operator="equal">
      <formula>"C - Revise and Resubmit - Do Not Proceed"</formula>
    </cfRule>
    <cfRule type="cellIs" dxfId="5977" priority="284" stopIfTrue="1" operator="equal">
      <formula>"A - Work May Proceed"</formula>
    </cfRule>
  </conditionalFormatting>
  <conditionalFormatting sqref="P11">
    <cfRule type="cellIs" dxfId="5976" priority="392" operator="between">
      <formula>"B - Incorporate Comments - Proceed"</formula>
      <formula>"B - Incorporate Comments - Proceed"</formula>
    </cfRule>
    <cfRule type="cellIs" dxfId="5975" priority="391" operator="between">
      <formula>"A - Work May Proceed"</formula>
      <formula>"A - Work May Proceed"</formula>
    </cfRule>
    <cfRule type="cellIs" dxfId="5974" priority="390" operator="between">
      <formula>"B - Incorporate Comments - Proceed"</formula>
      <formula>"B - Incorporate Comments - Proceed"</formula>
    </cfRule>
    <cfRule type="cellIs" dxfId="5973" priority="389" operator="between">
      <formula>"C - Revise and Resubmit - Do Not Proceed"</formula>
      <formula>"C - Revise and Resubmit - Do Not Proceed"</formula>
    </cfRule>
    <cfRule type="cellIs" dxfId="5972" priority="388" operator="between">
      <formula>"'D - Rejected "</formula>
      <formula>"'D - Rejected "</formula>
    </cfRule>
    <cfRule type="cellIs" dxfId="5971" priority="387" operator="between">
      <formula>"E - Review not Required - Proceed"</formula>
      <formula>"E - Review not Required - Proceed"</formula>
    </cfRule>
    <cfRule type="cellIs" dxfId="5970" priority="385" operator="equal">
      <formula>"B - Incorporate Comments - Proceed "</formula>
    </cfRule>
    <cfRule type="cellIs" dxfId="5969" priority="384" operator="equal">
      <formula>"For Information"</formula>
    </cfRule>
    <cfRule type="cellIs" dxfId="5968" priority="383" operator="equal">
      <formula>"B - Incorporate Comments - Proceed"</formula>
    </cfRule>
    <cfRule type="cellIs" dxfId="5967" priority="398" stopIfTrue="1" operator="between">
      <formula>"B - Incorporate Comments - Proceed "</formula>
      <formula>"B - Incorporate Comments - Proceed "</formula>
    </cfRule>
    <cfRule type="cellIs" dxfId="5966" priority="397" operator="between">
      <formula>"C - Revise and Resubmit - Do Not Proceed"</formula>
      <formula>"C - Revise and Resubmit - Do Not Proceed"</formula>
    </cfRule>
    <cfRule type="cellIs" dxfId="5965" priority="386" operator="equal">
      <formula>"E - Review Not Required - Proceed"</formula>
    </cfRule>
    <cfRule type="cellIs" dxfId="5964" priority="396" operator="between">
      <formula>"A - Work May Proceed"</formula>
      <formula>"A - Work May Proceed"</formula>
    </cfRule>
    <cfRule type="cellIs" dxfId="5963" priority="395" operator="between">
      <formula>"CANCELLED"</formula>
      <formula>"CANCELLED"</formula>
    </cfRule>
    <cfRule type="cellIs" dxfId="5962" priority="394" operator="between">
      <formula>"D - Rejected "</formula>
      <formula>"D - Rejected "</formula>
    </cfRule>
    <cfRule type="cellIs" dxfId="5961" priority="393" operator="between">
      <formula>"E - Review not Required - Proceed"</formula>
      <formula>"E - Review not Required - Proceed"</formula>
    </cfRule>
  </conditionalFormatting>
  <conditionalFormatting sqref="P56">
    <cfRule type="cellIs" dxfId="5960" priority="234" stopIfTrue="1" operator="equal">
      <formula>"A - Work May Proceed"</formula>
    </cfRule>
  </conditionalFormatting>
  <conditionalFormatting sqref="Q31">
    <cfRule type="cellIs" dxfId="5959" priority="241" operator="equal">
      <formula>"D - Rejected"</formula>
    </cfRule>
    <cfRule type="cellIs" dxfId="5958" priority="242" operator="equal">
      <formula>"B- Incorporate Comments - Proceed"</formula>
    </cfRule>
    <cfRule type="cellIs" dxfId="5957" priority="243" operator="equal">
      <formula>"C - Revise and Resubmit - Do Not Proceed"</formula>
    </cfRule>
    <cfRule type="cellIs" dxfId="5956" priority="240" operator="equal">
      <formula>"E - Review not Required - Proceed"</formula>
    </cfRule>
  </conditionalFormatting>
  <conditionalFormatting sqref="Q56">
    <cfRule type="cellIs" dxfId="5955" priority="239" operator="equal">
      <formula>"A - Work May Proceed"</formula>
    </cfRule>
  </conditionalFormatting>
  <conditionalFormatting sqref="S27:XFD27 AY34:XFD34 Z44:XFD44 B46:XFD46 B48:XFD48 A64:XFD69 A70:B73 D70:XFD73">
    <cfRule type="cellIs" dxfId="5954" priority="39" operator="equal">
      <formula>"C - Revise and Resubmit - Do Not Proceed"</formula>
    </cfRule>
    <cfRule type="cellIs" dxfId="5953" priority="38" operator="equal">
      <formula>"B- Incorporate Comments - Proceed"</formula>
    </cfRule>
    <cfRule type="cellIs" dxfId="5952" priority="37" operator="equal">
      <formula>"D - Rejected"</formula>
    </cfRule>
    <cfRule type="cellIs" dxfId="5951" priority="36" operator="equal">
      <formula>"E - Review not Required - Proceed"</formula>
    </cfRule>
    <cfRule type="cellIs" dxfId="5950" priority="40" operator="equal">
      <formula>"A - Work May Proceed"</formula>
    </cfRule>
  </conditionalFormatting>
  <conditionalFormatting sqref="W11">
    <cfRule type="cellIs" dxfId="5949" priority="379" operator="between">
      <formula>"CANCELLED"</formula>
      <formula>"CANCELLED"</formula>
    </cfRule>
    <cfRule type="cellIs" dxfId="5948" priority="367" operator="equal">
      <formula>"B - Incorporate Comments - Proceed"</formula>
    </cfRule>
    <cfRule type="cellIs" dxfId="5947" priority="368" operator="equal">
      <formula>"For Information"</formula>
    </cfRule>
    <cfRule type="cellIs" dxfId="5946" priority="369" operator="equal">
      <formula>"B - Incorporate Comments - Proceed "</formula>
    </cfRule>
    <cfRule type="cellIs" dxfId="5945" priority="370" operator="equal">
      <formula>"E - Review Not Required - Proceed"</formula>
    </cfRule>
    <cfRule type="cellIs" dxfId="5944" priority="371" operator="between">
      <formula>"E - Review not Required - Proceed"</formula>
      <formula>"E - Review not Required - Proceed"</formula>
    </cfRule>
    <cfRule type="cellIs" dxfId="5943" priority="372" operator="between">
      <formula>"'D - Rejected "</formula>
      <formula>"'D - Rejected "</formula>
    </cfRule>
    <cfRule type="cellIs" dxfId="5942" priority="373" operator="between">
      <formula>"C - Revise and Resubmit - Do Not Proceed"</formula>
      <formula>"C - Revise and Resubmit - Do Not Proceed"</formula>
    </cfRule>
    <cfRule type="cellIs" dxfId="5941" priority="374" operator="between">
      <formula>"B - Incorporate Comments - Proceed"</formula>
      <formula>"B - Incorporate Comments - Proceed"</formula>
    </cfRule>
    <cfRule type="cellIs" dxfId="5940" priority="375" operator="between">
      <formula>"A - Work May Proceed"</formula>
      <formula>"A - Work May Proceed"</formula>
    </cfRule>
    <cfRule type="cellIs" dxfId="5939" priority="376" operator="between">
      <formula>"B - Incorporate Comments - Proceed"</formula>
      <formula>"B - Incorporate Comments - Proceed"</formula>
    </cfRule>
    <cfRule type="cellIs" dxfId="5938" priority="377" operator="between">
      <formula>"E - Review not Required - Proceed"</formula>
      <formula>"E - Review not Required - Proceed"</formula>
    </cfRule>
    <cfRule type="cellIs" dxfId="5937" priority="378" operator="between">
      <formula>"D - Rejected "</formula>
      <formula>"D - Rejected "</formula>
    </cfRule>
    <cfRule type="cellIs" dxfId="5936" priority="380" operator="between">
      <formula>"A - Work May Proceed"</formula>
      <formula>"A - Work May Proceed"</formula>
    </cfRule>
    <cfRule type="cellIs" dxfId="5935" priority="381" operator="between">
      <formula>"C - Revise and Resubmit - Do Not Proceed"</formula>
      <formula>"C - Revise and Resubmit - Do Not Proceed"</formula>
    </cfRule>
    <cfRule type="cellIs" dxfId="5934" priority="382" stopIfTrue="1" operator="between">
      <formula>"B - Incorporate Comments - Proceed "</formula>
      <formula>"B - Incorporate Comments - Proceed "</formula>
    </cfRule>
  </conditionalFormatting>
  <conditionalFormatting sqref="W55">
    <cfRule type="cellIs" dxfId="5933" priority="254" stopIfTrue="1" operator="equal">
      <formula>"A - Work May Proceed"</formula>
    </cfRule>
  </conditionalFormatting>
  <conditionalFormatting sqref="X55">
    <cfRule type="cellIs" dxfId="5932" priority="259" operator="equal">
      <formula>"A - Work May Proceed"</formula>
    </cfRule>
  </conditionalFormatting>
  <conditionalFormatting sqref="Z47:XFD47">
    <cfRule type="cellIs" dxfId="5931" priority="1" operator="equal">
      <formula>"E - Review not Required - Proceed"</formula>
    </cfRule>
    <cfRule type="cellIs" dxfId="5930" priority="2" operator="equal">
      <formula>"D - Rejected"</formula>
    </cfRule>
    <cfRule type="cellIs" dxfId="5929" priority="3" operator="equal">
      <formula>"B- Incorporate Comments - Proceed"</formula>
    </cfRule>
    <cfRule type="cellIs" dxfId="5928" priority="4" operator="equal">
      <formula>"C - Revise and Resubmit - Do Not Proceed"</formula>
    </cfRule>
    <cfRule type="cellIs" dxfId="5927" priority="5" operator="equal">
      <formula>"A - Work May Proceed"</formula>
    </cfRule>
  </conditionalFormatting>
  <conditionalFormatting sqref="AC57:AC60">
    <cfRule type="cellIs" dxfId="5926" priority="16" operator="equal">
      <formula>"E - Review not Required - Proceed"</formula>
    </cfRule>
    <cfRule type="cellIs" dxfId="5925" priority="17" operator="equal">
      <formula>"D - Rejected"</formula>
    </cfRule>
    <cfRule type="cellIs" dxfId="5924" priority="18" operator="equal">
      <formula>"B- Incorporate Comments - Proceed"</formula>
    </cfRule>
    <cfRule type="cellIs" dxfId="5923" priority="19" operator="equal">
      <formula>"C - Revise and Resubmit - Do Not Proceed"</formula>
    </cfRule>
    <cfRule type="cellIs" dxfId="5922" priority="20" operator="equal">
      <formula>"A - Work May Proceed"</formula>
    </cfRule>
  </conditionalFormatting>
  <conditionalFormatting sqref="AD11">
    <cfRule type="cellIs" dxfId="5921" priority="354" operator="equal">
      <formula>"E - Review Not Required - Proceed"</formula>
    </cfRule>
    <cfRule type="cellIs" dxfId="5920" priority="355" operator="between">
      <formula>"E - Review not Required - Proceed"</formula>
      <formula>"E - Review not Required - Proceed"</formula>
    </cfRule>
    <cfRule type="cellIs" dxfId="5919" priority="353" operator="equal">
      <formula>"B - Incorporate Comments - Proceed "</formula>
    </cfRule>
    <cfRule type="cellIs" dxfId="5918" priority="352" operator="equal">
      <formula>"For Information"</formula>
    </cfRule>
    <cfRule type="cellIs" dxfId="5917" priority="362" operator="between">
      <formula>"D - Rejected "</formula>
      <formula>"D - Rejected "</formula>
    </cfRule>
    <cfRule type="cellIs" dxfId="5916" priority="361" operator="between">
      <formula>"E - Review not Required - Proceed"</formula>
      <formula>"E - Review not Required - Proceed"</formula>
    </cfRule>
    <cfRule type="cellIs" dxfId="5915" priority="360" operator="between">
      <formula>"B - Incorporate Comments - Proceed"</formula>
      <formula>"B - Incorporate Comments - Proceed"</formula>
    </cfRule>
    <cfRule type="cellIs" dxfId="5914" priority="359" operator="between">
      <formula>"A - Work May Proceed"</formula>
      <formula>"A - Work May Proceed"</formula>
    </cfRule>
    <cfRule type="cellIs" dxfId="5913" priority="358" operator="between">
      <formula>"B - Incorporate Comments - Proceed"</formula>
      <formula>"B - Incorporate Comments - Proceed"</formula>
    </cfRule>
    <cfRule type="cellIs" dxfId="5912" priority="351" operator="equal">
      <formula>"B - Incorporate Comments - Proceed"</formula>
    </cfRule>
    <cfRule type="cellIs" dxfId="5911" priority="357" operator="between">
      <formula>"C - Revise and Resubmit - Do Not Proceed"</formula>
      <formula>"C - Revise and Resubmit - Do Not Proceed"</formula>
    </cfRule>
    <cfRule type="cellIs" dxfId="5910" priority="356" operator="between">
      <formula>"'D - Rejected "</formula>
      <formula>"'D - Rejected "</formula>
    </cfRule>
    <cfRule type="cellIs" dxfId="5909" priority="364" operator="between">
      <formula>"A - Work May Proceed"</formula>
      <formula>"A - Work May Proceed"</formula>
    </cfRule>
    <cfRule type="cellIs" dxfId="5908" priority="366" stopIfTrue="1" operator="between">
      <formula>"B - Incorporate Comments - Proceed "</formula>
      <formula>"B - Incorporate Comments - Proceed "</formula>
    </cfRule>
    <cfRule type="cellIs" dxfId="5907" priority="365" operator="between">
      <formula>"C - Revise and Resubmit - Do Not Proceed"</formula>
      <formula>"C - Revise and Resubmit - Do Not Proceed"</formula>
    </cfRule>
    <cfRule type="cellIs" dxfId="5906" priority="363" operator="between">
      <formula>"CANCELLED"</formula>
      <formula>"CANCELLED"</formula>
    </cfRule>
  </conditionalFormatting>
  <conditionalFormatting sqref="AD1:CA9 CB1:XFD10 A12:BZ12 CA12:XFD22 B13:BZ16 AV17:BZ17 B18:BZ21 AK22:BZ22 B28:XFD29 Q30:XFD30 B30:P31 S31:XFD31 B35:XFD35 W45:XFD45 AR49:XFD50 B51:XFD54 Z55:XFD55 S56:XFD56 BD57:XFD57 AD58:XFD60 Z61:XFD61 W62:XFD63 A74:XFD1048576">
    <cfRule type="cellIs" dxfId="5905" priority="210" operator="equal">
      <formula>"C - Revise and Resubmit - Do Not Proceed"</formula>
    </cfRule>
    <cfRule type="cellIs" dxfId="5904" priority="209" operator="equal">
      <formula>"B- Incorporate Comments - Proceed"</formula>
    </cfRule>
    <cfRule type="cellIs" dxfId="5903" priority="208" operator="equal">
      <formula>"D - Rejected"</formula>
    </cfRule>
    <cfRule type="cellIs" dxfId="5902" priority="207" operator="equal">
      <formula>"E - Review not Required - Proceed"</formula>
    </cfRule>
  </conditionalFormatting>
  <conditionalFormatting sqref="AD1:CA9 CB1:XFD10 A12:BZ12 CA12:XFD22 B13:BZ16 AV17:BZ17 B18:BZ21 AK22:BZ22 B28:XFD30 B31:Q31 S31:XFD31 B35:XFD35 W45:XFD45 AR49:XFD50 B51:XFD54 Z55:XFD55 S56:XFD56 BD57:XFD57 AD58:XFD60 Z61:XFD61 W62:XFD63 A74:XFD1048576">
    <cfRule type="cellIs" dxfId="5901" priority="249" operator="equal">
      <formula>"A - Work May Proceed"</formula>
    </cfRule>
  </conditionalFormatting>
  <conditionalFormatting sqref="AK11">
    <cfRule type="cellIs" dxfId="5900" priority="340" operator="between">
      <formula>"'D - Rejected "</formula>
      <formula>"'D - Rejected "</formula>
    </cfRule>
    <cfRule type="cellIs" dxfId="5899" priority="339" operator="between">
      <formula>"E - Review not Required - Proceed"</formula>
      <formula>"E - Review not Required - Proceed"</formula>
    </cfRule>
    <cfRule type="cellIs" dxfId="5898" priority="338" operator="equal">
      <formula>"E - Review Not Required - Proceed"</formula>
    </cfRule>
    <cfRule type="cellIs" dxfId="5897" priority="337" operator="equal">
      <formula>"B - Incorporate Comments - Proceed "</formula>
    </cfRule>
    <cfRule type="cellIs" dxfId="5896" priority="336" operator="equal">
      <formula>"For Information"</formula>
    </cfRule>
    <cfRule type="cellIs" dxfId="5895" priority="335" operator="equal">
      <formula>"B - Incorporate Comments - Proceed"</formula>
    </cfRule>
    <cfRule type="cellIs" dxfId="5894" priority="344" operator="between">
      <formula>"B - Incorporate Comments - Proceed"</formula>
      <formula>"B - Incorporate Comments - Proceed"</formula>
    </cfRule>
    <cfRule type="cellIs" dxfId="5893" priority="350" stopIfTrue="1" operator="between">
      <formula>"B - Incorporate Comments - Proceed "</formula>
      <formula>"B - Incorporate Comments - Proceed "</formula>
    </cfRule>
    <cfRule type="cellIs" dxfId="5892" priority="349" operator="between">
      <formula>"C - Revise and Resubmit - Do Not Proceed"</formula>
      <formula>"C - Revise and Resubmit - Do Not Proceed"</formula>
    </cfRule>
    <cfRule type="cellIs" dxfId="5891" priority="348" operator="between">
      <formula>"A - Work May Proceed"</formula>
      <formula>"A - Work May Proceed"</formula>
    </cfRule>
    <cfRule type="cellIs" dxfId="5890" priority="347" operator="between">
      <formula>"CANCELLED"</formula>
      <formula>"CANCELLED"</formula>
    </cfRule>
    <cfRule type="cellIs" dxfId="5889" priority="346" operator="between">
      <formula>"D - Rejected "</formula>
      <formula>"D - Rejected "</formula>
    </cfRule>
    <cfRule type="cellIs" dxfId="5888" priority="345" operator="between">
      <formula>"E - Review not Required - Proceed"</formula>
      <formula>"E - Review not Required - Proceed"</formula>
    </cfRule>
    <cfRule type="cellIs" dxfId="5887" priority="343" operator="between">
      <formula>"A - Work May Proceed"</formula>
      <formula>"A - Work May Proceed"</formula>
    </cfRule>
    <cfRule type="cellIs" dxfId="5886" priority="342" operator="between">
      <formula>"B - Incorporate Comments - Proceed"</formula>
      <formula>"B - Incorporate Comments - Proceed"</formula>
    </cfRule>
    <cfRule type="cellIs" dxfId="5885" priority="341" operator="between">
      <formula>"C - Revise and Resubmit - Do Not Proceed"</formula>
      <formula>"C - Revise and Resubmit - Do Not Proceed"</formula>
    </cfRule>
  </conditionalFormatting>
  <conditionalFormatting sqref="AR11">
    <cfRule type="cellIs" dxfId="5884" priority="300" operator="between">
      <formula>"C - Revise and Resubmit - Do Not Proceed"</formula>
      <formula>"C - Revise and Resubmit - Do Not Proceed"</formula>
    </cfRule>
    <cfRule type="cellIs" dxfId="5883" priority="301" operator="between">
      <formula>"B - Incorporate Comments - Proceed"</formula>
      <formula>"B - Incorporate Comments - Proceed"</formula>
    </cfRule>
    <cfRule type="cellIs" dxfId="5882" priority="302" operator="between">
      <formula>"A - Work May Proceed"</formula>
      <formula>"A - Work May Proceed"</formula>
    </cfRule>
    <cfRule type="cellIs" dxfId="5881" priority="303" operator="between">
      <formula>"B - Incorporate Comments - Proceed"</formula>
      <formula>"B - Incorporate Comments - Proceed"</formula>
    </cfRule>
    <cfRule type="cellIs" dxfId="5880" priority="304" operator="between">
      <formula>"E - Review not Required - Proceed"</formula>
      <formula>"E - Review not Required - Proceed"</formula>
    </cfRule>
    <cfRule type="cellIs" dxfId="5879" priority="305" operator="between">
      <formula>"D - Rejected "</formula>
      <formula>"D - Rejected "</formula>
    </cfRule>
    <cfRule type="cellIs" dxfId="5878" priority="306" operator="between">
      <formula>"CANCELLED"</formula>
      <formula>"CANCELLED"</formula>
    </cfRule>
    <cfRule type="cellIs" dxfId="5877" priority="307" operator="between">
      <formula>"A - Work May Proceed"</formula>
      <formula>"A - Work May Proceed"</formula>
    </cfRule>
    <cfRule type="cellIs" dxfId="5876" priority="308" operator="between">
      <formula>"C - Revise and Resubmit - Do Not Proceed"</formula>
      <formula>"C - Revise and Resubmit - Do Not Proceed"</formula>
    </cfRule>
    <cfRule type="cellIs" dxfId="5875" priority="309" stopIfTrue="1" operator="between">
      <formula>"B - Incorporate Comments - Proceed "</formula>
      <formula>"B - Incorporate Comments - Proceed "</formula>
    </cfRule>
    <cfRule type="cellIs" dxfId="5874" priority="294" operator="equal">
      <formula>"A - Work May Proceed"</formula>
    </cfRule>
    <cfRule type="cellIs" dxfId="5873" priority="290" operator="equal">
      <formula>"E - Review not Required - Proceed"</formula>
    </cfRule>
    <cfRule type="cellIs" dxfId="5872" priority="291" operator="equal">
      <formula>"D - Rejected"</formula>
    </cfRule>
    <cfRule type="cellIs" dxfId="5871" priority="292" operator="equal">
      <formula>"B - Incorporate Comments - Proceed"</formula>
    </cfRule>
    <cfRule type="cellIs" dxfId="5870" priority="293" operator="equal">
      <formula>"C - Revise and Resubmit - Do Not Proceed"</formula>
    </cfRule>
    <cfRule type="cellIs" dxfId="5869" priority="295" operator="equal">
      <formula>"For Information"</formula>
    </cfRule>
    <cfRule type="cellIs" dxfId="5868" priority="296" operator="equal">
      <formula>"B - Incorporate Comments - Proceed "</formula>
    </cfRule>
    <cfRule type="cellIs" dxfId="5867" priority="297" operator="equal">
      <formula>"E - Review Not Required - Proceed"</formula>
    </cfRule>
    <cfRule type="cellIs" dxfId="5866" priority="298" operator="between">
      <formula>"E - Review not Required - Proceed"</formula>
      <formula>"E - Review not Required - Proceed"</formula>
    </cfRule>
    <cfRule type="cellIs" dxfId="5865" priority="299" operator="between">
      <formula>"'D - Rejected "</formula>
      <formula>"'D - Rejected "</formula>
    </cfRule>
  </conditionalFormatting>
  <conditionalFormatting sqref="AU34:AW34">
    <cfRule type="cellIs" dxfId="5864" priority="229" operator="equal">
      <formula>"A - Work May Proceed"</formula>
    </cfRule>
    <cfRule type="cellIs" dxfId="5863" priority="225" operator="equal">
      <formula>"E - Review not Required - Proceed"</formula>
    </cfRule>
    <cfRule type="cellIs" dxfId="5862" priority="226" operator="equal">
      <formula>"D - Rejected"</formula>
    </cfRule>
    <cfRule type="cellIs" dxfId="5861" priority="227" operator="equal">
      <formula>"B- Incorporate Comments - Proceed"</formula>
    </cfRule>
    <cfRule type="cellIs" dxfId="5860" priority="228" operator="equal">
      <formula>"C - Revise and Resubmit - Do Not Proceed"</formula>
    </cfRule>
  </conditionalFormatting>
  <conditionalFormatting sqref="AU36:AW36">
    <cfRule type="cellIs" dxfId="5859" priority="220" operator="equal">
      <formula>"E - Review not Required - Proceed"</formula>
    </cfRule>
    <cfRule type="cellIs" dxfId="5858" priority="221" operator="equal">
      <formula>"D - Rejected"</formula>
    </cfRule>
    <cfRule type="cellIs" dxfId="5857" priority="222" operator="equal">
      <formula>"B- Incorporate Comments - Proceed"</formula>
    </cfRule>
    <cfRule type="cellIs" dxfId="5856" priority="224" operator="equal">
      <formula>"A - Work May Proceed"</formula>
    </cfRule>
    <cfRule type="cellIs" dxfId="5855" priority="223" operator="equal">
      <formula>"C - Revise and Resubmit - Do Not Proceed"</formula>
    </cfRule>
  </conditionalFormatting>
  <conditionalFormatting sqref="AY11">
    <cfRule type="cellIs" dxfId="5854" priority="324" operator="between">
      <formula>"E - Review not Required - Proceed"</formula>
      <formula>"E - Review not Required - Proceed"</formula>
    </cfRule>
    <cfRule type="cellIs" dxfId="5853" priority="317" operator="equal">
      <formula>"E - Review Not Required - Proceed"</formula>
    </cfRule>
    <cfRule type="cellIs" dxfId="5852" priority="315" operator="equal">
      <formula>"For Information"</formula>
    </cfRule>
    <cfRule type="cellIs" dxfId="5851" priority="314" operator="equal">
      <formula>"A - Work May Proceed"</formula>
    </cfRule>
    <cfRule type="cellIs" dxfId="5850" priority="313" operator="equal">
      <formula>"C - Revise and Resubmit - Do Not Proceed"</formula>
    </cfRule>
    <cfRule type="cellIs" dxfId="5849" priority="311" operator="equal">
      <formula>"D - Rejected"</formula>
    </cfRule>
    <cfRule type="cellIs" dxfId="5848" priority="310" operator="equal">
      <formula>"E - Review not Required - Proceed"</formula>
    </cfRule>
    <cfRule type="cellIs" dxfId="5847" priority="312" operator="equal">
      <formula>"B - Incorporate Comments - Proceed"</formula>
    </cfRule>
    <cfRule type="cellIs" dxfId="5846" priority="329" stopIfTrue="1" operator="between">
      <formula>"B - Incorporate Comments - Proceed "</formula>
      <formula>"B - Incorporate Comments - Proceed "</formula>
    </cfRule>
    <cfRule type="cellIs" dxfId="5845" priority="328" operator="between">
      <formula>"C - Revise and Resubmit - Do Not Proceed"</formula>
      <formula>"C - Revise and Resubmit - Do Not Proceed"</formula>
    </cfRule>
    <cfRule type="cellIs" dxfId="5844" priority="327" operator="between">
      <formula>"A - Work May Proceed"</formula>
      <formula>"A - Work May Proceed"</formula>
    </cfRule>
    <cfRule type="cellIs" dxfId="5843" priority="326" operator="between">
      <formula>"CANCELLED"</formula>
      <formula>"CANCELLED"</formula>
    </cfRule>
    <cfRule type="cellIs" dxfId="5842" priority="325" operator="between">
      <formula>"D - Rejected "</formula>
      <formula>"D - Rejected "</formula>
    </cfRule>
    <cfRule type="cellIs" dxfId="5841" priority="323" operator="between">
      <formula>"B - Incorporate Comments - Proceed"</formula>
      <formula>"B - Incorporate Comments - Proceed"</formula>
    </cfRule>
    <cfRule type="cellIs" dxfId="5840" priority="322" operator="between">
      <formula>"A - Work May Proceed"</formula>
      <formula>"A - Work May Proceed"</formula>
    </cfRule>
    <cfRule type="cellIs" dxfId="5839" priority="321" operator="between">
      <formula>"B - Incorporate Comments - Proceed"</formula>
      <formula>"B - Incorporate Comments - Proceed"</formula>
    </cfRule>
    <cfRule type="cellIs" dxfId="5838" priority="320" operator="between">
      <formula>"C - Revise and Resubmit - Do Not Proceed"</formula>
      <formula>"C - Revise and Resubmit - Do Not Proceed"</formula>
    </cfRule>
    <cfRule type="cellIs" dxfId="5837" priority="319" operator="between">
      <formula>"'D - Rejected "</formula>
      <formula>"'D - Rejected "</formula>
    </cfRule>
    <cfRule type="cellIs" dxfId="5836" priority="318" operator="between">
      <formula>"E - Review not Required - Proceed"</formula>
      <formula>"E - Review not Required - Proceed"</formula>
    </cfRule>
    <cfRule type="cellIs" dxfId="5835" priority="316" operator="equal">
      <formula>"B - Incorporate Comments - Proceed "</formula>
    </cfRule>
  </conditionalFormatting>
  <conditionalFormatting sqref="BF11">
    <cfRule type="cellIs" dxfId="5834" priority="155" operator="between">
      <formula>"'D - Rejected "</formula>
      <formula>"'D - Rejected "</formula>
    </cfRule>
    <cfRule type="cellIs" dxfId="5833" priority="154" operator="between">
      <formula>"E - Review not Required - Proceed"</formula>
      <formula>"E - Review not Required - Proceed"</formula>
    </cfRule>
    <cfRule type="cellIs" dxfId="5832" priority="153" operator="equal">
      <formula>"E - Review Not Required - Proceed"</formula>
    </cfRule>
    <cfRule type="cellIs" dxfId="5831" priority="152" operator="equal">
      <formula>"B - Incorporate Comments - Proceed "</formula>
    </cfRule>
    <cfRule type="cellIs" dxfId="5830" priority="151" operator="equal">
      <formula>"For Information"</formula>
    </cfRule>
    <cfRule type="cellIs" dxfId="5829" priority="150" operator="equal">
      <formula>"A - Work May Proceed"</formula>
    </cfRule>
    <cfRule type="cellIs" dxfId="5828" priority="149" operator="equal">
      <formula>"C - Revise and Resubmit - Do Not Proceed"</formula>
    </cfRule>
    <cfRule type="cellIs" dxfId="5827" priority="148" operator="equal">
      <formula>"B - Incorporate Comments - Proceed"</formula>
    </cfRule>
    <cfRule type="cellIs" dxfId="5826" priority="146" operator="equal">
      <formula>"E - Review not Required - Proceed"</formula>
    </cfRule>
    <cfRule type="cellIs" dxfId="5825" priority="147" operator="equal">
      <formula>"D - Rejected"</formula>
    </cfRule>
    <cfRule type="cellIs" dxfId="5824" priority="162" operator="between">
      <formula>"CANCELLED"</formula>
      <formula>"CANCELLED"</formula>
    </cfRule>
    <cfRule type="cellIs" dxfId="5823" priority="163" operator="between">
      <formula>"A - Work May Proceed"</formula>
      <formula>"A - Work May Proceed"</formula>
    </cfRule>
    <cfRule type="cellIs" dxfId="5822" priority="164" operator="between">
      <formula>"C - Revise and Resubmit - Do Not Proceed"</formula>
      <formula>"C - Revise and Resubmit - Do Not Proceed"</formula>
    </cfRule>
    <cfRule type="cellIs" dxfId="5821" priority="165" stopIfTrue="1" operator="between">
      <formula>"B - Incorporate Comments - Proceed "</formula>
      <formula>"B - Incorporate Comments - Proceed "</formula>
    </cfRule>
    <cfRule type="cellIs" dxfId="5820" priority="160" operator="between">
      <formula>"E - Review not Required - Proceed"</formula>
      <formula>"E - Review not Required - Proceed"</formula>
    </cfRule>
    <cfRule type="cellIs" dxfId="5819" priority="161" operator="between">
      <formula>"D - Rejected "</formula>
      <formula>"D - Rejected "</formula>
    </cfRule>
    <cfRule type="cellIs" dxfId="5818" priority="159" operator="between">
      <formula>"B - Incorporate Comments - Proceed"</formula>
      <formula>"B - Incorporate Comments - Proceed"</formula>
    </cfRule>
    <cfRule type="cellIs" dxfId="5817" priority="158" operator="between">
      <formula>"A - Work May Proceed"</formula>
      <formula>"A - Work May Proceed"</formula>
    </cfRule>
    <cfRule type="cellIs" dxfId="5816" priority="157" operator="between">
      <formula>"B - Incorporate Comments - Proceed"</formula>
      <formula>"B - Incorporate Comments - Proceed"</formula>
    </cfRule>
    <cfRule type="cellIs" dxfId="5815" priority="156" operator="between">
      <formula>"C - Revise and Resubmit - Do Not Proceed"</formula>
      <formula>"C - Revise and Resubmit - Do Not Proceed"</formula>
    </cfRule>
  </conditionalFormatting>
  <conditionalFormatting sqref="BM11">
    <cfRule type="cellIs" dxfId="5814" priority="129" operator="between">
      <formula>"B - Incorporate Comments - Proceed"</formula>
      <formula>"B - Incorporate Comments - Proceed"</formula>
    </cfRule>
    <cfRule type="cellIs" dxfId="5813" priority="131" operator="between">
      <formula>"D - Rejected "</formula>
      <formula>"D - Rejected "</formula>
    </cfRule>
    <cfRule type="cellIs" dxfId="5812" priority="117" operator="equal">
      <formula>"D - Rejected"</formula>
    </cfRule>
    <cfRule type="cellIs" dxfId="5811" priority="118" operator="equal">
      <formula>"B - Incorporate Comments - Proceed"</formula>
    </cfRule>
    <cfRule type="cellIs" dxfId="5810" priority="116" operator="equal">
      <formula>"E - Review not Required - Proceed"</formula>
    </cfRule>
    <cfRule type="cellIs" dxfId="5809" priority="135" stopIfTrue="1" operator="between">
      <formula>"B - Incorporate Comments - Proceed "</formula>
      <formula>"B - Incorporate Comments - Proceed "</formula>
    </cfRule>
    <cfRule type="cellIs" dxfId="5808" priority="134" operator="between">
      <formula>"C - Revise and Resubmit - Do Not Proceed"</formula>
      <formula>"C - Revise and Resubmit - Do Not Proceed"</formula>
    </cfRule>
    <cfRule type="cellIs" dxfId="5807" priority="133" operator="between">
      <formula>"A - Work May Proceed"</formula>
      <formula>"A - Work May Proceed"</formula>
    </cfRule>
    <cfRule type="cellIs" dxfId="5806" priority="132" operator="between">
      <formula>"CANCELLED"</formula>
      <formula>"CANCELLED"</formula>
    </cfRule>
    <cfRule type="cellIs" dxfId="5805" priority="130" operator="between">
      <formula>"E - Review not Required - Proceed"</formula>
      <formula>"E - Review not Required - Proceed"</formula>
    </cfRule>
    <cfRule type="cellIs" dxfId="5804" priority="128" operator="between">
      <formula>"A - Work May Proceed"</formula>
      <formula>"A - Work May Proceed"</formula>
    </cfRule>
    <cfRule type="cellIs" dxfId="5803" priority="127" operator="between">
      <formula>"B - Incorporate Comments - Proceed"</formula>
      <formula>"B - Incorporate Comments - Proceed"</formula>
    </cfRule>
    <cfRule type="cellIs" dxfId="5802" priority="126" operator="between">
      <formula>"C - Revise and Resubmit - Do Not Proceed"</formula>
      <formula>"C - Revise and Resubmit - Do Not Proceed"</formula>
    </cfRule>
    <cfRule type="cellIs" dxfId="5801" priority="125" operator="between">
      <formula>"'D - Rejected "</formula>
      <formula>"'D - Rejected "</formula>
    </cfRule>
    <cfRule type="cellIs" dxfId="5800" priority="124" operator="between">
      <formula>"E - Review not Required - Proceed"</formula>
      <formula>"E - Review not Required - Proceed"</formula>
    </cfRule>
    <cfRule type="cellIs" dxfId="5799" priority="123" operator="equal">
      <formula>"E - Review Not Required - Proceed"</formula>
    </cfRule>
    <cfRule type="cellIs" dxfId="5798" priority="122" operator="equal">
      <formula>"B - Incorporate Comments - Proceed "</formula>
    </cfRule>
    <cfRule type="cellIs" dxfId="5797" priority="121" operator="equal">
      <formula>"For Information"</formula>
    </cfRule>
    <cfRule type="cellIs" dxfId="5796" priority="120" operator="equal">
      <formula>"A - Work May Proceed"</formula>
    </cfRule>
    <cfRule type="cellIs" dxfId="5795" priority="119" operator="equal">
      <formula>"C - Revise and Resubmit - Do Not Proceed"</formula>
    </cfRule>
  </conditionalFormatting>
  <conditionalFormatting sqref="BT11">
    <cfRule type="cellIs" dxfId="5794" priority="57" operator="equal">
      <formula>"D - Rejected"</formula>
    </cfRule>
    <cfRule type="cellIs" dxfId="5793" priority="72" operator="between">
      <formula>"CANCELLED"</formula>
      <formula>"CANCELLED"</formula>
    </cfRule>
    <cfRule type="cellIs" dxfId="5792" priority="58" operator="equal">
      <formula>"B - Incorporate Comments - Proceed"</formula>
    </cfRule>
    <cfRule type="cellIs" dxfId="5791" priority="59" operator="equal">
      <formula>"C - Revise and Resubmit - Do Not Proceed"</formula>
    </cfRule>
    <cfRule type="cellIs" dxfId="5790" priority="60" operator="equal">
      <formula>"A - Work May Proceed"</formula>
    </cfRule>
    <cfRule type="cellIs" dxfId="5789" priority="61" operator="equal">
      <formula>"For Information"</formula>
    </cfRule>
    <cfRule type="cellIs" dxfId="5788" priority="71" operator="between">
      <formula>"D - Rejected "</formula>
      <formula>"D - Rejected "</formula>
    </cfRule>
    <cfRule type="cellIs" dxfId="5787" priority="62" operator="equal">
      <formula>"B - Incorporate Comments - Proceed "</formula>
    </cfRule>
    <cfRule type="cellIs" dxfId="5786" priority="73" operator="between">
      <formula>"A - Work May Proceed"</formula>
      <formula>"A - Work May Proceed"</formula>
    </cfRule>
    <cfRule type="cellIs" dxfId="5785" priority="63" operator="equal">
      <formula>"E - Review Not Required - Proceed"</formula>
    </cfRule>
    <cfRule type="cellIs" dxfId="5784" priority="64" operator="between">
      <formula>"E - Review not Required - Proceed"</formula>
      <formula>"E - Review not Required - Proceed"</formula>
    </cfRule>
    <cfRule type="cellIs" dxfId="5783" priority="66" operator="between">
      <formula>"C - Revise and Resubmit - Do Not Proceed"</formula>
      <formula>"C - Revise and Resubmit - Do Not Proceed"</formula>
    </cfRule>
    <cfRule type="cellIs" dxfId="5782" priority="67" operator="between">
      <formula>"B - Incorporate Comments - Proceed"</formula>
      <formula>"B - Incorporate Comments - Proceed"</formula>
    </cfRule>
    <cfRule type="cellIs" dxfId="5781" priority="74" operator="between">
      <formula>"C - Revise and Resubmit - Do Not Proceed"</formula>
      <formula>"C - Revise and Resubmit - Do Not Proceed"</formula>
    </cfRule>
    <cfRule type="cellIs" dxfId="5780" priority="75" stopIfTrue="1" operator="between">
      <formula>"B - Incorporate Comments - Proceed "</formula>
      <formula>"B - Incorporate Comments - Proceed "</formula>
    </cfRule>
    <cfRule type="cellIs" dxfId="5779" priority="70" operator="between">
      <formula>"E - Review not Required - Proceed"</formula>
      <formula>"E - Review not Required - Proceed"</formula>
    </cfRule>
    <cfRule type="cellIs" dxfId="5778" priority="65" operator="between">
      <formula>"'D - Rejected "</formula>
      <formula>"'D - Rejected "</formula>
    </cfRule>
    <cfRule type="cellIs" dxfId="5777" priority="69" operator="between">
      <formula>"B - Incorporate Comments - Proceed"</formula>
      <formula>"B - Incorporate Comments - Proceed"</formula>
    </cfRule>
    <cfRule type="cellIs" dxfId="5776" priority="68" operator="between">
      <formula>"A - Work May Proceed"</formula>
      <formula>"A - Work May Proceed"</formula>
    </cfRule>
    <cfRule type="cellIs" dxfId="5775" priority="56" operator="equal">
      <formula>"E - Review not Required - Proceed"</formula>
    </cfRule>
  </conditionalFormatting>
  <pageMargins left="0.7" right="0.7" top="0.75" bottom="0.75" header="0.3" footer="0.3"/>
  <pageSetup paperSize="8" scale="10" fitToHeight="0" orientation="landscape" r:id="rId1"/>
  <colBreaks count="1" manualBreakCount="1">
    <brk id="78" max="19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theme="4"/>
    <pageSetUpPr fitToPage="1"/>
  </sheetPr>
  <dimension ref="A1:BF184"/>
  <sheetViews>
    <sheetView zoomScale="55" zoomScaleNormal="55" zoomScaleSheetLayoutView="55" workbookViewId="0">
      <pane ySplit="11" topLeftCell="A136" activePane="bottomLeft" state="frozen"/>
      <selection activeCell="A14" sqref="A14"/>
      <selection pane="bottomLeft" activeCell="D147" sqref="D147"/>
    </sheetView>
  </sheetViews>
  <sheetFormatPr defaultColWidth="9.140625" defaultRowHeight="15" x14ac:dyDescent="0.25"/>
  <cols>
    <col min="1" max="1" width="23.42578125" style="393" customWidth="1"/>
    <col min="2" max="2" width="32" style="393" customWidth="1"/>
    <col min="3" max="3" width="24.42578125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19.7109375" style="393" customWidth="1"/>
    <col min="9" max="9" width="33.7109375" style="394" customWidth="1"/>
    <col min="10" max="10" width="30.140625" style="395" customWidth="1"/>
    <col min="11" max="12" width="30.140625" style="394" customWidth="1"/>
    <col min="13" max="13" width="30.140625" style="395" customWidth="1"/>
    <col min="14" max="14" width="30.140625" style="396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0.140625" style="398" customWidth="1"/>
    <col min="22" max="23" width="30.140625" style="393" customWidth="1"/>
    <col min="24" max="24" width="30.140625" style="397" customWidth="1"/>
    <col min="25" max="26" width="30.140625" style="393" customWidth="1"/>
    <col min="27" max="27" width="30.140625" style="397" customWidth="1"/>
    <col min="28" max="28" width="30.140625" style="398" customWidth="1"/>
    <col min="29" max="30" width="30.140625" style="393" customWidth="1"/>
    <col min="31" max="31" width="30.140625" style="397" customWidth="1"/>
    <col min="32" max="33" width="30.140625" style="393" customWidth="1"/>
    <col min="34" max="34" width="30.140625" style="397" customWidth="1"/>
    <col min="35" max="35" width="30.140625" style="398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35.42578125" style="44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 s="61"/>
      <c r="L1"/>
      <c r="M1"/>
      <c r="N1" s="111"/>
      <c r="O1"/>
      <c r="P1"/>
      <c r="Q1"/>
      <c r="R1"/>
      <c r="S1"/>
      <c r="T1"/>
      <c r="U1" s="111"/>
      <c r="V1" s="7"/>
      <c r="W1" s="7"/>
      <c r="X1" s="18"/>
      <c r="Y1" s="7"/>
      <c r="Z1" s="7"/>
      <c r="AA1" s="18"/>
      <c r="AB1" s="121"/>
      <c r="AC1" s="7"/>
      <c r="AD1" s="7"/>
      <c r="AE1" s="18"/>
      <c r="AF1" s="7"/>
      <c r="AG1" s="7"/>
      <c r="AH1" s="18"/>
      <c r="AI1" s="121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2"/>
    </row>
    <row r="2" spans="1:58" s="379" customFormat="1" ht="24" customHeight="1" x14ac:dyDescent="0.35">
      <c r="A2" s="8"/>
      <c r="B2" s="25" t="s">
        <v>28</v>
      </c>
      <c r="C2" s="26" t="s">
        <v>31</v>
      </c>
      <c r="D2" s="26"/>
      <c r="E2" s="26"/>
      <c r="F2" s="27"/>
      <c r="G2" s="8"/>
      <c r="H2" s="548"/>
      <c r="I2" s="558"/>
      <c r="J2"/>
      <c r="K2" s="61"/>
      <c r="L2"/>
      <c r="M2"/>
      <c r="N2" s="111"/>
      <c r="O2"/>
      <c r="P2"/>
      <c r="Q2"/>
      <c r="R2"/>
      <c r="S2"/>
      <c r="T2"/>
      <c r="U2" s="111"/>
      <c r="V2" s="7"/>
      <c r="W2" s="7"/>
      <c r="X2" s="18"/>
      <c r="Y2" s="7"/>
      <c r="Z2" s="7"/>
      <c r="AA2" s="18"/>
      <c r="AB2" s="121"/>
      <c r="AC2" s="7"/>
      <c r="AD2" s="7"/>
      <c r="AE2" s="18"/>
      <c r="AF2" s="7"/>
      <c r="AG2" s="7"/>
      <c r="AH2" s="18"/>
      <c r="AI2" s="121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2"/>
    </row>
    <row r="3" spans="1:58" s="379" customFormat="1" ht="24" customHeight="1" x14ac:dyDescent="0.35">
      <c r="A3" s="8"/>
      <c r="B3" s="25" t="s">
        <v>507</v>
      </c>
      <c r="C3" s="26" t="s">
        <v>277</v>
      </c>
      <c r="D3" s="26"/>
      <c r="E3" s="26"/>
      <c r="F3" s="27"/>
      <c r="G3" s="8"/>
      <c r="H3" s="8"/>
      <c r="I3"/>
      <c r="J3"/>
      <c r="K3" s="61"/>
      <c r="L3"/>
      <c r="M3"/>
      <c r="N3" s="111"/>
      <c r="O3"/>
      <c r="P3"/>
      <c r="Q3"/>
      <c r="R3"/>
      <c r="S3"/>
      <c r="T3"/>
      <c r="U3" s="111"/>
      <c r="V3" s="7"/>
      <c r="W3" s="7"/>
      <c r="X3" s="18"/>
      <c r="Y3" s="7"/>
      <c r="Z3" s="7"/>
      <c r="AA3" s="18"/>
      <c r="AB3" s="121"/>
      <c r="AC3" s="7"/>
      <c r="AD3" s="7"/>
      <c r="AE3" s="18"/>
      <c r="AF3" s="7"/>
      <c r="AG3" s="7"/>
      <c r="AH3" s="18"/>
      <c r="AI3" s="121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2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 s="61"/>
      <c r="L4"/>
      <c r="M4"/>
      <c r="N4" s="111"/>
      <c r="O4"/>
      <c r="P4"/>
      <c r="Q4"/>
      <c r="R4"/>
      <c r="S4"/>
      <c r="T4"/>
      <c r="U4" s="111"/>
      <c r="V4" s="7"/>
      <c r="W4" s="7"/>
      <c r="X4" s="18"/>
      <c r="Y4" s="7"/>
      <c r="Z4" s="7"/>
      <c r="AA4" s="18"/>
      <c r="AB4" s="121"/>
      <c r="AC4" s="7"/>
      <c r="AD4" s="7"/>
      <c r="AE4" s="18"/>
      <c r="AF4" s="7"/>
      <c r="AG4" s="7"/>
      <c r="AH4" s="18"/>
      <c r="AI4" s="121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2"/>
    </row>
    <row r="5" spans="1:58" s="379" customFormat="1" ht="30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168" t="s">
        <v>508</v>
      </c>
      <c r="K5" s="61"/>
      <c r="L5"/>
      <c r="M5"/>
      <c r="N5" s="111"/>
      <c r="O5"/>
      <c r="P5"/>
      <c r="Q5"/>
      <c r="R5"/>
      <c r="S5"/>
      <c r="T5"/>
      <c r="U5" s="111"/>
      <c r="V5" s="7"/>
      <c r="W5" s="7"/>
      <c r="X5" s="18"/>
      <c r="Y5" s="7"/>
      <c r="Z5" s="7"/>
      <c r="AA5" s="18"/>
      <c r="AB5" s="121"/>
      <c r="AC5" s="7"/>
      <c r="AD5" s="7"/>
      <c r="AE5" s="18"/>
      <c r="AF5" s="7"/>
      <c r="AG5" s="7"/>
      <c r="AH5" s="18"/>
      <c r="AI5" s="121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2"/>
    </row>
    <row r="6" spans="1:58" s="379" customFormat="1" ht="24" customHeight="1" x14ac:dyDescent="0.35">
      <c r="A6" s="8"/>
      <c r="B6" s="64">
        <f>COUNTIF(B12:B208,"A - Work May Proceed")</f>
        <v>70</v>
      </c>
      <c r="C6" s="65">
        <f>COUNTIF(B12:B175,"B- Incorporate Comments - Proceed")</f>
        <v>5</v>
      </c>
      <c r="D6" s="65">
        <f>COUNTIF(B12:B208,"C - Revise and Resubmit - Do Not Proceed")</f>
        <v>8</v>
      </c>
      <c r="E6" s="65">
        <f>COUNTIF(B12:B208,"D - Rejected")</f>
        <v>0</v>
      </c>
      <c r="F6" s="65">
        <f>COUNTIF(B12:B208,"E - Review not Required - Proceed")</f>
        <v>0</v>
      </c>
      <c r="G6" s="66">
        <f>COUNTIF(B12:B208,"UR")</f>
        <v>6</v>
      </c>
      <c r="H6" s="66">
        <f>COUNTIF(B12:B208,"FA")</f>
        <v>0</v>
      </c>
      <c r="I6" s="66">
        <f>COUNTIF(B12:B208,"Terminated")</f>
        <v>0</v>
      </c>
      <c r="J6" s="169">
        <f>COUNTIF(B12:B208,"Cancelled")</f>
        <v>44</v>
      </c>
      <c r="K6" s="61"/>
      <c r="L6"/>
      <c r="M6"/>
      <c r="N6" s="111"/>
      <c r="O6"/>
      <c r="P6"/>
      <c r="Q6"/>
      <c r="R6"/>
      <c r="S6"/>
      <c r="T6"/>
      <c r="U6" s="111"/>
      <c r="V6" s="7"/>
      <c r="W6" s="7"/>
      <c r="X6" s="18"/>
      <c r="Y6" s="7"/>
      <c r="Z6" s="7"/>
      <c r="AA6" s="18"/>
      <c r="AB6" s="121"/>
      <c r="AC6" s="7"/>
      <c r="AD6" s="7"/>
      <c r="AE6" s="18"/>
      <c r="AF6" s="7"/>
      <c r="AG6" s="7"/>
      <c r="AH6" s="18"/>
      <c r="AI6" s="121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2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 s="61"/>
      <c r="L7"/>
      <c r="M7"/>
      <c r="N7" s="111"/>
      <c r="O7"/>
      <c r="P7"/>
      <c r="Q7"/>
      <c r="R7"/>
      <c r="S7"/>
      <c r="T7"/>
      <c r="U7" s="111"/>
      <c r="V7" s="7"/>
      <c r="W7" s="7"/>
      <c r="X7" s="18"/>
      <c r="Y7" s="7"/>
      <c r="Z7" s="7"/>
      <c r="AA7" s="18"/>
      <c r="AB7" s="121"/>
      <c r="AC7" s="7"/>
      <c r="AD7" s="7"/>
      <c r="AE7" s="18"/>
      <c r="AF7" s="7"/>
      <c r="AG7" s="7"/>
      <c r="AH7" s="18"/>
      <c r="AI7" s="121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2"/>
    </row>
    <row r="8" spans="1:58" s="379" customFormat="1" ht="24" customHeight="1" x14ac:dyDescent="0.35">
      <c r="A8" s="8"/>
      <c r="B8" s="72" t="s">
        <v>509</v>
      </c>
      <c r="C8" s="73">
        <f>SUM(B6:J6)</f>
        <v>133</v>
      </c>
      <c r="D8" s="69"/>
      <c r="E8" s="70"/>
      <c r="F8" s="70"/>
      <c r="G8" s="74"/>
      <c r="H8" s="75"/>
      <c r="I8" s="76"/>
      <c r="J8" s="75"/>
      <c r="K8" s="61"/>
      <c r="L8"/>
      <c r="M8"/>
      <c r="N8" s="111"/>
      <c r="O8"/>
      <c r="P8"/>
      <c r="Q8"/>
      <c r="R8"/>
      <c r="S8"/>
      <c r="T8"/>
      <c r="U8" s="111"/>
      <c r="V8" s="7"/>
      <c r="W8" s="7"/>
      <c r="X8" s="18"/>
      <c r="Y8" s="7"/>
      <c r="Z8" s="7"/>
      <c r="AA8" s="18"/>
      <c r="AB8" s="121"/>
      <c r="AC8" s="7"/>
      <c r="AD8" s="7"/>
      <c r="AE8" s="18"/>
      <c r="AF8" s="7"/>
      <c r="AG8" s="7"/>
      <c r="AH8" s="18"/>
      <c r="AI8" s="121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2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 s="412"/>
      <c r="L9"/>
      <c r="M9"/>
      <c r="N9" s="111"/>
      <c r="O9"/>
      <c r="P9"/>
      <c r="Q9"/>
      <c r="R9"/>
      <c r="S9"/>
      <c r="T9"/>
      <c r="U9" s="111"/>
      <c r="V9" s="7"/>
      <c r="W9" s="7"/>
      <c r="X9" s="18"/>
      <c r="Y9" s="7"/>
      <c r="Z9" s="7"/>
      <c r="AA9" s="18"/>
      <c r="AB9" s="121"/>
      <c r="AC9" s="7"/>
      <c r="AD9" s="7"/>
      <c r="AE9" s="18"/>
      <c r="AF9" s="7"/>
      <c r="AG9" s="7"/>
      <c r="AH9" s="18"/>
      <c r="AI9" s="121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2"/>
    </row>
    <row r="10" spans="1:58" s="405" customFormat="1" ht="36.75" customHeight="1" x14ac:dyDescent="0.2">
      <c r="A10" s="559" t="s">
        <v>3259</v>
      </c>
      <c r="B10" s="554" t="s">
        <v>17</v>
      </c>
      <c r="C10" s="556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7"/>
      <c r="D11" s="557"/>
      <c r="E11" s="557"/>
      <c r="F11" s="557"/>
      <c r="G11" s="553"/>
      <c r="H11" s="540"/>
      <c r="I11" s="46" t="s">
        <v>0</v>
      </c>
      <c r="J11" s="52" t="s">
        <v>9</v>
      </c>
      <c r="K11" s="46" t="s">
        <v>11</v>
      </c>
      <c r="L11" s="89" t="s">
        <v>939</v>
      </c>
      <c r="M11" s="52" t="s">
        <v>6</v>
      </c>
      <c r="N11" s="112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113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120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24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56" t="s">
        <v>5</v>
      </c>
      <c r="C12" s="56" t="s">
        <v>2384</v>
      </c>
      <c r="D12" s="10" t="s">
        <v>275</v>
      </c>
      <c r="E12" s="12" t="s">
        <v>276</v>
      </c>
      <c r="F12" s="16" t="s">
        <v>274</v>
      </c>
      <c r="G12" s="10" t="s">
        <v>30</v>
      </c>
      <c r="H12" s="10" t="s">
        <v>277</v>
      </c>
      <c r="I12" s="55" t="s">
        <v>18</v>
      </c>
      <c r="J12" s="53">
        <v>45566</v>
      </c>
      <c r="K12" s="13" t="s">
        <v>278</v>
      </c>
      <c r="L12" s="53">
        <f>J12+7</f>
        <v>45573</v>
      </c>
      <c r="M12" s="53">
        <v>45577</v>
      </c>
      <c r="N12" s="92">
        <f>M12-L12</f>
        <v>4</v>
      </c>
      <c r="O12" s="10" t="s">
        <v>289</v>
      </c>
      <c r="P12" s="16" t="s">
        <v>18</v>
      </c>
      <c r="Q12" s="21">
        <v>45584</v>
      </c>
      <c r="R12" s="10" t="s">
        <v>444</v>
      </c>
      <c r="S12" s="21">
        <f>Q12+7</f>
        <v>45591</v>
      </c>
      <c r="T12" s="21">
        <v>45592</v>
      </c>
      <c r="U12" s="95">
        <f>T12-S12</f>
        <v>1</v>
      </c>
      <c r="V12" s="10" t="s">
        <v>461</v>
      </c>
      <c r="W12" s="10" t="s">
        <v>18</v>
      </c>
      <c r="X12" s="21">
        <v>45718</v>
      </c>
      <c r="Y12" s="10" t="s">
        <v>2655</v>
      </c>
      <c r="Z12" s="21">
        <f>X12+7</f>
        <v>45725</v>
      </c>
      <c r="AA12" s="21">
        <v>45725</v>
      </c>
      <c r="AB12" s="95">
        <f>AA12-Z12</f>
        <v>0</v>
      </c>
      <c r="AC12" s="10" t="s">
        <v>2658</v>
      </c>
      <c r="AD12" s="10" t="s">
        <v>5</v>
      </c>
      <c r="AE12" s="21">
        <v>45836</v>
      </c>
      <c r="AF12" s="150" t="s">
        <v>3547</v>
      </c>
      <c r="AG12" s="21">
        <f>AE12+7</f>
        <v>45843</v>
      </c>
      <c r="AH12" s="21">
        <v>45846</v>
      </c>
      <c r="AI12" s="95">
        <f>AH12-AG12</f>
        <v>3</v>
      </c>
      <c r="AJ12" s="151" t="s">
        <v>3549</v>
      </c>
      <c r="AK12" s="56" t="s">
        <v>3</v>
      </c>
      <c r="AL12" s="17">
        <v>46176</v>
      </c>
      <c r="AM12" s="11" t="s">
        <v>6934</v>
      </c>
      <c r="AN12" s="21">
        <f>AL12+7</f>
        <v>46183</v>
      </c>
      <c r="AO12" s="21">
        <v>46188</v>
      </c>
      <c r="AP12" s="95">
        <f>AO12-AN12</f>
        <v>5</v>
      </c>
      <c r="AQ12" s="17" t="s">
        <v>6938</v>
      </c>
      <c r="AR12" s="17" t="s">
        <v>5</v>
      </c>
      <c r="AS12" s="17">
        <v>46202</v>
      </c>
      <c r="AT12" s="17" t="s">
        <v>7144</v>
      </c>
      <c r="AU12" s="21">
        <f>AS12+7</f>
        <v>46209</v>
      </c>
      <c r="AV12" s="21">
        <v>46209</v>
      </c>
      <c r="AW12" s="95">
        <f>AV12-AU12</f>
        <v>0</v>
      </c>
      <c r="AX12" s="17" t="s">
        <v>7158</v>
      </c>
      <c r="AY12" s="17"/>
      <c r="AZ12" s="17"/>
      <c r="BA12" s="17"/>
      <c r="BB12" s="17"/>
      <c r="BC12" s="17"/>
      <c r="BD12" s="17"/>
      <c r="BE12" s="11"/>
      <c r="BF12" s="259"/>
    </row>
    <row r="13" spans="1:58" s="381" customFormat="1" ht="42" customHeight="1" x14ac:dyDescent="0.25">
      <c r="A13" s="367">
        <v>730007</v>
      </c>
      <c r="B13" s="58" t="s">
        <v>508</v>
      </c>
      <c r="C13" s="128" t="s">
        <v>627</v>
      </c>
      <c r="D13" s="10" t="s">
        <v>316</v>
      </c>
      <c r="E13" s="12" t="s">
        <v>317</v>
      </c>
      <c r="F13" s="16" t="s">
        <v>318</v>
      </c>
      <c r="G13" s="10" t="s">
        <v>30</v>
      </c>
      <c r="H13" s="10" t="s">
        <v>277</v>
      </c>
      <c r="I13" s="55" t="s">
        <v>18</v>
      </c>
      <c r="J13" s="53">
        <v>45574</v>
      </c>
      <c r="K13" s="13" t="s">
        <v>319</v>
      </c>
      <c r="L13" s="53">
        <f t="shared" ref="L13:L40" si="0">J13+7</f>
        <v>45581</v>
      </c>
      <c r="M13" s="53">
        <v>45582</v>
      </c>
      <c r="N13" s="92">
        <f t="shared" ref="N13:N28" si="1">M13-L13</f>
        <v>1</v>
      </c>
      <c r="O13" s="10" t="s">
        <v>324</v>
      </c>
      <c r="P13" s="10" t="s">
        <v>508</v>
      </c>
      <c r="Q13" s="21">
        <v>46196</v>
      </c>
      <c r="R13" s="10" t="s">
        <v>7070</v>
      </c>
      <c r="S13" s="10" t="s">
        <v>626</v>
      </c>
      <c r="T13" s="10" t="s">
        <v>626</v>
      </c>
      <c r="U13" s="10" t="s">
        <v>626</v>
      </c>
      <c r="V13" s="10" t="s">
        <v>626</v>
      </c>
      <c r="W13" s="10"/>
      <c r="X13" s="21"/>
      <c r="Y13" s="10"/>
      <c r="Z13" s="10"/>
      <c r="AA13" s="21"/>
      <c r="AB13" s="95"/>
      <c r="AC13" s="10"/>
      <c r="AD13" s="10"/>
      <c r="AE13" s="21"/>
      <c r="AF13" s="10"/>
      <c r="AG13" s="10"/>
      <c r="AH13" s="21"/>
      <c r="AI13" s="95"/>
      <c r="AJ13" s="10"/>
      <c r="AK13" s="10"/>
      <c r="AL13" s="17"/>
      <c r="AM13" s="11"/>
      <c r="AN13" s="11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1"/>
      <c r="BF13" s="259"/>
    </row>
    <row r="14" spans="1:58" s="381" customFormat="1" ht="42" customHeight="1" x14ac:dyDescent="0.25">
      <c r="A14" s="367">
        <v>730007</v>
      </c>
      <c r="B14" s="56" t="s">
        <v>5</v>
      </c>
      <c r="C14" s="56" t="s">
        <v>588</v>
      </c>
      <c r="D14" s="10" t="s">
        <v>320</v>
      </c>
      <c r="E14" s="12" t="s">
        <v>321</v>
      </c>
      <c r="F14" s="16" t="s">
        <v>322</v>
      </c>
      <c r="G14" s="10" t="s">
        <v>30</v>
      </c>
      <c r="H14" s="10" t="s">
        <v>277</v>
      </c>
      <c r="I14" s="55" t="s">
        <v>18</v>
      </c>
      <c r="J14" s="53">
        <v>45574</v>
      </c>
      <c r="K14" s="13" t="s">
        <v>323</v>
      </c>
      <c r="L14" s="53">
        <f t="shared" si="0"/>
        <v>45581</v>
      </c>
      <c r="M14" s="53">
        <v>45582</v>
      </c>
      <c r="N14" s="92">
        <f t="shared" si="1"/>
        <v>1</v>
      </c>
      <c r="O14" s="10" t="s">
        <v>325</v>
      </c>
      <c r="P14" s="16" t="s">
        <v>18</v>
      </c>
      <c r="Q14" s="21">
        <v>45721</v>
      </c>
      <c r="R14" s="10" t="s">
        <v>2667</v>
      </c>
      <c r="S14" s="21">
        <f t="shared" ref="S14:S22" si="2">Q14+7</f>
        <v>45728</v>
      </c>
      <c r="T14" s="21">
        <v>45721</v>
      </c>
      <c r="U14" s="95">
        <f t="shared" ref="U14:U22" si="3">T14-S14</f>
        <v>-7</v>
      </c>
      <c r="V14" s="10" t="s">
        <v>2678</v>
      </c>
      <c r="W14" s="56" t="s">
        <v>5</v>
      </c>
      <c r="X14" s="21">
        <v>45882</v>
      </c>
      <c r="Y14" s="10" t="s">
        <v>3933</v>
      </c>
      <c r="Z14" s="21">
        <f>X14+7</f>
        <v>45889</v>
      </c>
      <c r="AA14" s="21">
        <v>45887</v>
      </c>
      <c r="AB14" s="95">
        <f>AA14-Z14</f>
        <v>-2</v>
      </c>
      <c r="AC14" s="10" t="s">
        <v>3960</v>
      </c>
      <c r="AD14" s="10"/>
      <c r="AE14" s="21"/>
      <c r="AF14" s="10"/>
      <c r="AG14" s="10"/>
      <c r="AH14" s="21"/>
      <c r="AI14" s="95"/>
      <c r="AJ14" s="10"/>
      <c r="AK14" s="10"/>
      <c r="AL14" s="17"/>
      <c r="AM14" s="11"/>
      <c r="AN14" s="11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1"/>
      <c r="BF14" s="259"/>
    </row>
    <row r="15" spans="1:58" s="381" customFormat="1" ht="42" customHeight="1" x14ac:dyDescent="0.25">
      <c r="A15" s="367">
        <v>730007</v>
      </c>
      <c r="B15" s="56" t="s">
        <v>5</v>
      </c>
      <c r="C15" s="56" t="s">
        <v>588</v>
      </c>
      <c r="D15" s="10" t="s">
        <v>386</v>
      </c>
      <c r="E15" s="12" t="s">
        <v>3148</v>
      </c>
      <c r="F15" s="16" t="s">
        <v>387</v>
      </c>
      <c r="G15" s="10" t="s">
        <v>30</v>
      </c>
      <c r="H15" s="10" t="s">
        <v>277</v>
      </c>
      <c r="I15" s="55" t="s">
        <v>18</v>
      </c>
      <c r="J15" s="53">
        <v>45579</v>
      </c>
      <c r="K15" s="13" t="s">
        <v>388</v>
      </c>
      <c r="L15" s="53">
        <f t="shared" si="0"/>
        <v>45586</v>
      </c>
      <c r="M15" s="53">
        <v>45586</v>
      </c>
      <c r="N15" s="92">
        <f t="shared" si="1"/>
        <v>0</v>
      </c>
      <c r="O15" s="10" t="s">
        <v>395</v>
      </c>
      <c r="P15" s="16" t="s">
        <v>18</v>
      </c>
      <c r="Q15" s="21">
        <v>45768</v>
      </c>
      <c r="R15" s="10" t="s">
        <v>3046</v>
      </c>
      <c r="S15" s="21">
        <f t="shared" si="2"/>
        <v>45775</v>
      </c>
      <c r="T15" s="21">
        <v>45774</v>
      </c>
      <c r="U15" s="95">
        <f t="shared" si="3"/>
        <v>-1</v>
      </c>
      <c r="V15" s="10" t="s">
        <v>3059</v>
      </c>
      <c r="W15" s="10" t="s">
        <v>5</v>
      </c>
      <c r="X15" s="21">
        <v>45779</v>
      </c>
      <c r="Y15" s="10" t="s">
        <v>3149</v>
      </c>
      <c r="Z15" s="21">
        <f>X15+7</f>
        <v>45786</v>
      </c>
      <c r="AA15" s="21">
        <v>45783</v>
      </c>
      <c r="AB15" s="95">
        <f>AA15-Z15</f>
        <v>-3</v>
      </c>
      <c r="AC15" s="10" t="s">
        <v>3162</v>
      </c>
      <c r="AD15" s="10"/>
      <c r="AE15" s="21"/>
      <c r="AF15" s="10"/>
      <c r="AG15" s="10"/>
      <c r="AH15" s="21"/>
      <c r="AI15" s="95"/>
      <c r="AJ15" s="10"/>
      <c r="AK15" s="10"/>
      <c r="AL15" s="17"/>
      <c r="AM15" s="11"/>
      <c r="AN15" s="11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1"/>
      <c r="BF15" s="259"/>
    </row>
    <row r="16" spans="1:58" s="381" customFormat="1" ht="42" customHeight="1" x14ac:dyDescent="0.25">
      <c r="A16" s="367">
        <v>730007</v>
      </c>
      <c r="B16" s="11" t="s">
        <v>5</v>
      </c>
      <c r="C16" s="56" t="s">
        <v>588</v>
      </c>
      <c r="D16" s="12" t="s">
        <v>437</v>
      </c>
      <c r="E16" s="12" t="s">
        <v>438</v>
      </c>
      <c r="F16" s="16" t="s">
        <v>439</v>
      </c>
      <c r="G16" s="10" t="s">
        <v>30</v>
      </c>
      <c r="H16" s="10" t="s">
        <v>277</v>
      </c>
      <c r="I16" s="16" t="s">
        <v>18</v>
      </c>
      <c r="J16" s="53">
        <v>45582</v>
      </c>
      <c r="K16" s="13" t="s">
        <v>440</v>
      </c>
      <c r="L16" s="53">
        <f t="shared" si="0"/>
        <v>45589</v>
      </c>
      <c r="M16" s="53">
        <v>45584</v>
      </c>
      <c r="N16" s="92">
        <f t="shared" si="1"/>
        <v>-5</v>
      </c>
      <c r="O16" s="10" t="s">
        <v>441</v>
      </c>
      <c r="P16" s="10" t="s">
        <v>18</v>
      </c>
      <c r="Q16" s="21">
        <v>45761</v>
      </c>
      <c r="R16" s="10" t="s">
        <v>2977</v>
      </c>
      <c r="S16" s="21">
        <f t="shared" si="2"/>
        <v>45768</v>
      </c>
      <c r="T16" s="21">
        <v>45762</v>
      </c>
      <c r="U16" s="95">
        <f t="shared" si="3"/>
        <v>-6</v>
      </c>
      <c r="V16" s="10" t="s">
        <v>2979</v>
      </c>
      <c r="W16" s="10" t="s">
        <v>5</v>
      </c>
      <c r="X16" s="21">
        <v>45944</v>
      </c>
      <c r="Y16" s="10" t="s">
        <v>4473</v>
      </c>
      <c r="Z16" s="21">
        <f>X16+7</f>
        <v>45951</v>
      </c>
      <c r="AA16" s="21">
        <v>45945</v>
      </c>
      <c r="AB16" s="95">
        <f>AA16-Z16</f>
        <v>-6</v>
      </c>
      <c r="AC16" s="10" t="s">
        <v>4477</v>
      </c>
      <c r="AD16" s="10"/>
      <c r="AE16" s="21"/>
      <c r="AF16" s="10"/>
      <c r="AG16" s="10"/>
      <c r="AH16" s="21"/>
      <c r="AI16" s="95"/>
      <c r="AJ16" s="10"/>
      <c r="AK16" s="10"/>
      <c r="AL16" s="17"/>
      <c r="AM16" s="11"/>
      <c r="AN16" s="11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1"/>
      <c r="BF16" s="259"/>
    </row>
    <row r="17" spans="1:58" s="381" customFormat="1" ht="42" customHeight="1" x14ac:dyDescent="0.25">
      <c r="A17" s="367">
        <v>730007</v>
      </c>
      <c r="B17" s="11" t="s">
        <v>5</v>
      </c>
      <c r="C17" s="56" t="s">
        <v>725</v>
      </c>
      <c r="D17" s="12" t="s">
        <v>618</v>
      </c>
      <c r="E17" s="12" t="s">
        <v>619</v>
      </c>
      <c r="F17" s="16" t="s">
        <v>620</v>
      </c>
      <c r="G17" s="10" t="s">
        <v>30</v>
      </c>
      <c r="H17" s="10" t="s">
        <v>277</v>
      </c>
      <c r="I17" s="16" t="s">
        <v>18</v>
      </c>
      <c r="J17" s="53">
        <v>45595</v>
      </c>
      <c r="K17" s="13" t="s">
        <v>621</v>
      </c>
      <c r="L17" s="53">
        <f t="shared" si="0"/>
        <v>45602</v>
      </c>
      <c r="M17" s="53">
        <v>45603</v>
      </c>
      <c r="N17" s="92">
        <f t="shared" si="1"/>
        <v>1</v>
      </c>
      <c r="O17" s="10" t="s">
        <v>630</v>
      </c>
      <c r="P17" s="10" t="s">
        <v>18</v>
      </c>
      <c r="Q17" s="21">
        <v>45809</v>
      </c>
      <c r="R17" s="150" t="s">
        <v>3420</v>
      </c>
      <c r="S17" s="21">
        <f t="shared" si="2"/>
        <v>45816</v>
      </c>
      <c r="T17" s="21">
        <v>45823</v>
      </c>
      <c r="U17" s="95">
        <f t="shared" si="3"/>
        <v>7</v>
      </c>
      <c r="V17" s="151" t="s">
        <v>3427</v>
      </c>
      <c r="W17" s="10" t="s">
        <v>18</v>
      </c>
      <c r="X17" s="21">
        <v>45847</v>
      </c>
      <c r="Y17" s="150" t="s">
        <v>3618</v>
      </c>
      <c r="Z17" s="21">
        <f>X17+7</f>
        <v>45854</v>
      </c>
      <c r="AA17" s="21">
        <v>45855</v>
      </c>
      <c r="AB17" s="95">
        <f>AA17-Z17</f>
        <v>1</v>
      </c>
      <c r="AC17" s="151" t="s">
        <v>3625</v>
      </c>
      <c r="AD17" s="10" t="s">
        <v>5</v>
      </c>
      <c r="AE17" s="21">
        <v>45922</v>
      </c>
      <c r="AF17" s="10" t="s">
        <v>4269</v>
      </c>
      <c r="AG17" s="21">
        <f>AE17+7</f>
        <v>45929</v>
      </c>
      <c r="AH17" s="21">
        <v>45927</v>
      </c>
      <c r="AI17" s="95">
        <f>AH17-AG17</f>
        <v>-2</v>
      </c>
      <c r="AJ17" s="10" t="s">
        <v>4279</v>
      </c>
      <c r="AK17" s="10"/>
      <c r="AL17" s="17"/>
      <c r="AM17" s="11"/>
      <c r="AN17" s="11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1"/>
      <c r="BF17" s="259"/>
    </row>
    <row r="18" spans="1:58" s="381" customFormat="1" ht="42" customHeight="1" x14ac:dyDescent="0.25">
      <c r="A18" s="367">
        <v>730007</v>
      </c>
      <c r="B18" s="12" t="s">
        <v>5</v>
      </c>
      <c r="C18" s="56" t="s">
        <v>588</v>
      </c>
      <c r="D18" s="12" t="s">
        <v>636</v>
      </c>
      <c r="E18" s="12" t="s">
        <v>637</v>
      </c>
      <c r="F18" s="16" t="s">
        <v>638</v>
      </c>
      <c r="G18" s="10" t="s">
        <v>30</v>
      </c>
      <c r="H18" s="10" t="s">
        <v>277</v>
      </c>
      <c r="I18" s="16" t="s">
        <v>18</v>
      </c>
      <c r="J18" s="53">
        <v>45598</v>
      </c>
      <c r="K18" s="13" t="s">
        <v>639</v>
      </c>
      <c r="L18" s="53">
        <f t="shared" si="0"/>
        <v>45605</v>
      </c>
      <c r="M18" s="53">
        <v>45605</v>
      </c>
      <c r="N18" s="92">
        <f t="shared" si="1"/>
        <v>0</v>
      </c>
      <c r="O18" s="10" t="s">
        <v>640</v>
      </c>
      <c r="P18" s="10" t="s">
        <v>18</v>
      </c>
      <c r="Q18" s="21">
        <v>45739</v>
      </c>
      <c r="R18" s="10" t="s">
        <v>2895</v>
      </c>
      <c r="S18" s="21">
        <f t="shared" si="2"/>
        <v>45746</v>
      </c>
      <c r="T18" s="21">
        <v>45753</v>
      </c>
      <c r="U18" s="95">
        <f t="shared" si="3"/>
        <v>7</v>
      </c>
      <c r="V18" s="10" t="s">
        <v>2907</v>
      </c>
      <c r="W18" s="10" t="s">
        <v>5</v>
      </c>
      <c r="X18" s="21">
        <v>45776</v>
      </c>
      <c r="Y18" s="10" t="s">
        <v>3110</v>
      </c>
      <c r="Z18" s="21">
        <f>X18+7</f>
        <v>45783</v>
      </c>
      <c r="AA18" s="21">
        <v>45782</v>
      </c>
      <c r="AB18" s="95">
        <f>AA18-Z18</f>
        <v>-1</v>
      </c>
      <c r="AC18" s="10" t="s">
        <v>3114</v>
      </c>
      <c r="AD18" s="10"/>
      <c r="AE18" s="21"/>
      <c r="AF18" s="10"/>
      <c r="AG18" s="10"/>
      <c r="AH18" s="21"/>
      <c r="AI18" s="95"/>
      <c r="AJ18" s="10"/>
      <c r="AK18" s="10"/>
      <c r="AL18" s="17"/>
      <c r="AM18" s="11"/>
      <c r="AN18" s="11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1"/>
      <c r="BF18" s="259"/>
    </row>
    <row r="19" spans="1:58" s="381" customFormat="1" ht="42" customHeight="1" x14ac:dyDescent="0.25">
      <c r="A19" s="367">
        <v>730007</v>
      </c>
      <c r="B19" s="58" t="s">
        <v>508</v>
      </c>
      <c r="C19" s="128" t="s">
        <v>627</v>
      </c>
      <c r="D19" s="12" t="s">
        <v>652</v>
      </c>
      <c r="E19" s="12" t="s">
        <v>653</v>
      </c>
      <c r="F19" s="16" t="s">
        <v>654</v>
      </c>
      <c r="G19" s="10" t="s">
        <v>30</v>
      </c>
      <c r="H19" s="10" t="s">
        <v>277</v>
      </c>
      <c r="I19" s="16" t="s">
        <v>3</v>
      </c>
      <c r="J19" s="53">
        <v>45599</v>
      </c>
      <c r="K19" s="13" t="s">
        <v>655</v>
      </c>
      <c r="L19" s="53">
        <f t="shared" si="0"/>
        <v>45606</v>
      </c>
      <c r="M19" s="53">
        <v>45610</v>
      </c>
      <c r="N19" s="92">
        <f t="shared" si="1"/>
        <v>4</v>
      </c>
      <c r="O19" s="10" t="s">
        <v>686</v>
      </c>
      <c r="P19" s="10" t="s">
        <v>3</v>
      </c>
      <c r="Q19" s="21">
        <v>45632</v>
      </c>
      <c r="R19" s="10" t="s">
        <v>1272</v>
      </c>
      <c r="S19" s="21">
        <f t="shared" si="2"/>
        <v>45639</v>
      </c>
      <c r="T19" s="21">
        <v>45644</v>
      </c>
      <c r="U19" s="95">
        <f t="shared" si="3"/>
        <v>5</v>
      </c>
      <c r="V19" s="10" t="s">
        <v>1320</v>
      </c>
      <c r="W19" s="10" t="s">
        <v>508</v>
      </c>
      <c r="X19" s="21">
        <v>45703</v>
      </c>
      <c r="Y19" s="10" t="s">
        <v>2463</v>
      </c>
      <c r="Z19" s="10" t="s">
        <v>626</v>
      </c>
      <c r="AA19" s="21" t="s">
        <v>626</v>
      </c>
      <c r="AB19" s="95" t="s">
        <v>626</v>
      </c>
      <c r="AC19" s="10" t="s">
        <v>626</v>
      </c>
      <c r="AD19" s="10"/>
      <c r="AE19" s="21"/>
      <c r="AF19" s="10"/>
      <c r="AG19" s="10"/>
      <c r="AH19" s="21"/>
      <c r="AI19" s="95"/>
      <c r="AJ19" s="10"/>
      <c r="AK19" s="10"/>
      <c r="AL19" s="17"/>
      <c r="AM19" s="11"/>
      <c r="AN19" s="11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1"/>
      <c r="BF19" s="259" t="s">
        <v>2462</v>
      </c>
    </row>
    <row r="20" spans="1:58" s="381" customFormat="1" ht="42" customHeight="1" x14ac:dyDescent="0.25">
      <c r="A20" s="367">
        <v>730007</v>
      </c>
      <c r="B20" s="58" t="s">
        <v>508</v>
      </c>
      <c r="C20" s="128" t="s">
        <v>627</v>
      </c>
      <c r="D20" s="12" t="s">
        <v>849</v>
      </c>
      <c r="E20" s="12" t="s">
        <v>850</v>
      </c>
      <c r="F20" s="16" t="s">
        <v>851</v>
      </c>
      <c r="G20" s="10" t="s">
        <v>30</v>
      </c>
      <c r="H20" s="10" t="s">
        <v>277</v>
      </c>
      <c r="I20" s="16" t="s">
        <v>3</v>
      </c>
      <c r="J20" s="53">
        <v>45607</v>
      </c>
      <c r="K20" s="13" t="s">
        <v>852</v>
      </c>
      <c r="L20" s="53">
        <f t="shared" si="0"/>
        <v>45614</v>
      </c>
      <c r="M20" s="53">
        <v>45617</v>
      </c>
      <c r="N20" s="92">
        <f t="shared" si="1"/>
        <v>3</v>
      </c>
      <c r="O20" s="10" t="s">
        <v>885</v>
      </c>
      <c r="P20" s="10" t="s">
        <v>3</v>
      </c>
      <c r="Q20" s="21">
        <v>45632</v>
      </c>
      <c r="R20" s="10" t="s">
        <v>1273</v>
      </c>
      <c r="S20" s="21">
        <f t="shared" si="2"/>
        <v>45639</v>
      </c>
      <c r="T20" s="21">
        <v>45645</v>
      </c>
      <c r="U20" s="95">
        <f t="shared" si="3"/>
        <v>6</v>
      </c>
      <c r="V20" s="10" t="s">
        <v>1321</v>
      </c>
      <c r="W20" s="10" t="s">
        <v>3</v>
      </c>
      <c r="X20" s="21">
        <v>45669</v>
      </c>
      <c r="Y20" s="10" t="s">
        <v>1953</v>
      </c>
      <c r="Z20" s="21">
        <f>X20+7</f>
        <v>45676</v>
      </c>
      <c r="AA20" s="21">
        <v>45678</v>
      </c>
      <c r="AB20" s="95">
        <f>AA20-Z20</f>
        <v>2</v>
      </c>
      <c r="AC20" s="10" t="s">
        <v>1961</v>
      </c>
      <c r="AD20" s="88" t="s">
        <v>508</v>
      </c>
      <c r="AE20" s="21">
        <v>45766</v>
      </c>
      <c r="AF20" s="10" t="s">
        <v>3030</v>
      </c>
      <c r="AG20" s="10" t="s">
        <v>626</v>
      </c>
      <c r="AH20" s="21" t="s">
        <v>626</v>
      </c>
      <c r="AI20" s="95" t="s">
        <v>626</v>
      </c>
      <c r="AJ20" s="10" t="s">
        <v>626</v>
      </c>
      <c r="AK20" s="10"/>
      <c r="AL20" s="17"/>
      <c r="AM20" s="11"/>
      <c r="AN20" s="11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1"/>
      <c r="BF20" s="259"/>
    </row>
    <row r="21" spans="1:58" s="381" customFormat="1" ht="42" customHeight="1" x14ac:dyDescent="0.25">
      <c r="A21" s="367">
        <v>730007</v>
      </c>
      <c r="B21" s="58" t="s">
        <v>508</v>
      </c>
      <c r="C21" s="128" t="s">
        <v>627</v>
      </c>
      <c r="D21" s="12" t="s">
        <v>865</v>
      </c>
      <c r="E21" s="12" t="s">
        <v>866</v>
      </c>
      <c r="F21" s="16" t="s">
        <v>867</v>
      </c>
      <c r="G21" s="10" t="s">
        <v>30</v>
      </c>
      <c r="H21" s="10" t="s">
        <v>277</v>
      </c>
      <c r="I21" s="16" t="s">
        <v>18</v>
      </c>
      <c r="J21" s="53">
        <v>45608</v>
      </c>
      <c r="K21" s="13" t="s">
        <v>874</v>
      </c>
      <c r="L21" s="53">
        <f t="shared" si="0"/>
        <v>45615</v>
      </c>
      <c r="M21" s="53">
        <v>45617</v>
      </c>
      <c r="N21" s="92">
        <f t="shared" si="1"/>
        <v>2</v>
      </c>
      <c r="O21" s="10" t="s">
        <v>891</v>
      </c>
      <c r="P21" s="10" t="s">
        <v>508</v>
      </c>
      <c r="Q21" s="21">
        <v>46070</v>
      </c>
      <c r="R21" s="10" t="s">
        <v>5862</v>
      </c>
      <c r="S21" s="10" t="s">
        <v>626</v>
      </c>
      <c r="T21" s="21" t="s">
        <v>626</v>
      </c>
      <c r="U21" s="95" t="s">
        <v>626</v>
      </c>
      <c r="V21" s="10" t="s">
        <v>626</v>
      </c>
      <c r="W21" s="10"/>
      <c r="X21" s="21"/>
      <c r="Y21" s="10"/>
      <c r="Z21" s="10"/>
      <c r="AA21" s="21"/>
      <c r="AB21" s="95"/>
      <c r="AC21" s="10"/>
      <c r="AD21" s="10"/>
      <c r="AE21" s="21"/>
      <c r="AF21" s="10"/>
      <c r="AG21" s="10"/>
      <c r="AH21" s="21"/>
      <c r="AI21" s="95"/>
      <c r="AJ21" s="10"/>
      <c r="AK21" s="10"/>
      <c r="AL21" s="17"/>
      <c r="AM21" s="11"/>
      <c r="AN21" s="11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1"/>
      <c r="BF21" s="259"/>
    </row>
    <row r="22" spans="1:58" s="381" customFormat="1" ht="42" customHeight="1" x14ac:dyDescent="0.25">
      <c r="A22" s="367">
        <v>730007</v>
      </c>
      <c r="B22" s="12" t="s">
        <v>5</v>
      </c>
      <c r="C22" s="56" t="s">
        <v>588</v>
      </c>
      <c r="D22" s="12" t="s">
        <v>894</v>
      </c>
      <c r="E22" s="12" t="s">
        <v>897</v>
      </c>
      <c r="F22" s="16" t="s">
        <v>900</v>
      </c>
      <c r="G22" s="10" t="s">
        <v>30</v>
      </c>
      <c r="H22" s="10" t="s">
        <v>277</v>
      </c>
      <c r="I22" s="16" t="s">
        <v>18</v>
      </c>
      <c r="J22" s="53">
        <v>45609</v>
      </c>
      <c r="K22" s="13" t="s">
        <v>903</v>
      </c>
      <c r="L22" s="53">
        <f t="shared" si="0"/>
        <v>45616</v>
      </c>
      <c r="M22" s="53">
        <v>45623</v>
      </c>
      <c r="N22" s="92">
        <f t="shared" si="1"/>
        <v>7</v>
      </c>
      <c r="O22" s="10" t="s">
        <v>906</v>
      </c>
      <c r="P22" s="16" t="s">
        <v>18</v>
      </c>
      <c r="Q22" s="21">
        <v>45834</v>
      </c>
      <c r="R22" s="150" t="s">
        <v>3536</v>
      </c>
      <c r="S22" s="21">
        <f t="shared" si="2"/>
        <v>45841</v>
      </c>
      <c r="T22" s="21">
        <v>45846</v>
      </c>
      <c r="U22" s="95">
        <f t="shared" si="3"/>
        <v>5</v>
      </c>
      <c r="V22" s="151" t="s">
        <v>3541</v>
      </c>
      <c r="W22" s="10" t="s">
        <v>5</v>
      </c>
      <c r="X22" s="21">
        <v>45976</v>
      </c>
      <c r="Y22" s="10" t="s">
        <v>4916</v>
      </c>
      <c r="Z22" s="21">
        <f>X22+7</f>
        <v>45983</v>
      </c>
      <c r="AA22" s="21">
        <v>45979</v>
      </c>
      <c r="AB22" s="95">
        <f>AA22-Z22</f>
        <v>-4</v>
      </c>
      <c r="AC22" s="10" t="s">
        <v>4939</v>
      </c>
      <c r="AD22" s="10"/>
      <c r="AE22" s="21"/>
      <c r="AF22" s="10"/>
      <c r="AG22" s="10"/>
      <c r="AH22" s="21"/>
      <c r="AI22" s="95"/>
      <c r="AJ22" s="10"/>
      <c r="AK22" s="10"/>
      <c r="AL22" s="17"/>
      <c r="AM22" s="11"/>
      <c r="AN22" s="11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1"/>
      <c r="BF22" s="259"/>
    </row>
    <row r="23" spans="1:58" s="381" customFormat="1" ht="42" customHeight="1" x14ac:dyDescent="0.25">
      <c r="A23" s="367">
        <v>730007</v>
      </c>
      <c r="B23" s="58" t="s">
        <v>508</v>
      </c>
      <c r="C23" s="128" t="s">
        <v>627</v>
      </c>
      <c r="D23" s="12" t="s">
        <v>895</v>
      </c>
      <c r="E23" s="12" t="s">
        <v>898</v>
      </c>
      <c r="F23" s="16" t="s">
        <v>901</v>
      </c>
      <c r="G23" s="10" t="s">
        <v>30</v>
      </c>
      <c r="H23" s="10" t="s">
        <v>277</v>
      </c>
      <c r="I23" s="16" t="s">
        <v>18</v>
      </c>
      <c r="J23" s="53">
        <v>45609</v>
      </c>
      <c r="K23" s="13" t="s">
        <v>904</v>
      </c>
      <c r="L23" s="53">
        <f t="shared" si="0"/>
        <v>45616</v>
      </c>
      <c r="M23" s="53">
        <v>45623</v>
      </c>
      <c r="N23" s="92">
        <f t="shared" si="1"/>
        <v>7</v>
      </c>
      <c r="O23" s="10" t="s">
        <v>911</v>
      </c>
      <c r="P23" s="10" t="s">
        <v>508</v>
      </c>
      <c r="Q23" s="21">
        <v>46070</v>
      </c>
      <c r="R23" s="10" t="s">
        <v>5862</v>
      </c>
      <c r="S23" s="10" t="s">
        <v>626</v>
      </c>
      <c r="T23" s="21" t="s">
        <v>626</v>
      </c>
      <c r="U23" s="95" t="s">
        <v>626</v>
      </c>
      <c r="V23" s="10" t="s">
        <v>626</v>
      </c>
      <c r="W23" s="10"/>
      <c r="X23" s="21"/>
      <c r="Y23" s="10"/>
      <c r="Z23" s="10"/>
      <c r="AA23" s="21"/>
      <c r="AB23" s="95"/>
      <c r="AC23" s="10"/>
      <c r="AD23" s="10"/>
      <c r="AE23" s="21"/>
      <c r="AF23" s="10"/>
      <c r="AG23" s="10"/>
      <c r="AH23" s="21"/>
      <c r="AI23" s="95"/>
      <c r="AJ23" s="10"/>
      <c r="AK23" s="10"/>
      <c r="AL23" s="17"/>
      <c r="AM23" s="11"/>
      <c r="AN23" s="11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1"/>
      <c r="BF23" s="259"/>
    </row>
    <row r="24" spans="1:58" s="381" customFormat="1" ht="42" customHeight="1" x14ac:dyDescent="0.25">
      <c r="A24" s="367">
        <v>730007</v>
      </c>
      <c r="B24" s="58" t="s">
        <v>508</v>
      </c>
      <c r="C24" s="128" t="s">
        <v>627</v>
      </c>
      <c r="D24" s="12" t="s">
        <v>896</v>
      </c>
      <c r="E24" s="12" t="s">
        <v>899</v>
      </c>
      <c r="F24" s="16" t="s">
        <v>902</v>
      </c>
      <c r="G24" s="10" t="s">
        <v>30</v>
      </c>
      <c r="H24" s="10" t="s">
        <v>277</v>
      </c>
      <c r="I24" s="16" t="s">
        <v>3</v>
      </c>
      <c r="J24" s="53">
        <v>45609</v>
      </c>
      <c r="K24" s="13" t="s">
        <v>905</v>
      </c>
      <c r="L24" s="53">
        <f t="shared" si="0"/>
        <v>45616</v>
      </c>
      <c r="M24" s="53">
        <v>45623</v>
      </c>
      <c r="N24" s="92">
        <f t="shared" si="1"/>
        <v>7</v>
      </c>
      <c r="O24" s="10" t="s">
        <v>912</v>
      </c>
      <c r="P24" s="60" t="s">
        <v>18</v>
      </c>
      <c r="Q24" s="21">
        <v>45640</v>
      </c>
      <c r="R24" s="10" t="s">
        <v>1435</v>
      </c>
      <c r="S24" s="21">
        <f>Q24+7</f>
        <v>45647</v>
      </c>
      <c r="T24" s="21">
        <v>45648</v>
      </c>
      <c r="U24" s="95">
        <f>T24-S24</f>
        <v>1</v>
      </c>
      <c r="V24" s="10" t="s">
        <v>1482</v>
      </c>
      <c r="W24" s="10" t="s">
        <v>508</v>
      </c>
      <c r="X24" s="21">
        <v>46070</v>
      </c>
      <c r="Y24" s="10" t="s">
        <v>5862</v>
      </c>
      <c r="Z24" s="10" t="s">
        <v>626</v>
      </c>
      <c r="AA24" s="21" t="s">
        <v>626</v>
      </c>
      <c r="AB24" s="95" t="s">
        <v>626</v>
      </c>
      <c r="AC24" s="10" t="s">
        <v>626</v>
      </c>
      <c r="AD24" s="10"/>
      <c r="AE24" s="21"/>
      <c r="AF24" s="10"/>
      <c r="AG24" s="10"/>
      <c r="AH24" s="21"/>
      <c r="AI24" s="95"/>
      <c r="AJ24" s="10"/>
      <c r="AK24" s="10"/>
      <c r="AL24" s="17"/>
      <c r="AM24" s="11"/>
      <c r="AN24" s="11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1"/>
      <c r="BF24" s="259"/>
    </row>
    <row r="25" spans="1:58" s="381" customFormat="1" ht="42" customHeight="1" x14ac:dyDescent="0.25">
      <c r="A25" s="367">
        <v>730007</v>
      </c>
      <c r="B25" s="58" t="s">
        <v>508</v>
      </c>
      <c r="C25" s="11" t="s">
        <v>54</v>
      </c>
      <c r="D25" s="12" t="s">
        <v>964</v>
      </c>
      <c r="E25" s="12" t="s">
        <v>965</v>
      </c>
      <c r="F25" s="16" t="s">
        <v>966</v>
      </c>
      <c r="G25" s="10" t="s">
        <v>30</v>
      </c>
      <c r="H25" s="10" t="s">
        <v>277</v>
      </c>
      <c r="I25" s="16" t="s">
        <v>3</v>
      </c>
      <c r="J25" s="53">
        <v>45628</v>
      </c>
      <c r="K25" s="13" t="s">
        <v>1171</v>
      </c>
      <c r="L25" s="53">
        <f t="shared" si="0"/>
        <v>45635</v>
      </c>
      <c r="M25" s="53">
        <v>45641</v>
      </c>
      <c r="N25" s="92">
        <f>M25-L25</f>
        <v>6</v>
      </c>
      <c r="O25" s="10" t="s">
        <v>1180</v>
      </c>
      <c r="P25" s="58" t="s">
        <v>508</v>
      </c>
      <c r="Q25" s="21">
        <v>45824</v>
      </c>
      <c r="R25" s="150" t="s">
        <v>3504</v>
      </c>
      <c r="S25" s="10"/>
      <c r="T25" s="21"/>
      <c r="U25" s="95"/>
      <c r="V25" s="10"/>
      <c r="W25" s="10"/>
      <c r="X25" s="21"/>
      <c r="Y25" s="10"/>
      <c r="Z25" s="10"/>
      <c r="AA25" s="21"/>
      <c r="AB25" s="95"/>
      <c r="AC25" s="10"/>
      <c r="AD25" s="10"/>
      <c r="AE25" s="21"/>
      <c r="AF25" s="10"/>
      <c r="AG25" s="10"/>
      <c r="AH25" s="21"/>
      <c r="AI25" s="95"/>
      <c r="AJ25" s="10"/>
      <c r="AK25" s="10"/>
      <c r="AL25" s="17"/>
      <c r="AM25" s="11"/>
      <c r="AN25" s="11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1"/>
      <c r="BF25" s="259"/>
    </row>
    <row r="26" spans="1:58" s="381" customFormat="1" ht="42" customHeight="1" x14ac:dyDescent="0.25">
      <c r="A26" s="367">
        <v>730007</v>
      </c>
      <c r="B26" s="58" t="s">
        <v>508</v>
      </c>
      <c r="C26" s="127" t="s">
        <v>627</v>
      </c>
      <c r="D26" s="12" t="s">
        <v>1066</v>
      </c>
      <c r="E26" s="12" t="s">
        <v>1067</v>
      </c>
      <c r="F26" s="16" t="s">
        <v>1068</v>
      </c>
      <c r="G26" s="10" t="s">
        <v>30</v>
      </c>
      <c r="H26" s="10" t="s">
        <v>277</v>
      </c>
      <c r="I26" s="16" t="s">
        <v>3</v>
      </c>
      <c r="J26" s="53">
        <v>45622</v>
      </c>
      <c r="K26" s="13" t="s">
        <v>1078</v>
      </c>
      <c r="L26" s="53">
        <f t="shared" si="0"/>
        <v>45629</v>
      </c>
      <c r="M26" s="53">
        <v>45627</v>
      </c>
      <c r="N26" s="92">
        <f t="shared" si="1"/>
        <v>-2</v>
      </c>
      <c r="O26" s="10" t="s">
        <v>1101</v>
      </c>
      <c r="P26" s="9" t="s">
        <v>508</v>
      </c>
      <c r="Q26" s="21">
        <v>45672</v>
      </c>
      <c r="R26" s="10" t="s">
        <v>2026</v>
      </c>
      <c r="S26" s="10" t="s">
        <v>626</v>
      </c>
      <c r="T26" s="21" t="s">
        <v>626</v>
      </c>
      <c r="U26" s="95"/>
      <c r="V26" s="10"/>
      <c r="W26" s="10"/>
      <c r="X26" s="21"/>
      <c r="Y26" s="10"/>
      <c r="Z26" s="10"/>
      <c r="AA26" s="21"/>
      <c r="AB26" s="95"/>
      <c r="AC26" s="10"/>
      <c r="AD26" s="10"/>
      <c r="AE26" s="21"/>
      <c r="AF26" s="10"/>
      <c r="AG26" s="10"/>
      <c r="AH26" s="21"/>
      <c r="AI26" s="95"/>
      <c r="AJ26" s="10"/>
      <c r="AK26" s="10"/>
      <c r="AL26" s="17"/>
      <c r="AM26" s="11"/>
      <c r="AN26" s="11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1"/>
      <c r="BF26" s="259" t="s">
        <v>1796</v>
      </c>
    </row>
    <row r="27" spans="1:58" s="381" customFormat="1" ht="42" customHeight="1" x14ac:dyDescent="0.25">
      <c r="A27" s="367">
        <v>730007</v>
      </c>
      <c r="B27" s="11" t="s">
        <v>18</v>
      </c>
      <c r="C27" s="56" t="s">
        <v>208</v>
      </c>
      <c r="D27" s="12" t="s">
        <v>1070</v>
      </c>
      <c r="E27" s="12" t="s">
        <v>1069</v>
      </c>
      <c r="F27" s="16" t="s">
        <v>1071</v>
      </c>
      <c r="G27" s="10" t="s">
        <v>30</v>
      </c>
      <c r="H27" s="10" t="s">
        <v>277</v>
      </c>
      <c r="I27" s="16" t="s">
        <v>18</v>
      </c>
      <c r="J27" s="53">
        <v>45622</v>
      </c>
      <c r="K27" s="13" t="s">
        <v>1079</v>
      </c>
      <c r="L27" s="53">
        <f t="shared" si="0"/>
        <v>45629</v>
      </c>
      <c r="M27" s="53">
        <v>45627</v>
      </c>
      <c r="N27" s="92">
        <f t="shared" si="1"/>
        <v>-2</v>
      </c>
      <c r="O27" s="10" t="s">
        <v>1102</v>
      </c>
      <c r="P27" s="11" t="s">
        <v>18</v>
      </c>
      <c r="Q27" s="21">
        <v>45803</v>
      </c>
      <c r="R27" s="10" t="s">
        <v>3359</v>
      </c>
      <c r="S27" s="53">
        <f>Q27+7</f>
        <v>45810</v>
      </c>
      <c r="T27" s="21">
        <v>45809</v>
      </c>
      <c r="U27" s="95">
        <f>T27-S27</f>
        <v>-1</v>
      </c>
      <c r="V27" s="10" t="s">
        <v>3362</v>
      </c>
      <c r="W27" s="10"/>
      <c r="X27" s="21"/>
      <c r="Y27" s="10"/>
      <c r="Z27" s="10"/>
      <c r="AA27" s="21"/>
      <c r="AB27" s="95"/>
      <c r="AC27" s="10"/>
      <c r="AD27" s="10"/>
      <c r="AE27" s="21"/>
      <c r="AF27" s="10"/>
      <c r="AG27" s="10"/>
      <c r="AH27" s="21"/>
      <c r="AI27" s="95"/>
      <c r="AJ27" s="10"/>
      <c r="AK27" s="10"/>
      <c r="AL27" s="17"/>
      <c r="AM27" s="11"/>
      <c r="AN27" s="11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1"/>
      <c r="BF27" s="259"/>
    </row>
    <row r="28" spans="1:58" s="381" customFormat="1" ht="42" customHeight="1" x14ac:dyDescent="0.25">
      <c r="A28" s="367">
        <v>730007</v>
      </c>
      <c r="B28" s="58" t="s">
        <v>508</v>
      </c>
      <c r="C28" s="128" t="s">
        <v>627</v>
      </c>
      <c r="D28" s="12" t="s">
        <v>1124</v>
      </c>
      <c r="E28" s="12" t="s">
        <v>1125</v>
      </c>
      <c r="F28" s="16" t="s">
        <v>1126</v>
      </c>
      <c r="G28" s="10" t="s">
        <v>30</v>
      </c>
      <c r="H28" s="10" t="s">
        <v>277</v>
      </c>
      <c r="I28" s="16" t="s">
        <v>18</v>
      </c>
      <c r="J28" s="53">
        <v>45625</v>
      </c>
      <c r="K28" s="13" t="s">
        <v>1139</v>
      </c>
      <c r="L28" s="53">
        <f t="shared" si="0"/>
        <v>45632</v>
      </c>
      <c r="M28" s="53">
        <v>45634</v>
      </c>
      <c r="N28" s="92">
        <f t="shared" si="1"/>
        <v>2</v>
      </c>
      <c r="O28" s="10" t="s">
        <v>1149</v>
      </c>
      <c r="P28" s="10" t="s">
        <v>508</v>
      </c>
      <c r="Q28" s="21">
        <v>46070</v>
      </c>
      <c r="R28" s="10" t="s">
        <v>5862</v>
      </c>
      <c r="S28" s="10" t="s">
        <v>626</v>
      </c>
      <c r="T28" s="21" t="s">
        <v>626</v>
      </c>
      <c r="U28" s="95" t="s">
        <v>626</v>
      </c>
      <c r="V28" s="10" t="s">
        <v>626</v>
      </c>
      <c r="W28" s="10"/>
      <c r="X28" s="21"/>
      <c r="Y28" s="10"/>
      <c r="Z28" s="10"/>
      <c r="AA28" s="21"/>
      <c r="AB28" s="95"/>
      <c r="AC28" s="10"/>
      <c r="AD28" s="10"/>
      <c r="AE28" s="21"/>
      <c r="AF28" s="10"/>
      <c r="AG28" s="10"/>
      <c r="AH28" s="21"/>
      <c r="AI28" s="95"/>
      <c r="AJ28" s="10"/>
      <c r="AK28" s="10"/>
      <c r="AL28" s="17"/>
      <c r="AM28" s="11"/>
      <c r="AN28" s="11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1"/>
      <c r="BF28" s="259"/>
    </row>
    <row r="29" spans="1:58" s="381" customFormat="1" ht="42" customHeight="1" x14ac:dyDescent="0.25">
      <c r="A29" s="367">
        <v>730007</v>
      </c>
      <c r="B29" s="58" t="s">
        <v>508</v>
      </c>
      <c r="C29" s="127" t="s">
        <v>627</v>
      </c>
      <c r="D29" s="12" t="s">
        <v>1127</v>
      </c>
      <c r="E29" s="12" t="s">
        <v>1128</v>
      </c>
      <c r="F29" s="16" t="s">
        <v>1129</v>
      </c>
      <c r="G29" s="10" t="s">
        <v>30</v>
      </c>
      <c r="H29" s="10" t="s">
        <v>277</v>
      </c>
      <c r="I29" s="16" t="s">
        <v>3</v>
      </c>
      <c r="J29" s="53">
        <v>45625</v>
      </c>
      <c r="K29" s="13" t="s">
        <v>1140</v>
      </c>
      <c r="L29" s="53">
        <f t="shared" si="0"/>
        <v>45632</v>
      </c>
      <c r="M29" s="53">
        <v>45634</v>
      </c>
      <c r="N29" s="92">
        <f t="shared" ref="N29:N71" si="4">M29-L29</f>
        <v>2</v>
      </c>
      <c r="O29" s="10" t="s">
        <v>1150</v>
      </c>
      <c r="P29" s="9" t="s">
        <v>508</v>
      </c>
      <c r="Q29" s="21">
        <v>45698</v>
      </c>
      <c r="R29" s="10" t="s">
        <v>2396</v>
      </c>
      <c r="S29" s="10" t="s">
        <v>626</v>
      </c>
      <c r="T29" s="21" t="s">
        <v>626</v>
      </c>
      <c r="U29" s="95"/>
      <c r="V29" s="10"/>
      <c r="W29" s="10"/>
      <c r="X29" s="21"/>
      <c r="Y29" s="10"/>
      <c r="Z29" s="10"/>
      <c r="AA29" s="21"/>
      <c r="AB29" s="95"/>
      <c r="AC29" s="10"/>
      <c r="AD29" s="10"/>
      <c r="AE29" s="21"/>
      <c r="AF29" s="10"/>
      <c r="AG29" s="10"/>
      <c r="AH29" s="21"/>
      <c r="AI29" s="95"/>
      <c r="AJ29" s="10"/>
      <c r="AK29" s="10"/>
      <c r="AL29" s="17"/>
      <c r="AM29" s="11"/>
      <c r="AN29" s="11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1"/>
      <c r="BF29" s="259" t="s">
        <v>2395</v>
      </c>
    </row>
    <row r="30" spans="1:58" s="381" customFormat="1" ht="42" customHeight="1" x14ac:dyDescent="0.25">
      <c r="A30" s="367">
        <v>730007</v>
      </c>
      <c r="B30" s="58" t="s">
        <v>508</v>
      </c>
      <c r="C30" s="127" t="s">
        <v>627</v>
      </c>
      <c r="D30" s="12" t="s">
        <v>1131</v>
      </c>
      <c r="E30" s="12" t="s">
        <v>1130</v>
      </c>
      <c r="F30" s="16" t="s">
        <v>1132</v>
      </c>
      <c r="G30" s="10" t="s">
        <v>30</v>
      </c>
      <c r="H30" s="10" t="s">
        <v>277</v>
      </c>
      <c r="I30" s="16" t="s">
        <v>3</v>
      </c>
      <c r="J30" s="53">
        <v>45625</v>
      </c>
      <c r="K30" s="13" t="s">
        <v>1141</v>
      </c>
      <c r="L30" s="53">
        <f t="shared" si="0"/>
        <v>45632</v>
      </c>
      <c r="M30" s="53">
        <v>45634</v>
      </c>
      <c r="N30" s="92">
        <f t="shared" si="4"/>
        <v>2</v>
      </c>
      <c r="O30" s="10" t="s">
        <v>1151</v>
      </c>
      <c r="P30" s="9" t="s">
        <v>508</v>
      </c>
      <c r="Q30" s="21">
        <v>45672</v>
      </c>
      <c r="R30" s="10" t="s">
        <v>2027</v>
      </c>
      <c r="S30" s="10" t="s">
        <v>626</v>
      </c>
      <c r="T30" s="21" t="s">
        <v>626</v>
      </c>
      <c r="U30" s="95"/>
      <c r="V30" s="10"/>
      <c r="W30" s="10"/>
      <c r="X30" s="21"/>
      <c r="Y30" s="10"/>
      <c r="Z30" s="10"/>
      <c r="AA30" s="21"/>
      <c r="AB30" s="95"/>
      <c r="AC30" s="10"/>
      <c r="AD30" s="10"/>
      <c r="AE30" s="21"/>
      <c r="AF30" s="10"/>
      <c r="AG30" s="10"/>
      <c r="AH30" s="21"/>
      <c r="AI30" s="95"/>
      <c r="AJ30" s="10"/>
      <c r="AK30" s="10"/>
      <c r="AL30" s="17"/>
      <c r="AM30" s="11"/>
      <c r="AN30" s="11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1"/>
      <c r="BF30" s="259" t="s">
        <v>1795</v>
      </c>
    </row>
    <row r="31" spans="1:58" s="381" customFormat="1" ht="42" customHeight="1" x14ac:dyDescent="0.25">
      <c r="A31" s="367">
        <v>730007</v>
      </c>
      <c r="B31" s="58" t="s">
        <v>508</v>
      </c>
      <c r="C31" s="127" t="s">
        <v>627</v>
      </c>
      <c r="D31" s="12" t="s">
        <v>1134</v>
      </c>
      <c r="E31" s="12" t="s">
        <v>1133</v>
      </c>
      <c r="F31" s="16" t="s">
        <v>1135</v>
      </c>
      <c r="G31" s="10" t="s">
        <v>30</v>
      </c>
      <c r="H31" s="10" t="s">
        <v>277</v>
      </c>
      <c r="I31" s="16" t="s">
        <v>3</v>
      </c>
      <c r="J31" s="53">
        <v>45625</v>
      </c>
      <c r="K31" s="13" t="s">
        <v>1142</v>
      </c>
      <c r="L31" s="53">
        <f t="shared" si="0"/>
        <v>45632</v>
      </c>
      <c r="M31" s="53">
        <v>45634</v>
      </c>
      <c r="N31" s="92">
        <f t="shared" si="4"/>
        <v>2</v>
      </c>
      <c r="O31" s="10" t="s">
        <v>1152</v>
      </c>
      <c r="P31" s="16" t="s">
        <v>18</v>
      </c>
      <c r="Q31" s="21">
        <v>45644</v>
      </c>
      <c r="R31" s="10" t="s">
        <v>1529</v>
      </c>
      <c r="S31" s="53">
        <f>Q31+7</f>
        <v>45651</v>
      </c>
      <c r="T31" s="21">
        <v>45654</v>
      </c>
      <c r="U31" s="95">
        <f>T31-S31</f>
        <v>3</v>
      </c>
      <c r="V31" s="10" t="s">
        <v>1542</v>
      </c>
      <c r="W31" s="9" t="s">
        <v>508</v>
      </c>
      <c r="X31" s="21">
        <v>46070</v>
      </c>
      <c r="Y31" s="10" t="s">
        <v>5862</v>
      </c>
      <c r="Z31" s="10" t="s">
        <v>626</v>
      </c>
      <c r="AA31" s="21" t="s">
        <v>626</v>
      </c>
      <c r="AB31" s="95" t="s">
        <v>626</v>
      </c>
      <c r="AC31" s="10" t="s">
        <v>626</v>
      </c>
      <c r="AD31" s="10"/>
      <c r="AE31" s="21"/>
      <c r="AF31" s="10"/>
      <c r="AG31" s="10"/>
      <c r="AH31" s="21"/>
      <c r="AI31" s="95"/>
      <c r="AJ31" s="10"/>
      <c r="AK31" s="10"/>
      <c r="AL31" s="17"/>
      <c r="AM31" s="11"/>
      <c r="AN31" s="11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1"/>
      <c r="BF31" s="259"/>
    </row>
    <row r="32" spans="1:58" s="381" customFormat="1" ht="42" customHeight="1" x14ac:dyDescent="0.25">
      <c r="A32" s="367">
        <v>730007</v>
      </c>
      <c r="B32" s="58" t="s">
        <v>508</v>
      </c>
      <c r="C32" s="127" t="s">
        <v>627</v>
      </c>
      <c r="D32" s="12" t="s">
        <v>1136</v>
      </c>
      <c r="E32" s="12" t="s">
        <v>1137</v>
      </c>
      <c r="F32" s="16" t="s">
        <v>1138</v>
      </c>
      <c r="G32" s="10" t="s">
        <v>30</v>
      </c>
      <c r="H32" s="10" t="s">
        <v>277</v>
      </c>
      <c r="I32" s="16" t="s">
        <v>18</v>
      </c>
      <c r="J32" s="53">
        <v>45625</v>
      </c>
      <c r="K32" s="13" t="s">
        <v>1143</v>
      </c>
      <c r="L32" s="53">
        <f t="shared" si="0"/>
        <v>45632</v>
      </c>
      <c r="M32" s="53">
        <v>45634</v>
      </c>
      <c r="N32" s="92">
        <f t="shared" si="4"/>
        <v>2</v>
      </c>
      <c r="O32" s="10" t="s">
        <v>1153</v>
      </c>
      <c r="P32" s="9" t="s">
        <v>508</v>
      </c>
      <c r="Q32" s="21">
        <v>46070</v>
      </c>
      <c r="R32" s="10" t="s">
        <v>5862</v>
      </c>
      <c r="S32" s="10" t="s">
        <v>626</v>
      </c>
      <c r="T32" s="21" t="s">
        <v>626</v>
      </c>
      <c r="U32" s="95" t="s">
        <v>626</v>
      </c>
      <c r="V32" s="10" t="s">
        <v>626</v>
      </c>
      <c r="W32" s="10"/>
      <c r="X32" s="21"/>
      <c r="Y32" s="10"/>
      <c r="Z32" s="10"/>
      <c r="AA32" s="21"/>
      <c r="AB32" s="95"/>
      <c r="AC32" s="10"/>
      <c r="AD32" s="10"/>
      <c r="AE32" s="21"/>
      <c r="AF32" s="10"/>
      <c r="AG32" s="10"/>
      <c r="AH32" s="21"/>
      <c r="AI32" s="95"/>
      <c r="AJ32" s="10"/>
      <c r="AK32" s="10"/>
      <c r="AL32" s="17"/>
      <c r="AM32" s="11"/>
      <c r="AN32" s="11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1"/>
      <c r="BF32" s="259"/>
    </row>
    <row r="33" spans="1:58" s="381" customFormat="1" ht="42" customHeight="1" x14ac:dyDescent="0.25">
      <c r="A33" s="367">
        <v>730007</v>
      </c>
      <c r="B33" s="58" t="s">
        <v>508</v>
      </c>
      <c r="C33" s="127" t="s">
        <v>627</v>
      </c>
      <c r="D33" s="12" t="s">
        <v>1274</v>
      </c>
      <c r="E33" s="12" t="s">
        <v>1275</v>
      </c>
      <c r="F33" s="16" t="s">
        <v>1276</v>
      </c>
      <c r="G33" s="10" t="s">
        <v>30</v>
      </c>
      <c r="H33" s="10" t="s">
        <v>277</v>
      </c>
      <c r="I33" s="16" t="s">
        <v>3</v>
      </c>
      <c r="J33" s="53">
        <v>45632</v>
      </c>
      <c r="K33" s="13" t="s">
        <v>1277</v>
      </c>
      <c r="L33" s="53">
        <f t="shared" si="0"/>
        <v>45639</v>
      </c>
      <c r="M33" s="53">
        <v>45645</v>
      </c>
      <c r="N33" s="92">
        <f t="shared" si="4"/>
        <v>6</v>
      </c>
      <c r="O33" s="10" t="s">
        <v>1322</v>
      </c>
      <c r="P33" s="9" t="s">
        <v>508</v>
      </c>
      <c r="Q33" s="21">
        <v>45698</v>
      </c>
      <c r="R33" s="10" t="s">
        <v>2398</v>
      </c>
      <c r="S33" s="10" t="s">
        <v>626</v>
      </c>
      <c r="T33" s="21" t="s">
        <v>626</v>
      </c>
      <c r="U33" s="95"/>
      <c r="V33" s="10"/>
      <c r="W33" s="10"/>
      <c r="X33" s="21"/>
      <c r="Y33" s="10"/>
      <c r="Z33" s="10"/>
      <c r="AA33" s="21"/>
      <c r="AB33" s="95"/>
      <c r="AC33" s="10"/>
      <c r="AD33" s="10"/>
      <c r="AE33" s="21"/>
      <c r="AF33" s="10"/>
      <c r="AG33" s="10"/>
      <c r="AH33" s="21"/>
      <c r="AI33" s="95"/>
      <c r="AJ33" s="10"/>
      <c r="AK33" s="10"/>
      <c r="AL33" s="17"/>
      <c r="AM33" s="11"/>
      <c r="AN33" s="11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1"/>
      <c r="BF33" s="259" t="s">
        <v>2397</v>
      </c>
    </row>
    <row r="34" spans="1:58" s="381" customFormat="1" ht="42" customHeight="1" x14ac:dyDescent="0.25">
      <c r="A34" s="367">
        <v>730007</v>
      </c>
      <c r="B34" s="11" t="s">
        <v>5</v>
      </c>
      <c r="C34" s="56" t="s">
        <v>725</v>
      </c>
      <c r="D34" s="12" t="s">
        <v>1278</v>
      </c>
      <c r="E34" s="12" t="s">
        <v>1279</v>
      </c>
      <c r="F34" s="16" t="s">
        <v>1280</v>
      </c>
      <c r="G34" s="10" t="s">
        <v>30</v>
      </c>
      <c r="H34" s="10" t="s">
        <v>277</v>
      </c>
      <c r="I34" s="16" t="s">
        <v>3</v>
      </c>
      <c r="J34" s="53">
        <v>45632</v>
      </c>
      <c r="K34" s="13" t="s">
        <v>1281</v>
      </c>
      <c r="L34" s="53">
        <f t="shared" si="0"/>
        <v>45639</v>
      </c>
      <c r="M34" s="53">
        <v>45649</v>
      </c>
      <c r="N34" s="92">
        <f t="shared" si="4"/>
        <v>10</v>
      </c>
      <c r="O34" s="10" t="s">
        <v>1323</v>
      </c>
      <c r="P34" s="16" t="s">
        <v>18</v>
      </c>
      <c r="Q34" s="21">
        <v>45654</v>
      </c>
      <c r="R34" s="10" t="s">
        <v>1685</v>
      </c>
      <c r="S34" s="53">
        <f t="shared" ref="S34:S42" si="5">Q34+7</f>
        <v>45661</v>
      </c>
      <c r="T34" s="21">
        <v>45665</v>
      </c>
      <c r="U34" s="95">
        <f t="shared" ref="U34:U42" si="6">T34-S34</f>
        <v>4</v>
      </c>
      <c r="V34" s="10" t="s">
        <v>1691</v>
      </c>
      <c r="W34" s="10" t="s">
        <v>18</v>
      </c>
      <c r="X34" s="21">
        <v>45732</v>
      </c>
      <c r="Y34" s="10" t="s">
        <v>2817</v>
      </c>
      <c r="Z34" s="21">
        <f>X34+7</f>
        <v>45739</v>
      </c>
      <c r="AA34" s="21">
        <v>45739</v>
      </c>
      <c r="AB34" s="95">
        <f>AA34-Z34</f>
        <v>0</v>
      </c>
      <c r="AC34" s="10" t="s">
        <v>2822</v>
      </c>
      <c r="AD34" s="10" t="s">
        <v>5</v>
      </c>
      <c r="AE34" s="21">
        <v>46008</v>
      </c>
      <c r="AF34" s="10" t="s">
        <v>5339</v>
      </c>
      <c r="AG34" s="21">
        <f>AE34+7</f>
        <v>46015</v>
      </c>
      <c r="AH34" s="21">
        <v>46018</v>
      </c>
      <c r="AI34" s="95">
        <f>AH34-AG34</f>
        <v>3</v>
      </c>
      <c r="AJ34" s="10" t="s">
        <v>5346</v>
      </c>
      <c r="AK34" s="10"/>
      <c r="AL34" s="17"/>
      <c r="AM34" s="11"/>
      <c r="AN34" s="11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1"/>
      <c r="BF34" s="259"/>
    </row>
    <row r="35" spans="1:58" s="381" customFormat="1" ht="42" customHeight="1" x14ac:dyDescent="0.25">
      <c r="A35" s="367">
        <v>730007</v>
      </c>
      <c r="B35" s="58" t="s">
        <v>508</v>
      </c>
      <c r="C35" s="127" t="s">
        <v>627</v>
      </c>
      <c r="D35" s="12" t="s">
        <v>1282</v>
      </c>
      <c r="E35" s="12" t="s">
        <v>1283</v>
      </c>
      <c r="F35" s="16" t="s">
        <v>1284</v>
      </c>
      <c r="G35" s="10" t="s">
        <v>30</v>
      </c>
      <c r="H35" s="10" t="s">
        <v>277</v>
      </c>
      <c r="I35" s="16" t="s">
        <v>3</v>
      </c>
      <c r="J35" s="53">
        <v>45632</v>
      </c>
      <c r="K35" s="13" t="s">
        <v>1285</v>
      </c>
      <c r="L35" s="53">
        <f t="shared" si="0"/>
        <v>45639</v>
      </c>
      <c r="M35" s="53">
        <v>45645</v>
      </c>
      <c r="N35" s="92">
        <f t="shared" si="4"/>
        <v>6</v>
      </c>
      <c r="O35" s="10" t="s">
        <v>1324</v>
      </c>
      <c r="P35" s="16" t="s">
        <v>3</v>
      </c>
      <c r="Q35" s="21">
        <v>45662</v>
      </c>
      <c r="R35" s="10" t="s">
        <v>1836</v>
      </c>
      <c r="S35" s="53">
        <f t="shared" si="5"/>
        <v>45669</v>
      </c>
      <c r="T35" s="21">
        <v>45673</v>
      </c>
      <c r="U35" s="95">
        <f t="shared" si="6"/>
        <v>4</v>
      </c>
      <c r="V35" s="10" t="s">
        <v>1845</v>
      </c>
      <c r="W35" s="88" t="s">
        <v>508</v>
      </c>
      <c r="X35" s="21">
        <v>45766</v>
      </c>
      <c r="Y35" s="10" t="s">
        <v>3031</v>
      </c>
      <c r="Z35" s="10" t="s">
        <v>626</v>
      </c>
      <c r="AA35" s="21" t="s">
        <v>626</v>
      </c>
      <c r="AB35" s="95" t="s">
        <v>626</v>
      </c>
      <c r="AC35" s="10" t="s">
        <v>626</v>
      </c>
      <c r="AD35" s="10"/>
      <c r="AE35" s="21"/>
      <c r="AF35" s="10"/>
      <c r="AG35" s="10"/>
      <c r="AH35" s="21"/>
      <c r="AI35" s="95"/>
      <c r="AJ35" s="10"/>
      <c r="AK35" s="10"/>
      <c r="AL35" s="17"/>
      <c r="AM35" s="11"/>
      <c r="AN35" s="11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1"/>
      <c r="BF35" s="259"/>
    </row>
    <row r="36" spans="1:58" s="381" customFormat="1" ht="42" customHeight="1" x14ac:dyDescent="0.25">
      <c r="A36" s="367">
        <v>730007</v>
      </c>
      <c r="B36" s="58" t="s">
        <v>508</v>
      </c>
      <c r="C36" s="127" t="s">
        <v>627</v>
      </c>
      <c r="D36" s="12" t="s">
        <v>1287</v>
      </c>
      <c r="E36" s="12" t="s">
        <v>1286</v>
      </c>
      <c r="F36" s="16" t="s">
        <v>1288</v>
      </c>
      <c r="G36" s="10" t="s">
        <v>30</v>
      </c>
      <c r="H36" s="10" t="s">
        <v>277</v>
      </c>
      <c r="I36" s="16" t="s">
        <v>3</v>
      </c>
      <c r="J36" s="53">
        <v>45632</v>
      </c>
      <c r="K36" s="13" t="s">
        <v>1289</v>
      </c>
      <c r="L36" s="53">
        <f t="shared" si="0"/>
        <v>45639</v>
      </c>
      <c r="M36" s="53">
        <v>45648</v>
      </c>
      <c r="N36" s="92">
        <f t="shared" si="4"/>
        <v>9</v>
      </c>
      <c r="O36" s="10" t="s">
        <v>1325</v>
      </c>
      <c r="P36" s="16" t="s">
        <v>3</v>
      </c>
      <c r="Q36" s="21">
        <v>45662</v>
      </c>
      <c r="R36" s="10" t="s">
        <v>1837</v>
      </c>
      <c r="S36" s="53">
        <f t="shared" si="5"/>
        <v>45669</v>
      </c>
      <c r="T36" s="21">
        <v>45673</v>
      </c>
      <c r="U36" s="95">
        <f t="shared" si="6"/>
        <v>4</v>
      </c>
      <c r="V36" s="10" t="s">
        <v>1846</v>
      </c>
      <c r="W36" s="88" t="s">
        <v>508</v>
      </c>
      <c r="X36" s="21">
        <v>45766</v>
      </c>
      <c r="Y36" s="10" t="s">
        <v>3038</v>
      </c>
      <c r="Z36" s="10" t="s">
        <v>626</v>
      </c>
      <c r="AA36" s="21" t="s">
        <v>626</v>
      </c>
      <c r="AB36" s="95" t="s">
        <v>626</v>
      </c>
      <c r="AC36" s="10" t="s">
        <v>626</v>
      </c>
      <c r="AD36" s="10"/>
      <c r="AE36" s="21"/>
      <c r="AF36" s="10"/>
      <c r="AG36" s="10"/>
      <c r="AH36" s="21"/>
      <c r="AI36" s="95"/>
      <c r="AJ36" s="10"/>
      <c r="AK36" s="10"/>
      <c r="AL36" s="17"/>
      <c r="AM36" s="11"/>
      <c r="AN36" s="11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1"/>
      <c r="BF36" s="259"/>
    </row>
    <row r="37" spans="1:58" s="381" customFormat="1" ht="42" customHeight="1" x14ac:dyDescent="0.25">
      <c r="A37" s="367">
        <v>730007</v>
      </c>
      <c r="B37" s="58" t="s">
        <v>508</v>
      </c>
      <c r="C37" s="127" t="s">
        <v>627</v>
      </c>
      <c r="D37" s="12" t="s">
        <v>1291</v>
      </c>
      <c r="E37" s="12" t="s">
        <v>1290</v>
      </c>
      <c r="F37" s="16" t="s">
        <v>1292</v>
      </c>
      <c r="G37" s="10" t="s">
        <v>30</v>
      </c>
      <c r="H37" s="10" t="s">
        <v>277</v>
      </c>
      <c r="I37" s="16" t="s">
        <v>3</v>
      </c>
      <c r="J37" s="53">
        <v>45632</v>
      </c>
      <c r="K37" s="13" t="s">
        <v>1293</v>
      </c>
      <c r="L37" s="53">
        <f t="shared" si="0"/>
        <v>45639</v>
      </c>
      <c r="M37" s="53">
        <v>45648</v>
      </c>
      <c r="N37" s="92">
        <f t="shared" si="4"/>
        <v>9</v>
      </c>
      <c r="O37" s="10" t="s">
        <v>1326</v>
      </c>
      <c r="P37" s="16" t="s">
        <v>3</v>
      </c>
      <c r="Q37" s="21">
        <v>45668</v>
      </c>
      <c r="R37" s="10" t="s">
        <v>1938</v>
      </c>
      <c r="S37" s="53">
        <f t="shared" si="5"/>
        <v>45675</v>
      </c>
      <c r="T37" s="21">
        <v>45678</v>
      </c>
      <c r="U37" s="95">
        <f t="shared" si="6"/>
        <v>3</v>
      </c>
      <c r="V37" s="10" t="s">
        <v>1948</v>
      </c>
      <c r="W37" s="10" t="s">
        <v>3</v>
      </c>
      <c r="X37" s="21">
        <v>45680</v>
      </c>
      <c r="Y37" s="10" t="s">
        <v>2119</v>
      </c>
      <c r="Z37" s="21">
        <f>X37+7</f>
        <v>45687</v>
      </c>
      <c r="AA37" s="21">
        <v>45691</v>
      </c>
      <c r="AB37" s="95">
        <f>AA37-Z37</f>
        <v>4</v>
      </c>
      <c r="AC37" s="10" t="s">
        <v>2138</v>
      </c>
      <c r="AD37" s="10" t="s">
        <v>18</v>
      </c>
      <c r="AE37" s="21">
        <v>45712</v>
      </c>
      <c r="AF37" s="10" t="s">
        <v>2592</v>
      </c>
      <c r="AG37" s="21">
        <f>AE37+7</f>
        <v>45719</v>
      </c>
      <c r="AH37" s="21">
        <v>45717</v>
      </c>
      <c r="AI37" s="95">
        <f>AH37-AG37</f>
        <v>-2</v>
      </c>
      <c r="AJ37" s="10" t="s">
        <v>2596</v>
      </c>
      <c r="AK37" s="9" t="s">
        <v>508</v>
      </c>
      <c r="AL37" s="21">
        <v>46070</v>
      </c>
      <c r="AM37" s="10" t="s">
        <v>5862</v>
      </c>
      <c r="AN37" s="10" t="s">
        <v>626</v>
      </c>
      <c r="AO37" s="21" t="s">
        <v>626</v>
      </c>
      <c r="AP37" s="95" t="s">
        <v>626</v>
      </c>
      <c r="AQ37" s="10" t="s">
        <v>626</v>
      </c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1"/>
      <c r="BF37" s="259"/>
    </row>
    <row r="38" spans="1:58" s="381" customFormat="1" ht="42" customHeight="1" x14ac:dyDescent="0.25">
      <c r="A38" s="367">
        <v>730007</v>
      </c>
      <c r="B38" s="11" t="s">
        <v>5</v>
      </c>
      <c r="C38" s="56" t="s">
        <v>2456</v>
      </c>
      <c r="D38" s="12" t="s">
        <v>1294</v>
      </c>
      <c r="E38" s="12" t="s">
        <v>1295</v>
      </c>
      <c r="F38" s="16" t="s">
        <v>1296</v>
      </c>
      <c r="G38" s="10" t="s">
        <v>30</v>
      </c>
      <c r="H38" s="10" t="s">
        <v>277</v>
      </c>
      <c r="I38" s="16" t="s">
        <v>3</v>
      </c>
      <c r="J38" s="53">
        <v>45632</v>
      </c>
      <c r="K38" s="13" t="s">
        <v>1297</v>
      </c>
      <c r="L38" s="53">
        <f t="shared" si="0"/>
        <v>45639</v>
      </c>
      <c r="M38" s="53">
        <v>45649</v>
      </c>
      <c r="N38" s="92">
        <f t="shared" si="4"/>
        <v>10</v>
      </c>
      <c r="O38" s="10" t="s">
        <v>1327</v>
      </c>
      <c r="P38" s="16" t="s">
        <v>3</v>
      </c>
      <c r="Q38" s="21">
        <v>45659</v>
      </c>
      <c r="R38" s="10" t="s">
        <v>1773</v>
      </c>
      <c r="S38" s="53">
        <f t="shared" si="5"/>
        <v>45666</v>
      </c>
      <c r="T38" s="21">
        <v>45669</v>
      </c>
      <c r="U38" s="95">
        <f t="shared" si="6"/>
        <v>3</v>
      </c>
      <c r="V38" s="10" t="s">
        <v>1785</v>
      </c>
      <c r="W38" s="10" t="s">
        <v>18</v>
      </c>
      <c r="X38" s="21">
        <v>45673</v>
      </c>
      <c r="Y38" s="10" t="s">
        <v>2028</v>
      </c>
      <c r="Z38" s="21">
        <f>X38+7</f>
        <v>45680</v>
      </c>
      <c r="AA38" s="21">
        <v>45677</v>
      </c>
      <c r="AB38" s="95">
        <f>AA38-Z38</f>
        <v>-3</v>
      </c>
      <c r="AC38" s="10" t="s">
        <v>2036</v>
      </c>
      <c r="AD38" s="10" t="s">
        <v>18</v>
      </c>
      <c r="AE38" s="21">
        <v>45786</v>
      </c>
      <c r="AF38" s="10" t="s">
        <v>3239</v>
      </c>
      <c r="AG38" s="21">
        <f>AE38+7</f>
        <v>45793</v>
      </c>
      <c r="AH38" s="21">
        <v>45795</v>
      </c>
      <c r="AI38" s="95">
        <f>AH38-AG38</f>
        <v>2</v>
      </c>
      <c r="AJ38" s="10" t="s">
        <v>3250</v>
      </c>
      <c r="AK38" s="10" t="s">
        <v>5</v>
      </c>
      <c r="AL38" s="17">
        <v>46006</v>
      </c>
      <c r="AM38" s="11" t="s">
        <v>5241</v>
      </c>
      <c r="AN38" s="21">
        <f>AL38+7</f>
        <v>46013</v>
      </c>
      <c r="AO38" s="17">
        <v>46012</v>
      </c>
      <c r="AP38" s="95">
        <f>AO38-AN38</f>
        <v>-1</v>
      </c>
      <c r="AQ38" s="17" t="s">
        <v>5293</v>
      </c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1"/>
      <c r="BF38" s="259"/>
    </row>
    <row r="39" spans="1:58" s="381" customFormat="1" ht="42" customHeight="1" x14ac:dyDescent="0.25">
      <c r="A39" s="367">
        <v>730007</v>
      </c>
      <c r="B39" s="58" t="s">
        <v>508</v>
      </c>
      <c r="C39" s="127" t="s">
        <v>627</v>
      </c>
      <c r="D39" s="12" t="s">
        <v>1299</v>
      </c>
      <c r="E39" s="12" t="s">
        <v>1298</v>
      </c>
      <c r="F39" s="16" t="s">
        <v>1300</v>
      </c>
      <c r="G39" s="10" t="s">
        <v>30</v>
      </c>
      <c r="H39" s="10" t="s">
        <v>277</v>
      </c>
      <c r="I39" s="16" t="s">
        <v>3</v>
      </c>
      <c r="J39" s="53">
        <v>45632</v>
      </c>
      <c r="K39" s="13" t="s">
        <v>1301</v>
      </c>
      <c r="L39" s="53">
        <f t="shared" si="0"/>
        <v>45639</v>
      </c>
      <c r="M39" s="53">
        <v>45649</v>
      </c>
      <c r="N39" s="92">
        <f t="shared" si="4"/>
        <v>10</v>
      </c>
      <c r="O39" s="10" t="s">
        <v>1328</v>
      </c>
      <c r="P39" s="11" t="s">
        <v>18</v>
      </c>
      <c r="Q39" s="21">
        <v>45869</v>
      </c>
      <c r="R39" s="150" t="s">
        <v>3848</v>
      </c>
      <c r="S39" s="53">
        <f t="shared" si="5"/>
        <v>45876</v>
      </c>
      <c r="T39" s="21">
        <v>45876</v>
      </c>
      <c r="U39" s="95">
        <f t="shared" si="6"/>
        <v>0</v>
      </c>
      <c r="V39" s="151" t="s">
        <v>3861</v>
      </c>
      <c r="W39" s="9" t="s">
        <v>508</v>
      </c>
      <c r="X39" s="21">
        <v>46070</v>
      </c>
      <c r="Y39" s="10" t="s">
        <v>5862</v>
      </c>
      <c r="Z39" s="10" t="s">
        <v>626</v>
      </c>
      <c r="AA39" s="21" t="s">
        <v>626</v>
      </c>
      <c r="AB39" s="95" t="s">
        <v>626</v>
      </c>
      <c r="AC39" s="10" t="s">
        <v>626</v>
      </c>
      <c r="AD39" s="10"/>
      <c r="AE39" s="21"/>
      <c r="AF39" s="10"/>
      <c r="AG39" s="10"/>
      <c r="AH39" s="21"/>
      <c r="AI39" s="95"/>
      <c r="AJ39" s="10"/>
      <c r="AK39" s="10"/>
      <c r="AL39" s="17"/>
      <c r="AM39" s="11"/>
      <c r="AN39" s="11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1"/>
      <c r="BF39" s="259"/>
    </row>
    <row r="40" spans="1:58" s="381" customFormat="1" ht="42" customHeight="1" x14ac:dyDescent="0.25">
      <c r="A40" s="367">
        <v>730007</v>
      </c>
      <c r="B40" s="11" t="s">
        <v>5</v>
      </c>
      <c r="C40" s="56" t="s">
        <v>2384</v>
      </c>
      <c r="D40" s="12" t="s">
        <v>1381</v>
      </c>
      <c r="E40" s="12" t="s">
        <v>1383</v>
      </c>
      <c r="F40" s="16" t="s">
        <v>1385</v>
      </c>
      <c r="G40" s="10" t="s">
        <v>30</v>
      </c>
      <c r="H40" s="10" t="s">
        <v>277</v>
      </c>
      <c r="I40" s="16" t="s">
        <v>3</v>
      </c>
      <c r="J40" s="53">
        <v>45638</v>
      </c>
      <c r="K40" s="13" t="s">
        <v>1387</v>
      </c>
      <c r="L40" s="53">
        <f t="shared" si="0"/>
        <v>45645</v>
      </c>
      <c r="M40" s="53">
        <v>45650</v>
      </c>
      <c r="N40" s="92">
        <f t="shared" si="4"/>
        <v>5</v>
      </c>
      <c r="O40" s="10" t="s">
        <v>1413</v>
      </c>
      <c r="P40" s="12" t="s">
        <v>3</v>
      </c>
      <c r="Q40" s="21">
        <v>45659</v>
      </c>
      <c r="R40" s="10" t="s">
        <v>1772</v>
      </c>
      <c r="S40" s="53">
        <f t="shared" si="5"/>
        <v>45666</v>
      </c>
      <c r="T40" s="21">
        <v>45669</v>
      </c>
      <c r="U40" s="95">
        <f t="shared" si="6"/>
        <v>3</v>
      </c>
      <c r="V40" s="10" t="s">
        <v>1784</v>
      </c>
      <c r="W40" s="10" t="s">
        <v>18</v>
      </c>
      <c r="X40" s="21">
        <v>45677</v>
      </c>
      <c r="Y40" s="10" t="s">
        <v>2051</v>
      </c>
      <c r="Z40" s="21">
        <f>X40+7</f>
        <v>45684</v>
      </c>
      <c r="AA40" s="21">
        <v>45683</v>
      </c>
      <c r="AB40" s="95">
        <f>AA40-Z40</f>
        <v>-1</v>
      </c>
      <c r="AC40" s="10" t="s">
        <v>2066</v>
      </c>
      <c r="AD40" s="10" t="s">
        <v>18</v>
      </c>
      <c r="AE40" s="21">
        <v>45811</v>
      </c>
      <c r="AF40" s="150" t="s">
        <v>3451</v>
      </c>
      <c r="AG40" s="21">
        <f t="shared" ref="AG40:AG45" si="7">AE40+7</f>
        <v>45818</v>
      </c>
      <c r="AH40" s="21">
        <v>45823</v>
      </c>
      <c r="AI40" s="95">
        <f t="shared" ref="AI40:AI45" si="8">AH40-AG40</f>
        <v>5</v>
      </c>
      <c r="AJ40" s="10" t="s">
        <v>3457</v>
      </c>
      <c r="AK40" s="10" t="s">
        <v>18</v>
      </c>
      <c r="AL40" s="17">
        <v>46047</v>
      </c>
      <c r="AM40" s="11" t="s">
        <v>5661</v>
      </c>
      <c r="AN40" s="21">
        <f>AL40+7</f>
        <v>46054</v>
      </c>
      <c r="AO40" s="17">
        <v>46053</v>
      </c>
      <c r="AP40" s="95">
        <f>AO40-AN40</f>
        <v>-1</v>
      </c>
      <c r="AQ40" s="17" t="s">
        <v>5671</v>
      </c>
      <c r="AR40" s="17" t="s">
        <v>5</v>
      </c>
      <c r="AS40" s="17">
        <v>46057</v>
      </c>
      <c r="AT40" s="17" t="s">
        <v>5747</v>
      </c>
      <c r="AU40" s="21">
        <f>AS40+7</f>
        <v>46064</v>
      </c>
      <c r="AV40" s="17">
        <v>46064</v>
      </c>
      <c r="AW40" s="95">
        <f>AV40-AU40</f>
        <v>0</v>
      </c>
      <c r="AX40" s="17" t="s">
        <v>5760</v>
      </c>
      <c r="AY40" s="17"/>
      <c r="AZ40" s="17"/>
      <c r="BA40" s="17"/>
      <c r="BB40" s="17"/>
      <c r="BC40" s="17"/>
      <c r="BD40" s="17"/>
      <c r="BE40" s="11"/>
      <c r="BF40" s="259"/>
    </row>
    <row r="41" spans="1:58" s="381" customFormat="1" ht="42" customHeight="1" x14ac:dyDescent="0.25">
      <c r="A41" s="367">
        <v>730007</v>
      </c>
      <c r="B41" s="11" t="s">
        <v>5</v>
      </c>
      <c r="C41" s="56" t="s">
        <v>725</v>
      </c>
      <c r="D41" s="12" t="s">
        <v>1382</v>
      </c>
      <c r="E41" s="12" t="s">
        <v>1384</v>
      </c>
      <c r="F41" s="16" t="s">
        <v>1386</v>
      </c>
      <c r="G41" s="10" t="s">
        <v>30</v>
      </c>
      <c r="H41" s="10" t="s">
        <v>277</v>
      </c>
      <c r="I41" s="16" t="s">
        <v>3</v>
      </c>
      <c r="J41" s="53">
        <v>45638</v>
      </c>
      <c r="K41" s="13" t="s">
        <v>1388</v>
      </c>
      <c r="L41" s="53">
        <f>J41+7</f>
        <v>45645</v>
      </c>
      <c r="M41" s="53">
        <v>45650</v>
      </c>
      <c r="N41" s="92">
        <f t="shared" si="4"/>
        <v>5</v>
      </c>
      <c r="O41" s="10" t="s">
        <v>1414</v>
      </c>
      <c r="P41" s="12" t="s">
        <v>18</v>
      </c>
      <c r="Q41" s="21">
        <v>45663</v>
      </c>
      <c r="R41" s="10" t="s">
        <v>1852</v>
      </c>
      <c r="S41" s="53">
        <f t="shared" si="5"/>
        <v>45670</v>
      </c>
      <c r="T41" s="21">
        <v>45665</v>
      </c>
      <c r="U41" s="95">
        <f t="shared" si="6"/>
        <v>-5</v>
      </c>
      <c r="V41" s="10" t="s">
        <v>1858</v>
      </c>
      <c r="W41" s="10" t="s">
        <v>18</v>
      </c>
      <c r="X41" s="21">
        <v>46058</v>
      </c>
      <c r="Y41" s="10" t="s">
        <v>5771</v>
      </c>
      <c r="Z41" s="21">
        <f>X41+7</f>
        <v>46065</v>
      </c>
      <c r="AA41" s="21">
        <v>46069</v>
      </c>
      <c r="AB41" s="95">
        <f>AA41-Z41</f>
        <v>4</v>
      </c>
      <c r="AC41" s="10" t="s">
        <v>5784</v>
      </c>
      <c r="AD41" s="10" t="s">
        <v>5</v>
      </c>
      <c r="AE41" s="21">
        <v>46070</v>
      </c>
      <c r="AF41" s="10" t="s">
        <v>5861</v>
      </c>
      <c r="AG41" s="21">
        <f t="shared" si="7"/>
        <v>46077</v>
      </c>
      <c r="AH41" s="21">
        <v>46079</v>
      </c>
      <c r="AI41" s="95">
        <f t="shared" si="8"/>
        <v>2</v>
      </c>
      <c r="AJ41" s="10" t="s">
        <v>5864</v>
      </c>
      <c r="AK41" s="10"/>
      <c r="AL41" s="17"/>
      <c r="AM41" s="11"/>
      <c r="AN41" s="11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1"/>
      <c r="BF41" s="259"/>
    </row>
    <row r="42" spans="1:58" s="381" customFormat="1" ht="42" customHeight="1" x14ac:dyDescent="0.25">
      <c r="A42" s="367">
        <v>730007</v>
      </c>
      <c r="B42" s="11" t="s">
        <v>5</v>
      </c>
      <c r="C42" s="56" t="s">
        <v>2384</v>
      </c>
      <c r="D42" s="12" t="s">
        <v>1389</v>
      </c>
      <c r="E42" s="12" t="s">
        <v>1390</v>
      </c>
      <c r="F42" s="16" t="s">
        <v>1391</v>
      </c>
      <c r="G42" s="10" t="s">
        <v>30</v>
      </c>
      <c r="H42" s="10" t="s">
        <v>277</v>
      </c>
      <c r="I42" s="16" t="s">
        <v>3</v>
      </c>
      <c r="J42" s="53">
        <v>45638</v>
      </c>
      <c r="K42" s="13" t="s">
        <v>1392</v>
      </c>
      <c r="L42" s="53">
        <f>J42+7</f>
        <v>45645</v>
      </c>
      <c r="M42" s="53">
        <v>45650</v>
      </c>
      <c r="N42" s="92">
        <f t="shared" si="4"/>
        <v>5</v>
      </c>
      <c r="O42" s="10" t="s">
        <v>1415</v>
      </c>
      <c r="P42" s="16" t="s">
        <v>5</v>
      </c>
      <c r="Q42" s="21">
        <v>45698</v>
      </c>
      <c r="R42" s="10" t="s">
        <v>2402</v>
      </c>
      <c r="S42" s="21">
        <f t="shared" si="5"/>
        <v>45705</v>
      </c>
      <c r="T42" s="21">
        <v>45706</v>
      </c>
      <c r="U42" s="95">
        <f t="shared" si="6"/>
        <v>1</v>
      </c>
      <c r="V42" s="10" t="s">
        <v>2420</v>
      </c>
      <c r="W42" s="23" t="s">
        <v>3</v>
      </c>
      <c r="X42" s="21">
        <v>45866</v>
      </c>
      <c r="Y42" s="150" t="s">
        <v>3824</v>
      </c>
      <c r="Z42" s="21">
        <f>X42+7</f>
        <v>45873</v>
      </c>
      <c r="AA42" s="21">
        <v>45873</v>
      </c>
      <c r="AB42" s="95">
        <f>AA42-Z42</f>
        <v>0</v>
      </c>
      <c r="AC42" s="10" t="s">
        <v>3840</v>
      </c>
      <c r="AD42" s="10" t="s">
        <v>18</v>
      </c>
      <c r="AE42" s="21">
        <v>45875</v>
      </c>
      <c r="AF42" s="10" t="s">
        <v>3887</v>
      </c>
      <c r="AG42" s="21">
        <f t="shared" si="7"/>
        <v>45882</v>
      </c>
      <c r="AH42" s="21">
        <v>45882</v>
      </c>
      <c r="AI42" s="95">
        <f t="shared" si="8"/>
        <v>0</v>
      </c>
      <c r="AJ42" s="10" t="s">
        <v>3897</v>
      </c>
      <c r="AK42" s="10" t="s">
        <v>18</v>
      </c>
      <c r="AL42" s="17">
        <v>45895</v>
      </c>
      <c r="AM42" s="11" t="s">
        <v>4040</v>
      </c>
      <c r="AN42" s="21">
        <f>AL42+7</f>
        <v>45902</v>
      </c>
      <c r="AO42" s="17">
        <v>45901</v>
      </c>
      <c r="AP42" s="95">
        <f>AO42-AN42</f>
        <v>-1</v>
      </c>
      <c r="AQ42" s="17" t="s">
        <v>4069</v>
      </c>
      <c r="AR42" s="17" t="s">
        <v>5</v>
      </c>
      <c r="AS42" s="17">
        <v>45908</v>
      </c>
      <c r="AT42" s="17" t="s">
        <v>4141</v>
      </c>
      <c r="AU42" s="21">
        <f>AS42+7</f>
        <v>45915</v>
      </c>
      <c r="AV42" s="17">
        <v>45914</v>
      </c>
      <c r="AW42" s="95">
        <f>AV42-AU42</f>
        <v>-1</v>
      </c>
      <c r="AX42" s="17" t="s">
        <v>4144</v>
      </c>
      <c r="AY42" s="17"/>
      <c r="AZ42" s="17"/>
      <c r="BA42" s="17"/>
      <c r="BB42" s="17"/>
      <c r="BC42" s="17"/>
      <c r="BD42" s="17"/>
      <c r="BE42" s="11"/>
      <c r="BF42" s="259"/>
    </row>
    <row r="43" spans="1:58" s="381" customFormat="1" ht="42" customHeight="1" x14ac:dyDescent="0.25">
      <c r="A43" s="367">
        <v>730007</v>
      </c>
      <c r="B43" s="58" t="s">
        <v>508</v>
      </c>
      <c r="C43" s="127" t="s">
        <v>627</v>
      </c>
      <c r="D43" s="12" t="s">
        <v>1398</v>
      </c>
      <c r="E43" s="12" t="s">
        <v>1397</v>
      </c>
      <c r="F43" s="16" t="s">
        <v>1399</v>
      </c>
      <c r="G43" s="10" t="s">
        <v>30</v>
      </c>
      <c r="H43" s="10" t="s">
        <v>277</v>
      </c>
      <c r="I43" s="16" t="s">
        <v>3</v>
      </c>
      <c r="J43" s="53">
        <v>45638</v>
      </c>
      <c r="K43" s="13" t="s">
        <v>1400</v>
      </c>
      <c r="L43" s="53">
        <f>J43+7</f>
        <v>45645</v>
      </c>
      <c r="M43" s="53">
        <v>45651</v>
      </c>
      <c r="N43" s="92">
        <f t="shared" si="4"/>
        <v>6</v>
      </c>
      <c r="O43" s="10" t="s">
        <v>1417</v>
      </c>
      <c r="P43" s="9" t="s">
        <v>508</v>
      </c>
      <c r="Q43" s="21">
        <v>45698</v>
      </c>
      <c r="R43" s="10" t="s">
        <v>2400</v>
      </c>
      <c r="S43" s="10" t="s">
        <v>626</v>
      </c>
      <c r="T43" s="21" t="s">
        <v>626</v>
      </c>
      <c r="U43" s="95"/>
      <c r="V43" s="10"/>
      <c r="W43" s="10"/>
      <c r="X43" s="21"/>
      <c r="Y43" s="10"/>
      <c r="Z43" s="10"/>
      <c r="AA43" s="21"/>
      <c r="AB43" s="95"/>
      <c r="AC43" s="10"/>
      <c r="AD43" s="10"/>
      <c r="AE43" s="21"/>
      <c r="AF43" s="10"/>
      <c r="AG43" s="21">
        <f t="shared" si="7"/>
        <v>7</v>
      </c>
      <c r="AH43" s="21"/>
      <c r="AI43" s="95">
        <f t="shared" si="8"/>
        <v>-7</v>
      </c>
      <c r="AJ43" s="10"/>
      <c r="AK43" s="10"/>
      <c r="AL43" s="17"/>
      <c r="AM43" s="11"/>
      <c r="AN43" s="11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1"/>
      <c r="BF43" s="259" t="s">
        <v>2399</v>
      </c>
    </row>
    <row r="44" spans="1:58" s="381" customFormat="1" ht="42" customHeight="1" x14ac:dyDescent="0.25">
      <c r="A44" s="367">
        <v>730007</v>
      </c>
      <c r="B44" s="23" t="s">
        <v>5</v>
      </c>
      <c r="C44" s="56" t="s">
        <v>725</v>
      </c>
      <c r="D44" s="12" t="s">
        <v>1455</v>
      </c>
      <c r="E44" s="12" t="s">
        <v>1456</v>
      </c>
      <c r="F44" s="16" t="s">
        <v>1457</v>
      </c>
      <c r="G44" s="10" t="s">
        <v>30</v>
      </c>
      <c r="H44" s="10" t="s">
        <v>277</v>
      </c>
      <c r="I44" s="16" t="s">
        <v>18</v>
      </c>
      <c r="J44" s="53">
        <v>45642</v>
      </c>
      <c r="K44" s="13" t="s">
        <v>1460</v>
      </c>
      <c r="L44" s="53">
        <f>J44+7</f>
        <v>45649</v>
      </c>
      <c r="M44" s="53">
        <v>45654</v>
      </c>
      <c r="N44" s="92">
        <f t="shared" si="4"/>
        <v>5</v>
      </c>
      <c r="O44" s="10" t="s">
        <v>1496</v>
      </c>
      <c r="P44" s="16" t="s">
        <v>18</v>
      </c>
      <c r="Q44" s="21">
        <v>45840</v>
      </c>
      <c r="R44" s="150" t="s">
        <v>3584</v>
      </c>
      <c r="S44" s="21">
        <f>Q44+7</f>
        <v>45847</v>
      </c>
      <c r="T44" s="21">
        <v>45846</v>
      </c>
      <c r="U44" s="95">
        <f t="shared" ref="U44:U51" si="9">T44-S44</f>
        <v>-1</v>
      </c>
      <c r="V44" s="10" t="s">
        <v>3586</v>
      </c>
      <c r="W44" s="16" t="s">
        <v>18</v>
      </c>
      <c r="X44" s="21">
        <v>46120</v>
      </c>
      <c r="Y44" s="10" t="s">
        <v>6304</v>
      </c>
      <c r="Z44" s="21">
        <f>X44+7</f>
        <v>46127</v>
      </c>
      <c r="AA44" s="21">
        <v>46127</v>
      </c>
      <c r="AB44" s="95">
        <f>AA44-Z44</f>
        <v>0</v>
      </c>
      <c r="AC44" s="10" t="s">
        <v>6310</v>
      </c>
      <c r="AD44" s="10" t="s">
        <v>5</v>
      </c>
      <c r="AE44" s="21">
        <v>46226</v>
      </c>
      <c r="AF44" s="150" t="s">
        <v>7337</v>
      </c>
      <c r="AG44" s="21">
        <f t="shared" si="7"/>
        <v>46233</v>
      </c>
      <c r="AH44" s="21">
        <v>46236</v>
      </c>
      <c r="AI44" s="95">
        <f t="shared" si="8"/>
        <v>3</v>
      </c>
      <c r="AJ44" s="151" t="s">
        <v>7345</v>
      </c>
      <c r="AK44" s="10"/>
      <c r="AL44" s="17"/>
      <c r="AM44" s="11"/>
      <c r="AN44" s="11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1"/>
      <c r="BF44" s="259"/>
    </row>
    <row r="45" spans="1:58" s="381" customFormat="1" ht="42" customHeight="1" x14ac:dyDescent="0.25">
      <c r="A45" s="367">
        <v>730007</v>
      </c>
      <c r="B45" s="23" t="s">
        <v>5</v>
      </c>
      <c r="C45" s="56" t="s">
        <v>725</v>
      </c>
      <c r="D45" s="12" t="s">
        <v>1459</v>
      </c>
      <c r="E45" s="12" t="s">
        <v>1458</v>
      </c>
      <c r="F45" s="16" t="s">
        <v>1461</v>
      </c>
      <c r="G45" s="10" t="s">
        <v>30</v>
      </c>
      <c r="H45" s="10" t="s">
        <v>277</v>
      </c>
      <c r="I45" s="16" t="s">
        <v>18</v>
      </c>
      <c r="J45" s="53">
        <v>45642</v>
      </c>
      <c r="K45" s="13" t="s">
        <v>1462</v>
      </c>
      <c r="L45" s="53">
        <f t="shared" ref="L45:L51" si="10">J45+7</f>
        <v>45649</v>
      </c>
      <c r="M45" s="53">
        <v>45654</v>
      </c>
      <c r="N45" s="92">
        <f t="shared" si="4"/>
        <v>5</v>
      </c>
      <c r="O45" s="10" t="s">
        <v>1497</v>
      </c>
      <c r="P45" s="127" t="s">
        <v>18</v>
      </c>
      <c r="Q45" s="21">
        <v>45838</v>
      </c>
      <c r="R45" s="150" t="s">
        <v>3561</v>
      </c>
      <c r="S45" s="21">
        <f>Q45+7</f>
        <v>45845</v>
      </c>
      <c r="T45" s="21">
        <v>45851</v>
      </c>
      <c r="U45" s="95">
        <f t="shared" si="9"/>
        <v>6</v>
      </c>
      <c r="V45" s="10" t="s">
        <v>3568</v>
      </c>
      <c r="W45" s="10" t="s">
        <v>18</v>
      </c>
      <c r="X45" s="21">
        <v>45855</v>
      </c>
      <c r="Y45" s="150" t="s">
        <v>3693</v>
      </c>
      <c r="Z45" s="21">
        <f>X45+7</f>
        <v>45862</v>
      </c>
      <c r="AA45" s="21">
        <v>45861</v>
      </c>
      <c r="AB45" s="95">
        <f>AA45-Z45</f>
        <v>-1</v>
      </c>
      <c r="AC45" s="10" t="s">
        <v>3696</v>
      </c>
      <c r="AD45" s="10" t="s">
        <v>5</v>
      </c>
      <c r="AE45" s="21">
        <v>45864</v>
      </c>
      <c r="AF45" s="150" t="s">
        <v>3799</v>
      </c>
      <c r="AG45" s="21">
        <f t="shared" si="7"/>
        <v>45871</v>
      </c>
      <c r="AH45" s="21">
        <v>45869</v>
      </c>
      <c r="AI45" s="95">
        <f t="shared" si="8"/>
        <v>-2</v>
      </c>
      <c r="AJ45" s="10" t="s">
        <v>3803</v>
      </c>
      <c r="AK45" s="10"/>
      <c r="AL45" s="17"/>
      <c r="AM45" s="11"/>
      <c r="AN45" s="11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1"/>
      <c r="BF45" s="259"/>
    </row>
    <row r="46" spans="1:58" s="381" customFormat="1" ht="42" customHeight="1" x14ac:dyDescent="0.25">
      <c r="A46" s="367">
        <v>730007</v>
      </c>
      <c r="B46" s="58" t="s">
        <v>508</v>
      </c>
      <c r="C46" s="127" t="s">
        <v>627</v>
      </c>
      <c r="D46" s="12" t="s">
        <v>1508</v>
      </c>
      <c r="E46" s="12" t="s">
        <v>1509</v>
      </c>
      <c r="F46" s="16" t="s">
        <v>1510</v>
      </c>
      <c r="G46" s="10" t="s">
        <v>30</v>
      </c>
      <c r="H46" s="10" t="s">
        <v>277</v>
      </c>
      <c r="I46" s="16" t="s">
        <v>3</v>
      </c>
      <c r="J46" s="53">
        <v>45643</v>
      </c>
      <c r="K46" s="13" t="s">
        <v>1511</v>
      </c>
      <c r="L46" s="53">
        <f t="shared" si="10"/>
        <v>45650</v>
      </c>
      <c r="M46" s="53">
        <v>45654</v>
      </c>
      <c r="N46" s="92">
        <f t="shared" si="4"/>
        <v>4</v>
      </c>
      <c r="O46" s="10" t="s">
        <v>1532</v>
      </c>
      <c r="P46" s="12" t="s">
        <v>3</v>
      </c>
      <c r="Q46" s="21">
        <v>45661</v>
      </c>
      <c r="R46" s="10" t="s">
        <v>1797</v>
      </c>
      <c r="S46" s="21">
        <f t="shared" ref="S46:S51" si="11">Q46+7</f>
        <v>45668</v>
      </c>
      <c r="T46" s="21">
        <v>45669</v>
      </c>
      <c r="U46" s="95">
        <f t="shared" si="9"/>
        <v>1</v>
      </c>
      <c r="V46" s="10" t="s">
        <v>1802</v>
      </c>
      <c r="W46" s="9" t="s">
        <v>508</v>
      </c>
      <c r="X46" s="21">
        <v>45767</v>
      </c>
      <c r="Y46" s="10" t="s">
        <v>3040</v>
      </c>
      <c r="Z46" s="10" t="s">
        <v>626</v>
      </c>
      <c r="AA46" s="21" t="s">
        <v>626</v>
      </c>
      <c r="AB46" s="95" t="s">
        <v>626</v>
      </c>
      <c r="AC46" s="10" t="s">
        <v>626</v>
      </c>
      <c r="AD46" s="10"/>
      <c r="AE46" s="21"/>
      <c r="AF46" s="10"/>
      <c r="AG46" s="10"/>
      <c r="AH46" s="21"/>
      <c r="AI46" s="95"/>
      <c r="AJ46" s="10"/>
      <c r="AK46" s="10"/>
      <c r="AL46" s="17"/>
      <c r="AM46" s="11"/>
      <c r="AN46" s="11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1"/>
      <c r="BF46" s="259"/>
    </row>
    <row r="47" spans="1:58" s="381" customFormat="1" ht="42" customHeight="1" x14ac:dyDescent="0.25">
      <c r="A47" s="367">
        <v>730007</v>
      </c>
      <c r="B47" s="58" t="s">
        <v>508</v>
      </c>
      <c r="C47" s="127" t="s">
        <v>627</v>
      </c>
      <c r="D47" s="12" t="s">
        <v>1580</v>
      </c>
      <c r="E47" s="12" t="s">
        <v>1581</v>
      </c>
      <c r="F47" s="16" t="s">
        <v>1582</v>
      </c>
      <c r="G47" s="10" t="s">
        <v>30</v>
      </c>
      <c r="H47" s="10" t="s">
        <v>277</v>
      </c>
      <c r="I47" s="16" t="s">
        <v>3</v>
      </c>
      <c r="J47" s="53">
        <v>45647</v>
      </c>
      <c r="K47" s="13" t="s">
        <v>1583</v>
      </c>
      <c r="L47" s="53">
        <f t="shared" si="10"/>
        <v>45654</v>
      </c>
      <c r="M47" s="53">
        <v>45654</v>
      </c>
      <c r="N47" s="92">
        <f t="shared" si="4"/>
        <v>0</v>
      </c>
      <c r="O47" s="10" t="s">
        <v>1599</v>
      </c>
      <c r="P47" s="12" t="s">
        <v>3</v>
      </c>
      <c r="Q47" s="21">
        <v>45672</v>
      </c>
      <c r="R47" s="10" t="s">
        <v>2018</v>
      </c>
      <c r="S47" s="21">
        <f t="shared" si="11"/>
        <v>45679</v>
      </c>
      <c r="T47" s="21">
        <v>45683</v>
      </c>
      <c r="U47" s="95">
        <f t="shared" si="9"/>
        <v>4</v>
      </c>
      <c r="V47" s="10" t="s">
        <v>2025</v>
      </c>
      <c r="W47" s="9" t="s">
        <v>508</v>
      </c>
      <c r="X47" s="21">
        <v>45767</v>
      </c>
      <c r="Y47" s="10" t="s">
        <v>3041</v>
      </c>
      <c r="Z47" s="10" t="s">
        <v>626</v>
      </c>
      <c r="AA47" s="21" t="s">
        <v>626</v>
      </c>
      <c r="AB47" s="95" t="s">
        <v>626</v>
      </c>
      <c r="AC47" s="10" t="s">
        <v>626</v>
      </c>
      <c r="AD47" s="10"/>
      <c r="AE47" s="21"/>
      <c r="AF47" s="10"/>
      <c r="AG47" s="10"/>
      <c r="AH47" s="21"/>
      <c r="AI47" s="95"/>
      <c r="AJ47" s="10"/>
      <c r="AK47" s="10"/>
      <c r="AL47" s="17"/>
      <c r="AM47" s="11"/>
      <c r="AN47" s="11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1"/>
      <c r="BF47" s="259"/>
    </row>
    <row r="48" spans="1:58" s="381" customFormat="1" ht="42" customHeight="1" x14ac:dyDescent="0.25">
      <c r="A48" s="367">
        <v>730007</v>
      </c>
      <c r="B48" s="58" t="s">
        <v>508</v>
      </c>
      <c r="C48" s="127" t="s">
        <v>627</v>
      </c>
      <c r="D48" s="12" t="s">
        <v>1664</v>
      </c>
      <c r="E48" s="12" t="s">
        <v>1665</v>
      </c>
      <c r="F48" s="16" t="s">
        <v>1666</v>
      </c>
      <c r="G48" s="10" t="s">
        <v>30</v>
      </c>
      <c r="H48" s="10" t="s">
        <v>277</v>
      </c>
      <c r="I48" s="16" t="s">
        <v>3</v>
      </c>
      <c r="J48" s="53">
        <v>45652</v>
      </c>
      <c r="K48" s="13" t="s">
        <v>1667</v>
      </c>
      <c r="L48" s="53">
        <f t="shared" si="10"/>
        <v>45659</v>
      </c>
      <c r="M48" s="53">
        <v>45663</v>
      </c>
      <c r="N48" s="92">
        <f t="shared" si="4"/>
        <v>4</v>
      </c>
      <c r="O48" s="10" t="s">
        <v>1681</v>
      </c>
      <c r="P48" s="16" t="s">
        <v>3</v>
      </c>
      <c r="Q48" s="21">
        <v>45670</v>
      </c>
      <c r="R48" s="10" t="s">
        <v>1959</v>
      </c>
      <c r="S48" s="21">
        <f t="shared" si="11"/>
        <v>45677</v>
      </c>
      <c r="T48" s="21">
        <v>45680</v>
      </c>
      <c r="U48" s="95">
        <f t="shared" si="9"/>
        <v>3</v>
      </c>
      <c r="V48" s="10" t="s">
        <v>1965</v>
      </c>
      <c r="W48" s="10" t="s">
        <v>18</v>
      </c>
      <c r="X48" s="21">
        <v>45712</v>
      </c>
      <c r="Y48" s="10" t="s">
        <v>2593</v>
      </c>
      <c r="Z48" s="21">
        <f>X48+7</f>
        <v>45719</v>
      </c>
      <c r="AA48" s="21">
        <v>45717</v>
      </c>
      <c r="AB48" s="95">
        <f>AA48-Z48</f>
        <v>-2</v>
      </c>
      <c r="AC48" s="10" t="s">
        <v>2597</v>
      </c>
      <c r="AD48" s="9" t="s">
        <v>508</v>
      </c>
      <c r="AE48" s="21">
        <v>46070</v>
      </c>
      <c r="AF48" s="10" t="s">
        <v>5862</v>
      </c>
      <c r="AG48" s="10" t="s">
        <v>626</v>
      </c>
      <c r="AH48" s="21" t="s">
        <v>626</v>
      </c>
      <c r="AI48" s="95" t="s">
        <v>626</v>
      </c>
      <c r="AJ48" s="10" t="s">
        <v>626</v>
      </c>
      <c r="AK48" s="10"/>
      <c r="AL48" s="17"/>
      <c r="AM48" s="11"/>
      <c r="AN48" s="11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1"/>
      <c r="BF48" s="259"/>
    </row>
    <row r="49" spans="1:58" s="381" customFormat="1" ht="42" customHeight="1" x14ac:dyDescent="0.25">
      <c r="A49" s="367">
        <v>730007</v>
      </c>
      <c r="B49" s="11" t="s">
        <v>5</v>
      </c>
      <c r="C49" s="56" t="s">
        <v>4883</v>
      </c>
      <c r="D49" s="12" t="s">
        <v>1711</v>
      </c>
      <c r="E49" s="12" t="s">
        <v>1713</v>
      </c>
      <c r="F49" s="16" t="s">
        <v>1715</v>
      </c>
      <c r="G49" s="10" t="s">
        <v>30</v>
      </c>
      <c r="H49" s="10" t="s">
        <v>277</v>
      </c>
      <c r="I49" s="16" t="s">
        <v>3</v>
      </c>
      <c r="J49" s="53">
        <v>45656</v>
      </c>
      <c r="K49" s="13" t="s">
        <v>1716</v>
      </c>
      <c r="L49" s="53">
        <f t="shared" si="10"/>
        <v>45663</v>
      </c>
      <c r="M49" s="53">
        <v>45663</v>
      </c>
      <c r="N49" s="92">
        <f t="shared" si="4"/>
        <v>0</v>
      </c>
      <c r="O49" s="10" t="s">
        <v>1737</v>
      </c>
      <c r="P49" s="12" t="s">
        <v>18</v>
      </c>
      <c r="Q49" s="21">
        <v>45664</v>
      </c>
      <c r="R49" s="10" t="s">
        <v>1863</v>
      </c>
      <c r="S49" s="21">
        <f t="shared" si="11"/>
        <v>45671</v>
      </c>
      <c r="T49" s="21">
        <v>45670</v>
      </c>
      <c r="U49" s="95">
        <f t="shared" si="9"/>
        <v>-1</v>
      </c>
      <c r="V49" s="10" t="s">
        <v>1870</v>
      </c>
      <c r="W49" s="10" t="s">
        <v>18</v>
      </c>
      <c r="X49" s="21">
        <v>45806</v>
      </c>
      <c r="Y49" s="10" t="s">
        <v>3405</v>
      </c>
      <c r="Z49" s="21">
        <f>X49+7</f>
        <v>45813</v>
      </c>
      <c r="AA49" s="21">
        <v>45823</v>
      </c>
      <c r="AB49" s="95">
        <f>AA49-Z49</f>
        <v>10</v>
      </c>
      <c r="AC49" s="10" t="s">
        <v>3422</v>
      </c>
      <c r="AD49" s="10" t="s">
        <v>18</v>
      </c>
      <c r="AE49" s="21">
        <v>45957</v>
      </c>
      <c r="AF49" s="10" t="s">
        <v>4614</v>
      </c>
      <c r="AG49" s="21">
        <f>AE49+7</f>
        <v>45964</v>
      </c>
      <c r="AH49" s="21">
        <v>45959</v>
      </c>
      <c r="AI49" s="95">
        <f>AH49-AG49</f>
        <v>-5</v>
      </c>
      <c r="AJ49" s="10" t="s">
        <v>4628</v>
      </c>
      <c r="AK49" s="10" t="s">
        <v>18</v>
      </c>
      <c r="AL49" s="17">
        <v>46096</v>
      </c>
      <c r="AM49" s="11" t="s">
        <v>6073</v>
      </c>
      <c r="AN49" s="21">
        <f>AL49+7</f>
        <v>46103</v>
      </c>
      <c r="AO49" s="17">
        <v>46111</v>
      </c>
      <c r="AP49" s="95">
        <f>AO49-AN49</f>
        <v>8</v>
      </c>
      <c r="AQ49" s="17" t="s">
        <v>6088</v>
      </c>
      <c r="AR49" s="17" t="s">
        <v>18</v>
      </c>
      <c r="AS49" s="17">
        <v>46112</v>
      </c>
      <c r="AT49" s="17" t="s">
        <v>6197</v>
      </c>
      <c r="AU49" s="21">
        <f>AS49+7</f>
        <v>46119</v>
      </c>
      <c r="AV49" s="17">
        <v>46116</v>
      </c>
      <c r="AW49" s="95">
        <f>AV49-AU49</f>
        <v>-3</v>
      </c>
      <c r="AX49" s="17" t="s">
        <v>6206</v>
      </c>
      <c r="AY49" s="17" t="s">
        <v>5</v>
      </c>
      <c r="AZ49" s="17">
        <v>46182</v>
      </c>
      <c r="BA49" s="17" t="s">
        <v>6959</v>
      </c>
      <c r="BB49" s="21">
        <f>AZ49+7</f>
        <v>46189</v>
      </c>
      <c r="BC49" s="17">
        <v>46189</v>
      </c>
      <c r="BD49" s="95">
        <f>BC49-BB49</f>
        <v>0</v>
      </c>
      <c r="BE49" s="11" t="s">
        <v>6974</v>
      </c>
      <c r="BF49" s="259"/>
    </row>
    <row r="50" spans="1:58" s="381" customFormat="1" ht="42" customHeight="1" x14ac:dyDescent="0.25">
      <c r="A50" s="367">
        <v>730007</v>
      </c>
      <c r="B50" s="11" t="s">
        <v>5</v>
      </c>
      <c r="C50" s="56" t="s">
        <v>725</v>
      </c>
      <c r="D50" s="12" t="s">
        <v>1712</v>
      </c>
      <c r="E50" s="12" t="s">
        <v>1714</v>
      </c>
      <c r="F50" s="16" t="s">
        <v>1717</v>
      </c>
      <c r="G50" s="10" t="s">
        <v>30</v>
      </c>
      <c r="H50" s="10" t="s">
        <v>277</v>
      </c>
      <c r="I50" s="16" t="s">
        <v>3</v>
      </c>
      <c r="J50" s="53">
        <v>45656</v>
      </c>
      <c r="K50" s="13" t="s">
        <v>1718</v>
      </c>
      <c r="L50" s="53">
        <f t="shared" si="10"/>
        <v>45663</v>
      </c>
      <c r="M50" s="53">
        <v>45666</v>
      </c>
      <c r="N50" s="92">
        <f t="shared" si="4"/>
        <v>3</v>
      </c>
      <c r="O50" s="10" t="s">
        <v>1738</v>
      </c>
      <c r="P50" s="12" t="s">
        <v>18</v>
      </c>
      <c r="Q50" s="21">
        <v>45667</v>
      </c>
      <c r="R50" s="10" t="s">
        <v>1933</v>
      </c>
      <c r="S50" s="21">
        <f t="shared" si="11"/>
        <v>45674</v>
      </c>
      <c r="T50" s="21">
        <v>45670</v>
      </c>
      <c r="U50" s="95">
        <f t="shared" si="9"/>
        <v>-4</v>
      </c>
      <c r="V50" s="10" t="s">
        <v>1945</v>
      </c>
      <c r="W50" s="10" t="s">
        <v>18</v>
      </c>
      <c r="X50" s="21">
        <v>46001</v>
      </c>
      <c r="Y50" s="10" t="s">
        <v>5178</v>
      </c>
      <c r="Z50" s="21">
        <f>X50+7</f>
        <v>46008</v>
      </c>
      <c r="AA50" s="21">
        <v>46013</v>
      </c>
      <c r="AB50" s="95">
        <f>AA50-Z50</f>
        <v>5</v>
      </c>
      <c r="AC50" s="10" t="s">
        <v>5182</v>
      </c>
      <c r="AD50" s="10" t="s">
        <v>5</v>
      </c>
      <c r="AE50" s="21">
        <v>46064</v>
      </c>
      <c r="AF50" s="10" t="s">
        <v>5827</v>
      </c>
      <c r="AG50" s="21">
        <f>AE50+7</f>
        <v>46071</v>
      </c>
      <c r="AH50" s="21">
        <v>46076</v>
      </c>
      <c r="AI50" s="95">
        <f>AH50-AG50</f>
        <v>5</v>
      </c>
      <c r="AJ50" s="10" t="s">
        <v>5836</v>
      </c>
      <c r="AK50" s="10"/>
      <c r="AL50" s="17"/>
      <c r="AM50" s="11"/>
      <c r="AN50" s="11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1"/>
      <c r="BF50" s="259"/>
    </row>
    <row r="51" spans="1:58" s="381" customFormat="1" ht="42" customHeight="1" x14ac:dyDescent="0.25">
      <c r="A51" s="367">
        <v>730007</v>
      </c>
      <c r="B51" s="11" t="s">
        <v>5</v>
      </c>
      <c r="C51" s="56" t="s">
        <v>588</v>
      </c>
      <c r="D51" s="12" t="s">
        <v>1719</v>
      </c>
      <c r="E51" s="12" t="s">
        <v>1720</v>
      </c>
      <c r="F51" s="16" t="s">
        <v>1721</v>
      </c>
      <c r="G51" s="10" t="s">
        <v>30</v>
      </c>
      <c r="H51" s="10" t="s">
        <v>277</v>
      </c>
      <c r="I51" s="16" t="s">
        <v>18</v>
      </c>
      <c r="J51" s="53">
        <v>45656</v>
      </c>
      <c r="K51" s="13" t="s">
        <v>1722</v>
      </c>
      <c r="L51" s="53">
        <f t="shared" si="10"/>
        <v>45663</v>
      </c>
      <c r="M51" s="53">
        <v>45666</v>
      </c>
      <c r="N51" s="92">
        <f t="shared" si="4"/>
        <v>3</v>
      </c>
      <c r="O51" s="10" t="s">
        <v>1739</v>
      </c>
      <c r="P51" s="10" t="s">
        <v>18</v>
      </c>
      <c r="Q51" s="21">
        <v>45805</v>
      </c>
      <c r="R51" s="10" t="s">
        <v>3384</v>
      </c>
      <c r="S51" s="21">
        <f t="shared" si="11"/>
        <v>45812</v>
      </c>
      <c r="T51" s="21">
        <v>45811</v>
      </c>
      <c r="U51" s="95">
        <f t="shared" si="9"/>
        <v>-1</v>
      </c>
      <c r="V51" s="10" t="s">
        <v>3398</v>
      </c>
      <c r="W51" s="10" t="s">
        <v>5</v>
      </c>
      <c r="X51" s="21">
        <v>45812</v>
      </c>
      <c r="Y51" s="150" t="s">
        <v>3478</v>
      </c>
      <c r="Z51" s="21">
        <f>X51+7</f>
        <v>45819</v>
      </c>
      <c r="AA51" s="21">
        <v>45823</v>
      </c>
      <c r="AB51" s="95">
        <f>AA51-Z51</f>
        <v>4</v>
      </c>
      <c r="AC51" s="10" t="s">
        <v>3475</v>
      </c>
      <c r="AD51" s="10"/>
      <c r="AE51" s="21"/>
      <c r="AF51" s="10"/>
      <c r="AG51" s="10"/>
      <c r="AH51" s="21"/>
      <c r="AI51" s="95"/>
      <c r="AJ51" s="10"/>
      <c r="AK51" s="10"/>
      <c r="AL51" s="17"/>
      <c r="AM51" s="11"/>
      <c r="AN51" s="11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1"/>
      <c r="BF51" s="259"/>
    </row>
    <row r="52" spans="1:58" s="381" customFormat="1" ht="42" customHeight="1" x14ac:dyDescent="0.25">
      <c r="A52" s="367">
        <v>730007</v>
      </c>
      <c r="B52" s="11" t="s">
        <v>5</v>
      </c>
      <c r="C52" s="11" t="s">
        <v>208</v>
      </c>
      <c r="D52" s="12" t="s">
        <v>1723</v>
      </c>
      <c r="E52" s="12" t="s">
        <v>1724</v>
      </c>
      <c r="F52" s="16" t="s">
        <v>1725</v>
      </c>
      <c r="G52" s="10" t="s">
        <v>30</v>
      </c>
      <c r="H52" s="10" t="s">
        <v>277</v>
      </c>
      <c r="I52" s="16" t="s">
        <v>18</v>
      </c>
      <c r="J52" s="53">
        <v>45656</v>
      </c>
      <c r="K52" s="13" t="s">
        <v>1726</v>
      </c>
      <c r="L52" s="53">
        <f t="shared" ref="L52:L58" si="12">J52+7</f>
        <v>45663</v>
      </c>
      <c r="M52" s="53">
        <v>45666</v>
      </c>
      <c r="N52" s="92">
        <f t="shared" si="4"/>
        <v>3</v>
      </c>
      <c r="O52" s="10" t="s">
        <v>1740</v>
      </c>
      <c r="P52" s="10" t="s">
        <v>5</v>
      </c>
      <c r="Q52" s="21">
        <v>45804</v>
      </c>
      <c r="R52" s="10" t="s">
        <v>3372</v>
      </c>
      <c r="S52" s="21">
        <f>Q52+7</f>
        <v>45811</v>
      </c>
      <c r="T52" s="21">
        <v>45811</v>
      </c>
      <c r="U52" s="92">
        <f>T52-S52</f>
        <v>0</v>
      </c>
      <c r="V52" s="10" t="s">
        <v>3395</v>
      </c>
      <c r="W52" s="10"/>
      <c r="X52" s="21"/>
      <c r="Y52" s="10"/>
      <c r="Z52" s="10"/>
      <c r="AA52" s="21"/>
      <c r="AB52" s="95"/>
      <c r="AC52" s="10"/>
      <c r="AD52" s="10"/>
      <c r="AE52" s="21"/>
      <c r="AF52" s="10"/>
      <c r="AG52" s="10"/>
      <c r="AH52" s="21"/>
      <c r="AI52" s="95"/>
      <c r="AJ52" s="10"/>
      <c r="AK52" s="10"/>
      <c r="AL52" s="17"/>
      <c r="AM52" s="11"/>
      <c r="AN52" s="11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1"/>
      <c r="BF52" s="259"/>
    </row>
    <row r="53" spans="1:58" s="381" customFormat="1" ht="42" customHeight="1" x14ac:dyDescent="0.25">
      <c r="A53" s="367">
        <v>730007</v>
      </c>
      <c r="B53" s="11" t="s">
        <v>5</v>
      </c>
      <c r="C53" s="56" t="s">
        <v>588</v>
      </c>
      <c r="D53" s="12" t="s">
        <v>1727</v>
      </c>
      <c r="E53" s="12" t="s">
        <v>1728</v>
      </c>
      <c r="F53" s="16" t="s">
        <v>1729</v>
      </c>
      <c r="G53" s="10" t="s">
        <v>30</v>
      </c>
      <c r="H53" s="10" t="s">
        <v>277</v>
      </c>
      <c r="I53" s="16" t="s">
        <v>18</v>
      </c>
      <c r="J53" s="53">
        <v>45656</v>
      </c>
      <c r="K53" s="13" t="s">
        <v>1730</v>
      </c>
      <c r="L53" s="53">
        <f t="shared" si="12"/>
        <v>45663</v>
      </c>
      <c r="M53" s="53">
        <v>45666</v>
      </c>
      <c r="N53" s="92">
        <f t="shared" si="4"/>
        <v>3</v>
      </c>
      <c r="O53" s="10" t="s">
        <v>1741</v>
      </c>
      <c r="P53" s="10" t="s">
        <v>18</v>
      </c>
      <c r="Q53" s="21">
        <v>46121</v>
      </c>
      <c r="R53" s="10" t="s">
        <v>6314</v>
      </c>
      <c r="S53" s="21">
        <f>Q53+7</f>
        <v>46128</v>
      </c>
      <c r="T53" s="21">
        <v>46126</v>
      </c>
      <c r="U53" s="92">
        <f>T53-S53</f>
        <v>-2</v>
      </c>
      <c r="V53" s="10" t="s">
        <v>6322</v>
      </c>
      <c r="W53" s="10" t="s">
        <v>5</v>
      </c>
      <c r="X53" s="21">
        <v>46147</v>
      </c>
      <c r="Y53" s="10" t="s">
        <v>6660</v>
      </c>
      <c r="Z53" s="21">
        <f>X53+7</f>
        <v>46154</v>
      </c>
      <c r="AA53" s="21">
        <v>46159</v>
      </c>
      <c r="AB53" s="95">
        <f>AA53-Z53</f>
        <v>5</v>
      </c>
      <c r="AC53" s="10" t="s">
        <v>6677</v>
      </c>
      <c r="AD53" s="10"/>
      <c r="AE53" s="21"/>
      <c r="AF53" s="10"/>
      <c r="AG53" s="10"/>
      <c r="AH53" s="21"/>
      <c r="AI53" s="95"/>
      <c r="AJ53" s="10"/>
      <c r="AK53" s="10"/>
      <c r="AL53" s="17"/>
      <c r="AM53" s="11"/>
      <c r="AN53" s="11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1"/>
      <c r="BF53" s="259"/>
    </row>
    <row r="54" spans="1:58" s="381" customFormat="1" ht="42" customHeight="1" x14ac:dyDescent="0.25">
      <c r="A54" s="367">
        <v>730007</v>
      </c>
      <c r="B54" s="11" t="s">
        <v>5</v>
      </c>
      <c r="C54" s="56" t="s">
        <v>588</v>
      </c>
      <c r="D54" s="12" t="s">
        <v>1731</v>
      </c>
      <c r="E54" s="12" t="s">
        <v>1732</v>
      </c>
      <c r="F54" s="16" t="s">
        <v>1733</v>
      </c>
      <c r="G54" s="10" t="s">
        <v>30</v>
      </c>
      <c r="H54" s="10" t="s">
        <v>277</v>
      </c>
      <c r="I54" s="16" t="s">
        <v>3</v>
      </c>
      <c r="J54" s="53">
        <v>45656</v>
      </c>
      <c r="K54" s="13" t="s">
        <v>1734</v>
      </c>
      <c r="L54" s="53">
        <f t="shared" si="12"/>
        <v>45663</v>
      </c>
      <c r="M54" s="53">
        <v>45666</v>
      </c>
      <c r="N54" s="92">
        <f t="shared" si="4"/>
        <v>3</v>
      </c>
      <c r="O54" s="10" t="s">
        <v>1746</v>
      </c>
      <c r="P54" s="10" t="s">
        <v>18</v>
      </c>
      <c r="Q54" s="21">
        <v>45667</v>
      </c>
      <c r="R54" s="10" t="s">
        <v>1932</v>
      </c>
      <c r="S54" s="21">
        <f>Q54+7</f>
        <v>45674</v>
      </c>
      <c r="T54" s="21">
        <v>45670</v>
      </c>
      <c r="U54" s="92">
        <f>T54-S54</f>
        <v>-4</v>
      </c>
      <c r="V54" s="10" t="s">
        <v>1944</v>
      </c>
      <c r="W54" s="10" t="s">
        <v>5</v>
      </c>
      <c r="X54" s="21">
        <v>46065</v>
      </c>
      <c r="Y54" s="10" t="s">
        <v>5829</v>
      </c>
      <c r="Z54" s="21">
        <f>X54+7</f>
        <v>46072</v>
      </c>
      <c r="AA54" s="21">
        <v>46072</v>
      </c>
      <c r="AB54" s="95">
        <f>AA54-Z54</f>
        <v>0</v>
      </c>
      <c r="AC54" s="10" t="s">
        <v>5838</v>
      </c>
      <c r="AD54" s="10"/>
      <c r="AE54" s="21"/>
      <c r="AF54" s="10"/>
      <c r="AG54" s="10"/>
      <c r="AH54" s="21"/>
      <c r="AI54" s="95"/>
      <c r="AJ54" s="10"/>
      <c r="AK54" s="10"/>
      <c r="AL54" s="17"/>
      <c r="AM54" s="11"/>
      <c r="AN54" s="11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1"/>
      <c r="BF54" s="259"/>
    </row>
    <row r="55" spans="1:58" s="381" customFormat="1" ht="42" customHeight="1" x14ac:dyDescent="0.25">
      <c r="A55" s="367">
        <v>730007</v>
      </c>
      <c r="B55" s="58" t="s">
        <v>508</v>
      </c>
      <c r="C55" s="127" t="s">
        <v>627</v>
      </c>
      <c r="D55" s="12" t="s">
        <v>1804</v>
      </c>
      <c r="E55" s="12" t="s">
        <v>1805</v>
      </c>
      <c r="F55" s="16" t="s">
        <v>1806</v>
      </c>
      <c r="G55" s="10" t="s">
        <v>30</v>
      </c>
      <c r="H55" s="10" t="s">
        <v>277</v>
      </c>
      <c r="I55" s="16" t="s">
        <v>3</v>
      </c>
      <c r="J55" s="53">
        <v>45661</v>
      </c>
      <c r="K55" s="13" t="s">
        <v>1807</v>
      </c>
      <c r="L55" s="53">
        <f t="shared" si="12"/>
        <v>45668</v>
      </c>
      <c r="M55" s="53">
        <v>45673</v>
      </c>
      <c r="N55" s="92">
        <f t="shared" si="4"/>
        <v>5</v>
      </c>
      <c r="O55" s="10" t="s">
        <v>1820</v>
      </c>
      <c r="P55" s="9" t="s">
        <v>508</v>
      </c>
      <c r="Q55" s="21">
        <v>45766</v>
      </c>
      <c r="R55" s="10" t="s">
        <v>3033</v>
      </c>
      <c r="S55" s="10" t="s">
        <v>626</v>
      </c>
      <c r="T55" s="21" t="s">
        <v>626</v>
      </c>
      <c r="U55" s="95" t="s">
        <v>626</v>
      </c>
      <c r="V55" s="10" t="s">
        <v>626</v>
      </c>
      <c r="W55" s="10"/>
      <c r="X55" s="21"/>
      <c r="Y55" s="10"/>
      <c r="Z55" s="10"/>
      <c r="AA55" s="21"/>
      <c r="AB55" s="95"/>
      <c r="AC55" s="10"/>
      <c r="AD55" s="10"/>
      <c r="AE55" s="21"/>
      <c r="AF55" s="10"/>
      <c r="AG55" s="10"/>
      <c r="AH55" s="21"/>
      <c r="AI55" s="95"/>
      <c r="AJ55" s="10"/>
      <c r="AK55" s="10"/>
      <c r="AL55" s="17"/>
      <c r="AM55" s="11"/>
      <c r="AN55" s="11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1"/>
      <c r="BF55" s="259"/>
    </row>
    <row r="56" spans="1:58" s="381" customFormat="1" ht="42" customHeight="1" x14ac:dyDescent="0.25">
      <c r="A56" s="367">
        <v>730007</v>
      </c>
      <c r="B56" s="11" t="s">
        <v>5</v>
      </c>
      <c r="C56" s="56" t="s">
        <v>208</v>
      </c>
      <c r="D56" s="12" t="s">
        <v>1832</v>
      </c>
      <c r="E56" s="12" t="s">
        <v>1833</v>
      </c>
      <c r="F56" s="16" t="s">
        <v>1834</v>
      </c>
      <c r="G56" s="10" t="s">
        <v>30</v>
      </c>
      <c r="H56" s="10" t="s">
        <v>277</v>
      </c>
      <c r="I56" s="16" t="s">
        <v>18</v>
      </c>
      <c r="J56" s="53">
        <v>45662</v>
      </c>
      <c r="K56" s="13" t="s">
        <v>1835</v>
      </c>
      <c r="L56" s="53">
        <f t="shared" si="12"/>
        <v>45669</v>
      </c>
      <c r="M56" s="53">
        <v>45673</v>
      </c>
      <c r="N56" s="92">
        <f t="shared" si="4"/>
        <v>4</v>
      </c>
      <c r="O56" s="10" t="s">
        <v>1842</v>
      </c>
      <c r="P56" s="10" t="s">
        <v>18</v>
      </c>
      <c r="Q56" s="21">
        <v>45808</v>
      </c>
      <c r="R56" s="10" t="s">
        <v>3413</v>
      </c>
      <c r="S56" s="21">
        <f>Q56+7</f>
        <v>45815</v>
      </c>
      <c r="T56" s="21">
        <v>45812</v>
      </c>
      <c r="U56" s="95" t="s">
        <v>626</v>
      </c>
      <c r="V56" s="10" t="s">
        <v>3423</v>
      </c>
      <c r="W56" s="10" t="s">
        <v>5</v>
      </c>
      <c r="X56" s="21">
        <v>45830</v>
      </c>
      <c r="Y56" s="150" t="s">
        <v>3507</v>
      </c>
      <c r="Z56" s="21">
        <f>X56+7</f>
        <v>45837</v>
      </c>
      <c r="AA56" s="21">
        <v>45844</v>
      </c>
      <c r="AB56" s="95">
        <f>AA56-Z56</f>
        <v>7</v>
      </c>
      <c r="AC56" s="151" t="s">
        <v>3509</v>
      </c>
      <c r="AD56" s="10"/>
      <c r="AE56" s="21"/>
      <c r="AF56" s="10"/>
      <c r="AG56" s="10"/>
      <c r="AH56" s="21"/>
      <c r="AI56" s="95"/>
      <c r="AJ56" s="10"/>
      <c r="AK56" s="10"/>
      <c r="AL56" s="17"/>
      <c r="AM56" s="11"/>
      <c r="AN56" s="11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1"/>
      <c r="BF56" s="259"/>
    </row>
    <row r="57" spans="1:58" s="381" customFormat="1" ht="42" customHeight="1" x14ac:dyDescent="0.25">
      <c r="A57" s="367">
        <v>730007</v>
      </c>
      <c r="B57" s="58" t="s">
        <v>508</v>
      </c>
      <c r="C57" s="127" t="s">
        <v>627</v>
      </c>
      <c r="D57" s="12" t="s">
        <v>1901</v>
      </c>
      <c r="E57" s="12" t="s">
        <v>1973</v>
      </c>
      <c r="F57" s="16" t="s">
        <v>1902</v>
      </c>
      <c r="G57" s="10" t="s">
        <v>30</v>
      </c>
      <c r="H57" s="10" t="s">
        <v>277</v>
      </c>
      <c r="I57" s="16" t="s">
        <v>3</v>
      </c>
      <c r="J57" s="53">
        <v>45666</v>
      </c>
      <c r="K57" s="13" t="s">
        <v>1903</v>
      </c>
      <c r="L57" s="53">
        <f t="shared" si="12"/>
        <v>45673</v>
      </c>
      <c r="M57" s="53">
        <v>45673</v>
      </c>
      <c r="N57" s="92">
        <f t="shared" si="4"/>
        <v>0</v>
      </c>
      <c r="O57" s="10" t="s">
        <v>1914</v>
      </c>
      <c r="P57" s="9" t="s">
        <v>508</v>
      </c>
      <c r="Q57" s="21">
        <v>45767</v>
      </c>
      <c r="R57" s="10" t="s">
        <v>3039</v>
      </c>
      <c r="S57" s="10" t="s">
        <v>626</v>
      </c>
      <c r="T57" s="21" t="s">
        <v>626</v>
      </c>
      <c r="U57" s="95" t="s">
        <v>626</v>
      </c>
      <c r="V57" s="10" t="s">
        <v>626</v>
      </c>
      <c r="W57" s="10"/>
      <c r="X57" s="21"/>
      <c r="Y57" s="10"/>
      <c r="Z57" s="10"/>
      <c r="AA57" s="21"/>
      <c r="AB57" s="95"/>
      <c r="AC57" s="10"/>
      <c r="AD57" s="10"/>
      <c r="AE57" s="21"/>
      <c r="AF57" s="10"/>
      <c r="AG57" s="10"/>
      <c r="AH57" s="21"/>
      <c r="AI57" s="95"/>
      <c r="AJ57" s="10"/>
      <c r="AK57" s="10"/>
      <c r="AL57" s="17"/>
      <c r="AM57" s="11"/>
      <c r="AN57" s="11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1"/>
      <c r="BF57" s="259"/>
    </row>
    <row r="58" spans="1:58" s="381" customFormat="1" ht="42" customHeight="1" x14ac:dyDescent="0.25">
      <c r="A58" s="367">
        <v>730007</v>
      </c>
      <c r="B58" s="58" t="s">
        <v>508</v>
      </c>
      <c r="C58" s="127" t="s">
        <v>627</v>
      </c>
      <c r="D58" s="12" t="s">
        <v>1972</v>
      </c>
      <c r="E58" s="12" t="s">
        <v>1974</v>
      </c>
      <c r="F58" s="16" t="s">
        <v>1975</v>
      </c>
      <c r="G58" s="10" t="s">
        <v>30</v>
      </c>
      <c r="H58" s="10" t="s">
        <v>277</v>
      </c>
      <c r="I58" s="16" t="s">
        <v>3</v>
      </c>
      <c r="J58" s="53">
        <v>45671</v>
      </c>
      <c r="K58" s="13" t="s">
        <v>1976</v>
      </c>
      <c r="L58" s="53">
        <f t="shared" si="12"/>
        <v>45678</v>
      </c>
      <c r="M58" s="53">
        <v>45683</v>
      </c>
      <c r="N58" s="92">
        <f t="shared" si="4"/>
        <v>5</v>
      </c>
      <c r="O58" s="10" t="s">
        <v>1986</v>
      </c>
      <c r="P58" s="9" t="s">
        <v>508</v>
      </c>
      <c r="Q58" s="21">
        <v>45878</v>
      </c>
      <c r="R58" s="10" t="s">
        <v>3904</v>
      </c>
      <c r="S58" s="10"/>
      <c r="T58" s="21"/>
      <c r="U58" s="95"/>
      <c r="V58" s="10"/>
      <c r="W58" s="10"/>
      <c r="X58" s="21"/>
      <c r="Y58" s="10"/>
      <c r="Z58" s="10"/>
      <c r="AA58" s="21"/>
      <c r="AB58" s="95"/>
      <c r="AC58" s="10"/>
      <c r="AD58" s="10"/>
      <c r="AE58" s="21"/>
      <c r="AF58" s="10"/>
      <c r="AG58" s="10"/>
      <c r="AH58" s="21"/>
      <c r="AI58" s="95"/>
      <c r="AJ58" s="10"/>
      <c r="AK58" s="10"/>
      <c r="AL58" s="17"/>
      <c r="AM58" s="11"/>
      <c r="AN58" s="11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1"/>
      <c r="BF58" s="259"/>
    </row>
    <row r="59" spans="1:58" s="381" customFormat="1" ht="42" customHeight="1" x14ac:dyDescent="0.25">
      <c r="A59" s="367">
        <v>730007</v>
      </c>
      <c r="B59" s="11" t="s">
        <v>5</v>
      </c>
      <c r="C59" s="56" t="s">
        <v>588</v>
      </c>
      <c r="D59" s="12" t="s">
        <v>2069</v>
      </c>
      <c r="E59" s="12" t="s">
        <v>2070</v>
      </c>
      <c r="F59" s="16" t="s">
        <v>2071</v>
      </c>
      <c r="G59" s="10" t="s">
        <v>30</v>
      </c>
      <c r="H59" s="10" t="s">
        <v>277</v>
      </c>
      <c r="I59" s="16" t="s">
        <v>18</v>
      </c>
      <c r="J59" s="53">
        <v>45679</v>
      </c>
      <c r="K59" s="13" t="s">
        <v>2072</v>
      </c>
      <c r="L59" s="53">
        <f t="shared" ref="L59:L65" si="13">J59+7</f>
        <v>45686</v>
      </c>
      <c r="M59" s="53">
        <v>45686</v>
      </c>
      <c r="N59" s="92">
        <f t="shared" si="4"/>
        <v>0</v>
      </c>
      <c r="O59" s="10" t="s">
        <v>2098</v>
      </c>
      <c r="P59" s="10" t="s">
        <v>18</v>
      </c>
      <c r="Q59" s="21">
        <v>45958</v>
      </c>
      <c r="R59" s="10" t="s">
        <v>4621</v>
      </c>
      <c r="S59" s="21">
        <f>Q59+7</f>
        <v>45965</v>
      </c>
      <c r="T59" s="21">
        <v>45966</v>
      </c>
      <c r="U59" s="92">
        <f>T59-S59</f>
        <v>1</v>
      </c>
      <c r="V59" s="10" t="s">
        <v>4633</v>
      </c>
      <c r="W59" s="10" t="s">
        <v>5</v>
      </c>
      <c r="X59" s="21">
        <v>45978</v>
      </c>
      <c r="Y59" s="116" t="s">
        <v>4979</v>
      </c>
      <c r="Z59" s="21">
        <f>X59+7</f>
        <v>45985</v>
      </c>
      <c r="AA59" s="21">
        <v>45981</v>
      </c>
      <c r="AB59" s="95">
        <f>AA59-Z59</f>
        <v>-4</v>
      </c>
      <c r="AC59" s="10" t="s">
        <v>4978</v>
      </c>
      <c r="AD59" s="10"/>
      <c r="AE59" s="21"/>
      <c r="AF59" s="10"/>
      <c r="AG59" s="10"/>
      <c r="AH59" s="21"/>
      <c r="AI59" s="95"/>
      <c r="AJ59" s="10"/>
      <c r="AK59" s="10"/>
      <c r="AL59" s="17"/>
      <c r="AM59" s="11"/>
      <c r="AN59" s="11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1"/>
      <c r="BF59" s="259"/>
    </row>
    <row r="60" spans="1:58" s="381" customFormat="1" ht="42" customHeight="1" x14ac:dyDescent="0.25">
      <c r="A60" s="367">
        <v>730007</v>
      </c>
      <c r="B60" s="58" t="s">
        <v>508</v>
      </c>
      <c r="C60" s="127" t="s">
        <v>627</v>
      </c>
      <c r="D60" s="12" t="s">
        <v>2082</v>
      </c>
      <c r="E60" s="12" t="s">
        <v>2083</v>
      </c>
      <c r="F60" s="16" t="s">
        <v>2084</v>
      </c>
      <c r="G60" s="10" t="s">
        <v>30</v>
      </c>
      <c r="H60" s="10" t="s">
        <v>277</v>
      </c>
      <c r="I60" s="16" t="s">
        <v>3</v>
      </c>
      <c r="J60" s="53">
        <v>45679</v>
      </c>
      <c r="K60" s="13" t="s">
        <v>2085</v>
      </c>
      <c r="L60" s="53">
        <f t="shared" si="13"/>
        <v>45686</v>
      </c>
      <c r="M60" s="53">
        <v>45691</v>
      </c>
      <c r="N60" s="92">
        <f t="shared" si="4"/>
        <v>5</v>
      </c>
      <c r="O60" s="10" t="s">
        <v>2110</v>
      </c>
      <c r="P60" s="9" t="s">
        <v>508</v>
      </c>
      <c r="Q60" s="21">
        <v>45766</v>
      </c>
      <c r="R60" s="10" t="s">
        <v>3034</v>
      </c>
      <c r="S60" s="10" t="s">
        <v>626</v>
      </c>
      <c r="T60" s="21" t="s">
        <v>626</v>
      </c>
      <c r="U60" s="95" t="s">
        <v>626</v>
      </c>
      <c r="V60" s="10" t="s">
        <v>626</v>
      </c>
      <c r="W60" s="10"/>
      <c r="X60" s="21"/>
      <c r="Y60" s="10"/>
      <c r="Z60" s="10"/>
      <c r="AA60" s="21"/>
      <c r="AB60" s="95"/>
      <c r="AC60" s="10"/>
      <c r="AD60" s="10"/>
      <c r="AE60" s="21"/>
      <c r="AF60" s="10"/>
      <c r="AG60" s="10"/>
      <c r="AH60" s="21"/>
      <c r="AI60" s="95"/>
      <c r="AJ60" s="10"/>
      <c r="AK60" s="10"/>
      <c r="AL60" s="17"/>
      <c r="AM60" s="11"/>
      <c r="AN60" s="11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1"/>
      <c r="BF60" s="259"/>
    </row>
    <row r="61" spans="1:58" s="381" customFormat="1" ht="42" customHeight="1" x14ac:dyDescent="0.25">
      <c r="A61" s="367">
        <v>730007</v>
      </c>
      <c r="B61" s="56" t="s">
        <v>5</v>
      </c>
      <c r="C61" s="11" t="s">
        <v>54</v>
      </c>
      <c r="D61" s="12" t="s">
        <v>2127</v>
      </c>
      <c r="E61" s="12" t="s">
        <v>2128</v>
      </c>
      <c r="F61" s="16" t="s">
        <v>2129</v>
      </c>
      <c r="G61" s="10" t="s">
        <v>30</v>
      </c>
      <c r="H61" s="10" t="s">
        <v>277</v>
      </c>
      <c r="I61" s="60" t="s">
        <v>5</v>
      </c>
      <c r="J61" s="53">
        <v>45685</v>
      </c>
      <c r="K61" s="13" t="s">
        <v>2183</v>
      </c>
      <c r="L61" s="53">
        <f t="shared" si="13"/>
        <v>45692</v>
      </c>
      <c r="M61" s="53">
        <v>45686</v>
      </c>
      <c r="N61" s="92">
        <f t="shared" si="4"/>
        <v>-6</v>
      </c>
      <c r="O61" s="10" t="s">
        <v>2197</v>
      </c>
      <c r="P61" s="10"/>
      <c r="Q61" s="21"/>
      <c r="R61" s="10"/>
      <c r="S61" s="10"/>
      <c r="T61" s="21"/>
      <c r="U61" s="95"/>
      <c r="V61" s="10"/>
      <c r="W61" s="10"/>
      <c r="X61" s="21"/>
      <c r="Y61" s="10"/>
      <c r="Z61" s="10"/>
      <c r="AA61" s="21"/>
      <c r="AB61" s="95"/>
      <c r="AC61" s="10"/>
      <c r="AD61" s="10"/>
      <c r="AE61" s="21"/>
      <c r="AF61" s="10"/>
      <c r="AG61" s="10"/>
      <c r="AH61" s="21"/>
      <c r="AI61" s="95"/>
      <c r="AJ61" s="10"/>
      <c r="AK61" s="10"/>
      <c r="AL61" s="17"/>
      <c r="AM61" s="11"/>
      <c r="AN61" s="11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1"/>
      <c r="BF61" s="259"/>
    </row>
    <row r="62" spans="1:58" s="381" customFormat="1" ht="42" customHeight="1" x14ac:dyDescent="0.25">
      <c r="A62" s="367">
        <v>730007</v>
      </c>
      <c r="B62" s="11" t="s">
        <v>5</v>
      </c>
      <c r="C62" s="56" t="s">
        <v>588</v>
      </c>
      <c r="D62" s="12" t="s">
        <v>2242</v>
      </c>
      <c r="E62" s="12" t="s">
        <v>2243</v>
      </c>
      <c r="F62" s="16" t="s">
        <v>2244</v>
      </c>
      <c r="G62" s="10" t="s">
        <v>30</v>
      </c>
      <c r="H62" s="10" t="s">
        <v>277</v>
      </c>
      <c r="I62" s="16" t="s">
        <v>18</v>
      </c>
      <c r="J62" s="53">
        <v>45688</v>
      </c>
      <c r="K62" s="13" t="s">
        <v>2245</v>
      </c>
      <c r="L62" s="53">
        <f>J62+7</f>
        <v>45695</v>
      </c>
      <c r="M62" s="53">
        <v>45696</v>
      </c>
      <c r="N62" s="92">
        <f t="shared" si="4"/>
        <v>1</v>
      </c>
      <c r="O62" s="10" t="s">
        <v>2261</v>
      </c>
      <c r="P62" s="10" t="s">
        <v>18</v>
      </c>
      <c r="Q62" s="21">
        <v>45841</v>
      </c>
      <c r="R62" s="150" t="s">
        <v>3591</v>
      </c>
      <c r="S62" s="53">
        <f>Q62+7</f>
        <v>45848</v>
      </c>
      <c r="T62" s="21">
        <v>45851</v>
      </c>
      <c r="U62" s="95">
        <f>T62-S62</f>
        <v>3</v>
      </c>
      <c r="V62" s="151" t="s">
        <v>3593</v>
      </c>
      <c r="W62" s="10" t="s">
        <v>5</v>
      </c>
      <c r="X62" s="21">
        <v>45952</v>
      </c>
      <c r="Y62" s="10" t="s">
        <v>4556</v>
      </c>
      <c r="Z62" s="21">
        <f>X62+7</f>
        <v>45959</v>
      </c>
      <c r="AA62" s="21">
        <v>45955</v>
      </c>
      <c r="AB62" s="95">
        <f>AA62-Z62</f>
        <v>-4</v>
      </c>
      <c r="AC62" s="10" t="s">
        <v>4572</v>
      </c>
      <c r="AD62" s="10"/>
      <c r="AE62" s="21"/>
      <c r="AF62" s="10"/>
      <c r="AG62" s="10"/>
      <c r="AH62" s="21"/>
      <c r="AI62" s="95"/>
      <c r="AJ62" s="10"/>
      <c r="AK62" s="10"/>
      <c r="AL62" s="17"/>
      <c r="AM62" s="11"/>
      <c r="AN62" s="11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1"/>
      <c r="BF62" s="259"/>
    </row>
    <row r="63" spans="1:58" s="381" customFormat="1" ht="42" customHeight="1" x14ac:dyDescent="0.25">
      <c r="A63" s="367">
        <v>730007</v>
      </c>
      <c r="B63" s="11" t="s">
        <v>5</v>
      </c>
      <c r="C63" s="56" t="s">
        <v>725</v>
      </c>
      <c r="D63" s="12" t="s">
        <v>2287</v>
      </c>
      <c r="E63" s="12" t="s">
        <v>2290</v>
      </c>
      <c r="F63" s="16" t="s">
        <v>2293</v>
      </c>
      <c r="G63" s="10" t="s">
        <v>30</v>
      </c>
      <c r="H63" s="10" t="s">
        <v>277</v>
      </c>
      <c r="I63" s="16" t="s">
        <v>3</v>
      </c>
      <c r="J63" s="53">
        <v>45691</v>
      </c>
      <c r="K63" s="13" t="s">
        <v>2296</v>
      </c>
      <c r="L63" s="53">
        <f t="shared" si="13"/>
        <v>45698</v>
      </c>
      <c r="M63" s="53">
        <v>45699</v>
      </c>
      <c r="N63" s="92">
        <f t="shared" si="4"/>
        <v>1</v>
      </c>
      <c r="O63" s="10" t="s">
        <v>2316</v>
      </c>
      <c r="P63" s="10" t="s">
        <v>3</v>
      </c>
      <c r="Q63" s="21">
        <v>45741</v>
      </c>
      <c r="R63" s="10" t="s">
        <v>2913</v>
      </c>
      <c r="S63" s="21">
        <f>Q63+7</f>
        <v>45748</v>
      </c>
      <c r="T63" s="21">
        <v>45760</v>
      </c>
      <c r="U63" s="95">
        <f>T63-S63</f>
        <v>12</v>
      </c>
      <c r="V63" s="10" t="s">
        <v>2919</v>
      </c>
      <c r="W63" s="10" t="s">
        <v>18</v>
      </c>
      <c r="X63" s="21">
        <v>45775</v>
      </c>
      <c r="Y63" s="10" t="s">
        <v>3104</v>
      </c>
      <c r="Z63" s="21">
        <f>X63+7</f>
        <v>45782</v>
      </c>
      <c r="AA63" s="21">
        <v>45781</v>
      </c>
      <c r="AB63" s="95">
        <f>AA63-Z63</f>
        <v>-1</v>
      </c>
      <c r="AC63" s="10" t="s">
        <v>4381</v>
      </c>
      <c r="AD63" s="10" t="s">
        <v>5</v>
      </c>
      <c r="AE63" s="21">
        <v>45935</v>
      </c>
      <c r="AF63" s="10" t="s">
        <v>4380</v>
      </c>
      <c r="AG63" s="21">
        <f>AE63+7</f>
        <v>45942</v>
      </c>
      <c r="AH63" s="21">
        <v>45936</v>
      </c>
      <c r="AI63" s="95">
        <f>AH63-AG63</f>
        <v>-6</v>
      </c>
      <c r="AJ63" s="10" t="s">
        <v>4392</v>
      </c>
      <c r="AK63" s="10"/>
      <c r="AL63" s="17"/>
      <c r="AM63" s="11"/>
      <c r="AN63" s="11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1"/>
      <c r="BF63" s="259"/>
    </row>
    <row r="64" spans="1:58" s="381" customFormat="1" ht="42" customHeight="1" x14ac:dyDescent="0.25">
      <c r="A64" s="367">
        <v>730007</v>
      </c>
      <c r="B64" s="11" t="s">
        <v>5</v>
      </c>
      <c r="C64" s="56" t="s">
        <v>2384</v>
      </c>
      <c r="D64" s="12" t="s">
        <v>2288</v>
      </c>
      <c r="E64" s="12" t="s">
        <v>2291</v>
      </c>
      <c r="F64" s="16" t="s">
        <v>2294</v>
      </c>
      <c r="G64" s="10" t="s">
        <v>30</v>
      </c>
      <c r="H64" s="10" t="s">
        <v>277</v>
      </c>
      <c r="I64" s="16" t="s">
        <v>3</v>
      </c>
      <c r="J64" s="53">
        <v>45691</v>
      </c>
      <c r="K64" s="13" t="s">
        <v>2295</v>
      </c>
      <c r="L64" s="53">
        <f t="shared" si="13"/>
        <v>45698</v>
      </c>
      <c r="M64" s="53">
        <v>45699</v>
      </c>
      <c r="N64" s="92">
        <f t="shared" si="4"/>
        <v>1</v>
      </c>
      <c r="O64" s="10" t="s">
        <v>2317</v>
      </c>
      <c r="P64" s="10" t="s">
        <v>3</v>
      </c>
      <c r="Q64" s="21">
        <v>45724</v>
      </c>
      <c r="R64" s="10" t="s">
        <v>2695</v>
      </c>
      <c r="S64" s="21">
        <f>Q64+7</f>
        <v>45731</v>
      </c>
      <c r="T64" s="21">
        <v>45727</v>
      </c>
      <c r="U64" s="95">
        <f>T64-S64</f>
        <v>-4</v>
      </c>
      <c r="V64" s="10" t="s">
        <v>2703</v>
      </c>
      <c r="W64" s="10" t="s">
        <v>3</v>
      </c>
      <c r="X64" s="21">
        <v>45738</v>
      </c>
      <c r="Y64" s="10" t="s">
        <v>2873</v>
      </c>
      <c r="Z64" s="21">
        <f>X64+7</f>
        <v>45745</v>
      </c>
      <c r="AA64" s="21">
        <v>45762</v>
      </c>
      <c r="AB64" s="95">
        <f>AA64-Z64</f>
        <v>17</v>
      </c>
      <c r="AC64" s="10" t="s">
        <v>2880</v>
      </c>
      <c r="AD64" s="10" t="s">
        <v>3</v>
      </c>
      <c r="AE64" s="21">
        <v>45784</v>
      </c>
      <c r="AF64" s="10" t="s">
        <v>3211</v>
      </c>
      <c r="AG64" s="21">
        <f>AE64+7</f>
        <v>45791</v>
      </c>
      <c r="AH64" s="21">
        <v>45790</v>
      </c>
      <c r="AI64" s="95">
        <f>AH64-AG64</f>
        <v>-1</v>
      </c>
      <c r="AJ64" s="10" t="s">
        <v>3222</v>
      </c>
      <c r="AK64" s="10" t="s">
        <v>18</v>
      </c>
      <c r="AL64" s="17">
        <v>45862</v>
      </c>
      <c r="AM64" s="150" t="s">
        <v>3777</v>
      </c>
      <c r="AN64" s="21">
        <f>AL64+7</f>
        <v>45869</v>
      </c>
      <c r="AO64" s="17">
        <v>45868</v>
      </c>
      <c r="AP64" s="95">
        <f>AO64-AN64</f>
        <v>-1</v>
      </c>
      <c r="AQ64" s="151" t="s">
        <v>3786</v>
      </c>
      <c r="AR64" s="17" t="s">
        <v>5</v>
      </c>
      <c r="AS64" s="17">
        <v>45950</v>
      </c>
      <c r="AT64" s="17" t="s">
        <v>4529</v>
      </c>
      <c r="AU64" s="21">
        <f>AS64+7</f>
        <v>45957</v>
      </c>
      <c r="AV64" s="17">
        <v>45953</v>
      </c>
      <c r="AW64" s="95">
        <f>AV64-AU64</f>
        <v>-4</v>
      </c>
      <c r="AX64" s="17" t="s">
        <v>4549</v>
      </c>
      <c r="AY64" s="17"/>
      <c r="AZ64" s="17"/>
      <c r="BA64" s="17"/>
      <c r="BB64" s="17"/>
      <c r="BC64" s="17"/>
      <c r="BD64" s="17"/>
      <c r="BE64" s="11"/>
      <c r="BF64" s="259"/>
    </row>
    <row r="65" spans="1:58" s="381" customFormat="1" ht="42" customHeight="1" x14ac:dyDescent="0.25">
      <c r="A65" s="367">
        <v>730007</v>
      </c>
      <c r="B65" s="58" t="s">
        <v>508</v>
      </c>
      <c r="C65" s="127" t="s">
        <v>627</v>
      </c>
      <c r="D65" s="12" t="s">
        <v>2289</v>
      </c>
      <c r="E65" s="12" t="s">
        <v>2292</v>
      </c>
      <c r="F65" s="16" t="s">
        <v>2297</v>
      </c>
      <c r="G65" s="10" t="s">
        <v>30</v>
      </c>
      <c r="H65" s="10" t="s">
        <v>277</v>
      </c>
      <c r="I65" s="16" t="s">
        <v>3</v>
      </c>
      <c r="J65" s="53">
        <v>45691</v>
      </c>
      <c r="K65" s="13" t="s">
        <v>2298</v>
      </c>
      <c r="L65" s="53">
        <f t="shared" si="13"/>
        <v>45698</v>
      </c>
      <c r="M65" s="53">
        <v>45699</v>
      </c>
      <c r="N65" s="92">
        <f t="shared" si="4"/>
        <v>1</v>
      </c>
      <c r="O65" s="10" t="s">
        <v>2318</v>
      </c>
      <c r="P65" s="10" t="s">
        <v>3</v>
      </c>
      <c r="Q65" s="21">
        <v>45712</v>
      </c>
      <c r="R65" s="10" t="s">
        <v>2594</v>
      </c>
      <c r="S65" s="21">
        <f>Q65+7</f>
        <v>45719</v>
      </c>
      <c r="T65" s="21">
        <v>45717</v>
      </c>
      <c r="U65" s="95">
        <f>T65-S65</f>
        <v>-2</v>
      </c>
      <c r="V65" s="10" t="s">
        <v>2615</v>
      </c>
      <c r="W65" s="10" t="s">
        <v>3</v>
      </c>
      <c r="X65" s="21">
        <v>45739</v>
      </c>
      <c r="Y65" s="10" t="s">
        <v>2896</v>
      </c>
      <c r="Z65" s="21">
        <f>X65+7</f>
        <v>45746</v>
      </c>
      <c r="AA65" s="21">
        <v>45753</v>
      </c>
      <c r="AB65" s="95">
        <f>AA65-Z65</f>
        <v>7</v>
      </c>
      <c r="AC65" s="10" t="s">
        <v>2908</v>
      </c>
      <c r="AD65" s="10" t="s">
        <v>18</v>
      </c>
      <c r="AE65" s="21">
        <v>45755</v>
      </c>
      <c r="AF65" s="10" t="s">
        <v>2955</v>
      </c>
      <c r="AG65" s="21">
        <f>AE65+7</f>
        <v>45762</v>
      </c>
      <c r="AH65" s="21">
        <v>45760</v>
      </c>
      <c r="AI65" s="95">
        <f>AH65-AG65</f>
        <v>-2</v>
      </c>
      <c r="AJ65" s="10" t="s">
        <v>2957</v>
      </c>
      <c r="AK65" s="10" t="s">
        <v>508</v>
      </c>
      <c r="AL65" s="17">
        <v>46250</v>
      </c>
      <c r="AM65" s="11" t="s">
        <v>7469</v>
      </c>
      <c r="AN65" s="149" t="s">
        <v>626</v>
      </c>
      <c r="AO65" s="11" t="s">
        <v>626</v>
      </c>
      <c r="AP65" s="17" t="s">
        <v>626</v>
      </c>
      <c r="AQ65" s="17" t="s">
        <v>626</v>
      </c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1"/>
      <c r="BF65" s="259"/>
    </row>
    <row r="66" spans="1:58" s="381" customFormat="1" ht="42" customHeight="1" x14ac:dyDescent="0.25">
      <c r="A66" s="367">
        <v>730007</v>
      </c>
      <c r="B66" s="58" t="s">
        <v>508</v>
      </c>
      <c r="C66" s="127" t="s">
        <v>627</v>
      </c>
      <c r="D66" s="12" t="s">
        <v>2447</v>
      </c>
      <c r="E66" s="12" t="s">
        <v>2448</v>
      </c>
      <c r="F66" s="16" t="s">
        <v>2449</v>
      </c>
      <c r="G66" s="10" t="s">
        <v>30</v>
      </c>
      <c r="H66" s="10" t="s">
        <v>277</v>
      </c>
      <c r="I66" s="16" t="s">
        <v>18</v>
      </c>
      <c r="J66" s="53">
        <v>45702</v>
      </c>
      <c r="K66" s="13" t="s">
        <v>2446</v>
      </c>
      <c r="L66" s="53">
        <f t="shared" ref="L66:L71" si="14">J66+7</f>
        <v>45709</v>
      </c>
      <c r="M66" s="53">
        <v>45705</v>
      </c>
      <c r="N66" s="92">
        <f t="shared" si="4"/>
        <v>-4</v>
      </c>
      <c r="O66" s="10" t="s">
        <v>2465</v>
      </c>
      <c r="P66" s="9" t="s">
        <v>508</v>
      </c>
      <c r="Q66" s="21">
        <v>46070</v>
      </c>
      <c r="R66" s="10" t="s">
        <v>5862</v>
      </c>
      <c r="S66" s="10" t="s">
        <v>626</v>
      </c>
      <c r="T66" s="21" t="s">
        <v>626</v>
      </c>
      <c r="U66" s="95" t="s">
        <v>626</v>
      </c>
      <c r="V66" s="10" t="s">
        <v>626</v>
      </c>
      <c r="W66" s="10"/>
      <c r="X66" s="21"/>
      <c r="Y66" s="10"/>
      <c r="Z66" s="10"/>
      <c r="AA66" s="21"/>
      <c r="AB66" s="95"/>
      <c r="AC66" s="10"/>
      <c r="AD66" s="10"/>
      <c r="AE66" s="21"/>
      <c r="AF66" s="10"/>
      <c r="AG66" s="10"/>
      <c r="AH66" s="21"/>
      <c r="AI66" s="95"/>
      <c r="AJ66" s="10"/>
      <c r="AK66" s="10"/>
      <c r="AL66" s="17"/>
      <c r="AM66" s="11"/>
      <c r="AN66" s="11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1"/>
      <c r="BF66" s="259"/>
    </row>
    <row r="67" spans="1:58" s="381" customFormat="1" ht="42" customHeight="1" x14ac:dyDescent="0.25">
      <c r="A67" s="367">
        <v>730007</v>
      </c>
      <c r="B67" s="58" t="s">
        <v>508</v>
      </c>
      <c r="C67" s="127" t="s">
        <v>627</v>
      </c>
      <c r="D67" s="12" t="s">
        <v>2565</v>
      </c>
      <c r="E67" s="12" t="s">
        <v>2566</v>
      </c>
      <c r="F67" s="16" t="s">
        <v>2567</v>
      </c>
      <c r="G67" s="10" t="s">
        <v>30</v>
      </c>
      <c r="H67" s="10" t="s">
        <v>277</v>
      </c>
      <c r="I67" s="16" t="s">
        <v>3</v>
      </c>
      <c r="J67" s="53">
        <v>45709</v>
      </c>
      <c r="K67" s="13" t="s">
        <v>2568</v>
      </c>
      <c r="L67" s="449">
        <f t="shared" si="14"/>
        <v>45716</v>
      </c>
      <c r="M67" s="53">
        <v>45717</v>
      </c>
      <c r="N67" s="92">
        <f t="shared" si="4"/>
        <v>1</v>
      </c>
      <c r="O67" s="10" t="s">
        <v>2575</v>
      </c>
      <c r="P67" s="9" t="s">
        <v>508</v>
      </c>
      <c r="Q67" s="21">
        <v>45878</v>
      </c>
      <c r="R67" s="10" t="s">
        <v>3904</v>
      </c>
      <c r="S67" s="10"/>
      <c r="T67" s="21"/>
      <c r="U67" s="95"/>
      <c r="V67" s="10"/>
      <c r="W67" s="10"/>
      <c r="X67" s="21"/>
      <c r="Y67" s="10"/>
      <c r="Z67" s="10"/>
      <c r="AA67" s="21"/>
      <c r="AB67" s="95"/>
      <c r="AC67" s="10"/>
      <c r="AD67" s="10"/>
      <c r="AE67" s="21"/>
      <c r="AF67" s="10"/>
      <c r="AG67" s="10"/>
      <c r="AH67" s="21"/>
      <c r="AI67" s="95"/>
      <c r="AJ67" s="10"/>
      <c r="AK67" s="10"/>
      <c r="AL67" s="17"/>
      <c r="AM67" s="11"/>
      <c r="AN67" s="11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1"/>
      <c r="BF67" s="259"/>
    </row>
    <row r="68" spans="1:58" s="381" customFormat="1" ht="42" customHeight="1" x14ac:dyDescent="0.25">
      <c r="A68" s="367">
        <v>730007</v>
      </c>
      <c r="B68" s="11" t="s">
        <v>5</v>
      </c>
      <c r="C68" s="56" t="s">
        <v>588</v>
      </c>
      <c r="D68" s="12" t="s">
        <v>2624</v>
      </c>
      <c r="E68" s="12" t="s">
        <v>2625</v>
      </c>
      <c r="F68" s="16" t="s">
        <v>2626</v>
      </c>
      <c r="G68" s="10" t="s">
        <v>30</v>
      </c>
      <c r="H68" s="10" t="s">
        <v>277</v>
      </c>
      <c r="I68" s="16" t="s">
        <v>3</v>
      </c>
      <c r="J68" s="53">
        <v>45715</v>
      </c>
      <c r="K68" s="13" t="s">
        <v>2627</v>
      </c>
      <c r="L68" s="53">
        <f t="shared" si="14"/>
        <v>45722</v>
      </c>
      <c r="M68" s="53">
        <v>45725</v>
      </c>
      <c r="N68" s="92">
        <f t="shared" si="4"/>
        <v>3</v>
      </c>
      <c r="O68" s="10" t="s">
        <v>2651</v>
      </c>
      <c r="P68" s="10" t="s">
        <v>18</v>
      </c>
      <c r="Q68" s="21">
        <v>45739</v>
      </c>
      <c r="R68" s="10" t="s">
        <v>2893</v>
      </c>
      <c r="S68" s="21">
        <f>Q68+7</f>
        <v>45746</v>
      </c>
      <c r="T68" s="53">
        <v>45753</v>
      </c>
      <c r="U68" s="92">
        <f>T68-S68</f>
        <v>7</v>
      </c>
      <c r="V68" s="10" t="s">
        <v>2905</v>
      </c>
      <c r="W68" s="10" t="s">
        <v>5</v>
      </c>
      <c r="X68" s="21">
        <v>45921</v>
      </c>
      <c r="Y68" s="10" t="s">
        <v>4246</v>
      </c>
      <c r="Z68" s="53">
        <f>X68+7</f>
        <v>45928</v>
      </c>
      <c r="AA68" s="21">
        <v>45927</v>
      </c>
      <c r="AB68" s="92">
        <f>AA68-Z68</f>
        <v>-1</v>
      </c>
      <c r="AC68" s="10" t="s">
        <v>4247</v>
      </c>
      <c r="AD68" s="10"/>
      <c r="AE68" s="21"/>
      <c r="AF68" s="10"/>
      <c r="AG68" s="10"/>
      <c r="AH68" s="21"/>
      <c r="AI68" s="95"/>
      <c r="AJ68" s="10"/>
      <c r="AK68" s="10"/>
      <c r="AL68" s="17"/>
      <c r="AM68" s="11"/>
      <c r="AN68" s="11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1"/>
      <c r="BF68" s="259"/>
    </row>
    <row r="69" spans="1:58" s="381" customFormat="1" ht="42" customHeight="1" x14ac:dyDescent="0.25">
      <c r="A69" s="367">
        <v>730007</v>
      </c>
      <c r="B69" s="11" t="s">
        <v>5</v>
      </c>
      <c r="C69" s="56" t="s">
        <v>725</v>
      </c>
      <c r="D69" s="12" t="s">
        <v>2696</v>
      </c>
      <c r="E69" s="12" t="s">
        <v>2697</v>
      </c>
      <c r="F69" s="16" t="s">
        <v>2698</v>
      </c>
      <c r="G69" s="10" t="s">
        <v>30</v>
      </c>
      <c r="H69" s="10" t="s">
        <v>277</v>
      </c>
      <c r="I69" s="16" t="s">
        <v>3</v>
      </c>
      <c r="J69" s="53">
        <v>45724</v>
      </c>
      <c r="K69" s="13" t="s">
        <v>2699</v>
      </c>
      <c r="L69" s="53">
        <f t="shared" si="14"/>
        <v>45731</v>
      </c>
      <c r="M69" s="53">
        <v>45725</v>
      </c>
      <c r="N69" s="92">
        <f t="shared" si="4"/>
        <v>-6</v>
      </c>
      <c r="O69" s="10" t="s">
        <v>2704</v>
      </c>
      <c r="P69" s="10" t="s">
        <v>3</v>
      </c>
      <c r="Q69" s="21">
        <v>45729</v>
      </c>
      <c r="R69" s="10" t="s">
        <v>2794</v>
      </c>
      <c r="S69" s="21">
        <f>Q69+7</f>
        <v>45736</v>
      </c>
      <c r="T69" s="21">
        <v>45735</v>
      </c>
      <c r="U69" s="92">
        <f>T69-S69</f>
        <v>-1</v>
      </c>
      <c r="V69" s="10" t="s">
        <v>2807</v>
      </c>
      <c r="W69" s="10" t="s">
        <v>18</v>
      </c>
      <c r="X69" s="21">
        <v>46061</v>
      </c>
      <c r="Y69" s="10" t="s">
        <v>5800</v>
      </c>
      <c r="Z69" s="53">
        <f>X69+7</f>
        <v>46068</v>
      </c>
      <c r="AA69" s="21">
        <v>46062</v>
      </c>
      <c r="AB69" s="92">
        <f>AA69-Z69</f>
        <v>-6</v>
      </c>
      <c r="AC69" s="10" t="s">
        <v>5801</v>
      </c>
      <c r="AD69" s="10" t="s">
        <v>5</v>
      </c>
      <c r="AE69" s="21">
        <v>46201</v>
      </c>
      <c r="AF69" s="10" t="s">
        <v>7126</v>
      </c>
      <c r="AG69" s="53">
        <f>AE69+7</f>
        <v>46208</v>
      </c>
      <c r="AH69" s="21">
        <v>46208</v>
      </c>
      <c r="AI69" s="95">
        <f>AH69-AG69</f>
        <v>0</v>
      </c>
      <c r="AJ69" s="10" t="s">
        <v>7134</v>
      </c>
      <c r="AK69" s="10"/>
      <c r="AL69" s="17"/>
      <c r="AM69" s="11"/>
      <c r="AN69" s="11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1"/>
      <c r="BF69" s="259"/>
    </row>
    <row r="70" spans="1:58" s="381" customFormat="1" ht="42" customHeight="1" x14ac:dyDescent="0.25">
      <c r="A70" s="367">
        <v>730007</v>
      </c>
      <c r="B70" s="58" t="s">
        <v>508</v>
      </c>
      <c r="C70" s="127" t="s">
        <v>627</v>
      </c>
      <c r="D70" s="12" t="s">
        <v>2718</v>
      </c>
      <c r="E70" s="12" t="s">
        <v>2720</v>
      </c>
      <c r="F70" s="16" t="s">
        <v>2722</v>
      </c>
      <c r="G70" s="10" t="s">
        <v>30</v>
      </c>
      <c r="H70" s="10" t="s">
        <v>277</v>
      </c>
      <c r="I70" s="16" t="s">
        <v>3</v>
      </c>
      <c r="J70" s="53">
        <v>45726</v>
      </c>
      <c r="K70" s="13" t="s">
        <v>2725</v>
      </c>
      <c r="L70" s="53">
        <f t="shared" si="14"/>
        <v>45733</v>
      </c>
      <c r="M70" s="53">
        <v>45731</v>
      </c>
      <c r="N70" s="92">
        <f t="shared" si="4"/>
        <v>-2</v>
      </c>
      <c r="O70" s="10" t="s">
        <v>2746</v>
      </c>
      <c r="P70" s="9" t="s">
        <v>508</v>
      </c>
      <c r="Q70" s="21">
        <v>45887</v>
      </c>
      <c r="R70" s="10" t="s">
        <v>3974</v>
      </c>
      <c r="S70" s="10" t="s">
        <v>626</v>
      </c>
      <c r="T70" s="21"/>
      <c r="U70" s="95"/>
      <c r="V70" s="10"/>
      <c r="W70" s="10"/>
      <c r="X70" s="21"/>
      <c r="Y70" s="10"/>
      <c r="Z70" s="10"/>
      <c r="AA70" s="21"/>
      <c r="AB70" s="95"/>
      <c r="AC70" s="10"/>
      <c r="AD70" s="10"/>
      <c r="AE70" s="21"/>
      <c r="AF70" s="10"/>
      <c r="AG70" s="10"/>
      <c r="AH70" s="21"/>
      <c r="AI70" s="95"/>
      <c r="AJ70" s="10"/>
      <c r="AK70" s="10"/>
      <c r="AL70" s="17"/>
      <c r="AM70" s="11"/>
      <c r="AN70" s="11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1"/>
      <c r="BF70" s="259"/>
    </row>
    <row r="71" spans="1:58" s="381" customFormat="1" ht="42" customHeight="1" x14ac:dyDescent="0.25">
      <c r="A71" s="367">
        <v>730007</v>
      </c>
      <c r="B71" s="58" t="s">
        <v>508</v>
      </c>
      <c r="C71" s="127" t="s">
        <v>627</v>
      </c>
      <c r="D71" s="12" t="s">
        <v>2719</v>
      </c>
      <c r="E71" s="12" t="s">
        <v>2721</v>
      </c>
      <c r="F71" s="16" t="s">
        <v>2723</v>
      </c>
      <c r="G71" s="10" t="s">
        <v>30</v>
      </c>
      <c r="H71" s="10" t="s">
        <v>277</v>
      </c>
      <c r="I71" s="16" t="s">
        <v>3</v>
      </c>
      <c r="J71" s="53">
        <v>45726</v>
      </c>
      <c r="K71" s="13" t="s">
        <v>2724</v>
      </c>
      <c r="L71" s="53">
        <f t="shared" si="14"/>
        <v>45733</v>
      </c>
      <c r="M71" s="53">
        <v>45731</v>
      </c>
      <c r="N71" s="92">
        <f t="shared" si="4"/>
        <v>-2</v>
      </c>
      <c r="O71" s="10" t="s">
        <v>2745</v>
      </c>
      <c r="P71" s="10" t="s">
        <v>3</v>
      </c>
      <c r="Q71" s="21">
        <v>45739</v>
      </c>
      <c r="R71" s="10" t="s">
        <v>2892</v>
      </c>
      <c r="S71" s="53">
        <f t="shared" ref="S71:S77" si="15">Q71+7</f>
        <v>45746</v>
      </c>
      <c r="T71" s="53">
        <v>45753</v>
      </c>
      <c r="U71" s="92">
        <f>T71-S71</f>
        <v>7</v>
      </c>
      <c r="V71" s="10" t="s">
        <v>2904</v>
      </c>
      <c r="W71" s="9" t="s">
        <v>508</v>
      </c>
      <c r="X71" s="21">
        <v>45878</v>
      </c>
      <c r="Y71" s="10" t="s">
        <v>3904</v>
      </c>
      <c r="Z71" s="10"/>
      <c r="AA71" s="21"/>
      <c r="AB71" s="95"/>
      <c r="AC71" s="10"/>
      <c r="AD71" s="10"/>
      <c r="AE71" s="21"/>
      <c r="AF71" s="10"/>
      <c r="AG71" s="10"/>
      <c r="AH71" s="21"/>
      <c r="AI71" s="95"/>
      <c r="AJ71" s="10"/>
      <c r="AK71" s="10"/>
      <c r="AL71" s="17"/>
      <c r="AM71" s="11"/>
      <c r="AN71" s="11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1"/>
      <c r="BF71" s="259"/>
    </row>
    <row r="72" spans="1:58" s="381" customFormat="1" ht="42" customHeight="1" x14ac:dyDescent="0.25">
      <c r="A72" s="367">
        <v>730007</v>
      </c>
      <c r="B72" s="58" t="s">
        <v>508</v>
      </c>
      <c r="C72" s="127" t="s">
        <v>627</v>
      </c>
      <c r="D72" s="12" t="s">
        <v>2889</v>
      </c>
      <c r="E72" s="12" t="s">
        <v>2890</v>
      </c>
      <c r="F72" s="16" t="s">
        <v>2888</v>
      </c>
      <c r="G72" s="10" t="s">
        <v>30</v>
      </c>
      <c r="H72" s="10" t="s">
        <v>277</v>
      </c>
      <c r="I72" s="16" t="s">
        <v>3</v>
      </c>
      <c r="J72" s="53">
        <v>45739</v>
      </c>
      <c r="K72" s="13" t="s">
        <v>2891</v>
      </c>
      <c r="L72" s="53">
        <f t="shared" ref="L72:L78" si="16">J72+7</f>
        <v>45746</v>
      </c>
      <c r="M72" s="53">
        <v>45753</v>
      </c>
      <c r="N72" s="92">
        <f t="shared" ref="N72:N105" si="17">M72-L72</f>
        <v>7</v>
      </c>
      <c r="O72" s="10" t="s">
        <v>2903</v>
      </c>
      <c r="P72" s="9" t="s">
        <v>508</v>
      </c>
      <c r="Q72" s="21">
        <v>45878</v>
      </c>
      <c r="R72" s="10" t="s">
        <v>3904</v>
      </c>
      <c r="S72" s="10"/>
      <c r="T72" s="21"/>
      <c r="U72" s="95"/>
      <c r="V72" s="10"/>
      <c r="W72" s="10"/>
      <c r="X72" s="21"/>
      <c r="Y72" s="10"/>
      <c r="Z72" s="10"/>
      <c r="AA72" s="21"/>
      <c r="AB72" s="95"/>
      <c r="AC72" s="10"/>
      <c r="AD72" s="10"/>
      <c r="AE72" s="21"/>
      <c r="AF72" s="10"/>
      <c r="AG72" s="10"/>
      <c r="AH72" s="21"/>
      <c r="AI72" s="95"/>
      <c r="AJ72" s="10"/>
      <c r="AK72" s="10"/>
      <c r="AL72" s="17"/>
      <c r="AM72" s="11"/>
      <c r="AN72" s="11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1"/>
      <c r="BF72" s="259"/>
    </row>
    <row r="73" spans="1:58" s="381" customFormat="1" ht="42" customHeight="1" x14ac:dyDescent="0.25">
      <c r="A73" s="367">
        <v>730007</v>
      </c>
      <c r="B73" s="11" t="s">
        <v>5</v>
      </c>
      <c r="C73" s="56" t="s">
        <v>4883</v>
      </c>
      <c r="D73" s="12" t="s">
        <v>3035</v>
      </c>
      <c r="E73" s="12" t="s">
        <v>3036</v>
      </c>
      <c r="F73" s="16" t="s">
        <v>3037</v>
      </c>
      <c r="G73" s="10" t="s">
        <v>30</v>
      </c>
      <c r="H73" s="10" t="s">
        <v>277</v>
      </c>
      <c r="I73" s="16" t="s">
        <v>3</v>
      </c>
      <c r="J73" s="53">
        <v>45766</v>
      </c>
      <c r="K73" s="13" t="s">
        <v>3032</v>
      </c>
      <c r="L73" s="53">
        <f t="shared" si="16"/>
        <v>45773</v>
      </c>
      <c r="M73" s="53">
        <v>45774</v>
      </c>
      <c r="N73" s="92">
        <f t="shared" si="17"/>
        <v>1</v>
      </c>
      <c r="O73" s="10" t="s">
        <v>3045</v>
      </c>
      <c r="P73" s="10" t="s">
        <v>3</v>
      </c>
      <c r="Q73" s="21">
        <v>45804</v>
      </c>
      <c r="R73" s="10" t="s">
        <v>3368</v>
      </c>
      <c r="S73" s="53">
        <f t="shared" si="15"/>
        <v>45811</v>
      </c>
      <c r="T73" s="21">
        <v>45810</v>
      </c>
      <c r="U73" s="92">
        <f t="shared" ref="U73:U80" si="18">T73-S73</f>
        <v>-1</v>
      </c>
      <c r="V73" s="10" t="s">
        <v>3378</v>
      </c>
      <c r="W73" s="10" t="s">
        <v>3</v>
      </c>
      <c r="X73" s="21">
        <v>45845</v>
      </c>
      <c r="Y73" s="150" t="s">
        <v>3606</v>
      </c>
      <c r="Z73" s="53">
        <f>X73+7</f>
        <v>45852</v>
      </c>
      <c r="AA73" s="21">
        <v>45853</v>
      </c>
      <c r="AB73" s="92">
        <f>AA73-Z73</f>
        <v>1</v>
      </c>
      <c r="AC73" s="10" t="s">
        <v>3613</v>
      </c>
      <c r="AD73" s="10" t="s">
        <v>18</v>
      </c>
      <c r="AE73" s="21">
        <v>45866</v>
      </c>
      <c r="AF73" s="150" t="s">
        <v>3827</v>
      </c>
      <c r="AG73" s="53">
        <f>AE73+7</f>
        <v>45873</v>
      </c>
      <c r="AH73" s="21">
        <v>45875</v>
      </c>
      <c r="AI73" s="95">
        <f>AH73-AG73</f>
        <v>2</v>
      </c>
      <c r="AJ73" s="10" t="s">
        <v>3841</v>
      </c>
      <c r="AK73" s="10" t="s">
        <v>18</v>
      </c>
      <c r="AL73" s="17">
        <v>46007</v>
      </c>
      <c r="AM73" s="11" t="s">
        <v>5393</v>
      </c>
      <c r="AN73" s="53">
        <v>46016</v>
      </c>
      <c r="AO73" s="21">
        <v>46021</v>
      </c>
      <c r="AP73" s="95">
        <f>AO73-AN73</f>
        <v>5</v>
      </c>
      <c r="AQ73" s="17" t="s">
        <v>5399</v>
      </c>
      <c r="AR73" s="17" t="s">
        <v>18</v>
      </c>
      <c r="AS73" s="17">
        <v>46021</v>
      </c>
      <c r="AT73" s="17" t="s">
        <v>5426</v>
      </c>
      <c r="AU73" s="53">
        <v>46016</v>
      </c>
      <c r="AV73" s="21">
        <v>46029</v>
      </c>
      <c r="AW73" s="95">
        <f>AV73-AU73</f>
        <v>13</v>
      </c>
      <c r="AX73" s="17" t="s">
        <v>5428</v>
      </c>
      <c r="AY73" s="17" t="s">
        <v>5</v>
      </c>
      <c r="AZ73" s="17">
        <v>46048</v>
      </c>
      <c r="BA73" s="17" t="s">
        <v>5673</v>
      </c>
      <c r="BB73" s="53">
        <v>46016</v>
      </c>
      <c r="BC73" s="21">
        <v>46050</v>
      </c>
      <c r="BD73" s="95">
        <f>BC73-BB73</f>
        <v>34</v>
      </c>
      <c r="BE73" s="11" t="s">
        <v>5690</v>
      </c>
      <c r="BF73" s="259"/>
    </row>
    <row r="74" spans="1:58" s="381" customFormat="1" ht="42" customHeight="1" x14ac:dyDescent="0.25">
      <c r="A74" s="367">
        <v>730007</v>
      </c>
      <c r="B74" s="11" t="s">
        <v>5</v>
      </c>
      <c r="C74" s="56" t="s">
        <v>208</v>
      </c>
      <c r="D74" s="12" t="s">
        <v>3171</v>
      </c>
      <c r="E74" s="12" t="s">
        <v>3172</v>
      </c>
      <c r="F74" s="16" t="s">
        <v>3173</v>
      </c>
      <c r="G74" s="10" t="s">
        <v>30</v>
      </c>
      <c r="H74" s="10" t="s">
        <v>277</v>
      </c>
      <c r="I74" s="16" t="s">
        <v>18</v>
      </c>
      <c r="J74" s="53">
        <v>45781</v>
      </c>
      <c r="K74" s="13" t="s">
        <v>3174</v>
      </c>
      <c r="L74" s="53">
        <f t="shared" si="16"/>
        <v>45788</v>
      </c>
      <c r="M74" s="53">
        <v>45788</v>
      </c>
      <c r="N74" s="92">
        <f t="shared" si="17"/>
        <v>0</v>
      </c>
      <c r="O74" s="10" t="s">
        <v>3181</v>
      </c>
      <c r="P74" s="10" t="s">
        <v>5</v>
      </c>
      <c r="Q74" s="21">
        <v>46060</v>
      </c>
      <c r="R74" s="10" t="s">
        <v>5792</v>
      </c>
      <c r="S74" s="53">
        <f t="shared" si="15"/>
        <v>46067</v>
      </c>
      <c r="T74" s="21">
        <v>46070</v>
      </c>
      <c r="U74" s="92">
        <f t="shared" si="18"/>
        <v>3</v>
      </c>
      <c r="V74" s="10" t="s">
        <v>5795</v>
      </c>
      <c r="W74" s="10"/>
      <c r="X74" s="21"/>
      <c r="Y74" s="10"/>
      <c r="Z74" s="10"/>
      <c r="AA74" s="21"/>
      <c r="AB74" s="95"/>
      <c r="AC74" s="10"/>
      <c r="AD74" s="10"/>
      <c r="AE74" s="21"/>
      <c r="AF74" s="10"/>
      <c r="AG74" s="10"/>
      <c r="AH74" s="21"/>
      <c r="AI74" s="95"/>
      <c r="AJ74" s="10"/>
      <c r="AK74" s="10"/>
      <c r="AL74" s="17"/>
      <c r="AM74" s="11"/>
      <c r="AN74" s="11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1"/>
      <c r="BF74" s="259"/>
    </row>
    <row r="75" spans="1:58" s="381" customFormat="1" ht="42" customHeight="1" x14ac:dyDescent="0.25">
      <c r="A75" s="367">
        <v>730007</v>
      </c>
      <c r="B75" s="11" t="s">
        <v>5</v>
      </c>
      <c r="C75" s="56" t="s">
        <v>588</v>
      </c>
      <c r="D75" s="12" t="s">
        <v>3201</v>
      </c>
      <c r="E75" s="12" t="s">
        <v>3202</v>
      </c>
      <c r="F75" s="16" t="s">
        <v>3203</v>
      </c>
      <c r="G75" s="10" t="s">
        <v>30</v>
      </c>
      <c r="H75" s="10" t="s">
        <v>277</v>
      </c>
      <c r="I75" s="16" t="s">
        <v>18</v>
      </c>
      <c r="J75" s="53">
        <v>45783</v>
      </c>
      <c r="K75" s="13" t="s">
        <v>3204</v>
      </c>
      <c r="L75" s="53">
        <f t="shared" si="16"/>
        <v>45790</v>
      </c>
      <c r="M75" s="53">
        <v>45794</v>
      </c>
      <c r="N75" s="92">
        <f t="shared" si="17"/>
        <v>4</v>
      </c>
      <c r="O75" s="92" t="s">
        <v>3223</v>
      </c>
      <c r="P75" s="10" t="s">
        <v>18</v>
      </c>
      <c r="Q75" s="21">
        <v>45808</v>
      </c>
      <c r="R75" s="10" t="s">
        <v>3412</v>
      </c>
      <c r="S75" s="53">
        <f t="shared" si="15"/>
        <v>45815</v>
      </c>
      <c r="T75" s="21">
        <v>45811</v>
      </c>
      <c r="U75" s="92">
        <f t="shared" si="18"/>
        <v>-4</v>
      </c>
      <c r="V75" s="10" t="s">
        <v>3424</v>
      </c>
      <c r="W75" s="10" t="s">
        <v>5</v>
      </c>
      <c r="X75" s="21">
        <v>45840</v>
      </c>
      <c r="Y75" s="150" t="s">
        <v>3578</v>
      </c>
      <c r="Z75" s="53">
        <f>X75+7</f>
        <v>45847</v>
      </c>
      <c r="AA75" s="21">
        <v>45846</v>
      </c>
      <c r="AB75" s="95">
        <f>AA75-Z75</f>
        <v>-1</v>
      </c>
      <c r="AC75" s="10" t="s">
        <v>3581</v>
      </c>
      <c r="AD75" s="10"/>
      <c r="AE75" s="21"/>
      <c r="AF75" s="10"/>
      <c r="AG75" s="10"/>
      <c r="AH75" s="21"/>
      <c r="AI75" s="95"/>
      <c r="AJ75" s="10"/>
      <c r="AK75" s="10"/>
      <c r="AL75" s="17"/>
      <c r="AM75" s="11"/>
      <c r="AN75" s="11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1"/>
      <c r="BF75" s="259"/>
    </row>
    <row r="76" spans="1:58" s="381" customFormat="1" ht="42" customHeight="1" x14ac:dyDescent="0.25">
      <c r="A76" s="367">
        <v>730007</v>
      </c>
      <c r="B76" s="23" t="s">
        <v>5</v>
      </c>
      <c r="C76" s="56" t="s">
        <v>2456</v>
      </c>
      <c r="D76" s="12" t="s">
        <v>3230</v>
      </c>
      <c r="E76" s="12" t="s">
        <v>3231</v>
      </c>
      <c r="F76" s="16" t="s">
        <v>3232</v>
      </c>
      <c r="G76" s="10" t="s">
        <v>30</v>
      </c>
      <c r="H76" s="10" t="s">
        <v>277</v>
      </c>
      <c r="I76" s="16" t="s">
        <v>3</v>
      </c>
      <c r="J76" s="53">
        <v>45786</v>
      </c>
      <c r="K76" s="13" t="s">
        <v>3233</v>
      </c>
      <c r="L76" s="53">
        <f t="shared" si="16"/>
        <v>45793</v>
      </c>
      <c r="M76" s="53">
        <v>45797</v>
      </c>
      <c r="N76" s="92">
        <f t="shared" si="17"/>
        <v>4</v>
      </c>
      <c r="O76" s="92" t="s">
        <v>3247</v>
      </c>
      <c r="P76" s="23" t="s">
        <v>3</v>
      </c>
      <c r="Q76" s="21">
        <v>45860</v>
      </c>
      <c r="R76" s="150" t="s">
        <v>3749</v>
      </c>
      <c r="S76" s="53">
        <f t="shared" si="15"/>
        <v>45867</v>
      </c>
      <c r="T76" s="21">
        <v>45868</v>
      </c>
      <c r="U76" s="92">
        <f t="shared" si="18"/>
        <v>1</v>
      </c>
      <c r="V76" s="10" t="s">
        <v>3762</v>
      </c>
      <c r="W76" s="16" t="s">
        <v>18</v>
      </c>
      <c r="X76" s="21">
        <v>45924</v>
      </c>
      <c r="Y76" s="10" t="s">
        <v>4296</v>
      </c>
      <c r="Z76" s="53">
        <f>X76+7</f>
        <v>45931</v>
      </c>
      <c r="AA76" s="21">
        <v>45935</v>
      </c>
      <c r="AB76" s="95">
        <f>AA76-Z76</f>
        <v>4</v>
      </c>
      <c r="AC76" s="10" t="s">
        <v>4309</v>
      </c>
      <c r="AD76" s="16" t="s">
        <v>18</v>
      </c>
      <c r="AE76" s="21">
        <v>46135</v>
      </c>
      <c r="AF76" s="10" t="s">
        <v>6507</v>
      </c>
      <c r="AG76" s="53">
        <f>AE76+7</f>
        <v>46142</v>
      </c>
      <c r="AH76" s="21">
        <v>46146</v>
      </c>
      <c r="AI76" s="92">
        <f>AH76-AG76</f>
        <v>4</v>
      </c>
      <c r="AJ76" s="10" t="s">
        <v>6525</v>
      </c>
      <c r="AK76" s="10" t="s">
        <v>5</v>
      </c>
      <c r="AL76" s="17">
        <v>46149</v>
      </c>
      <c r="AM76" s="11" t="s">
        <v>6689</v>
      </c>
      <c r="AN76" s="21">
        <f>AL76+7</f>
        <v>46156</v>
      </c>
      <c r="AO76" s="21">
        <v>46152</v>
      </c>
      <c r="AP76" s="92">
        <f>AO76-AN76</f>
        <v>-4</v>
      </c>
      <c r="AQ76" s="17" t="s">
        <v>6694</v>
      </c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1"/>
      <c r="BF76" s="259"/>
    </row>
    <row r="77" spans="1:58" s="381" customFormat="1" ht="42" customHeight="1" x14ac:dyDescent="0.25">
      <c r="A77" s="441" t="s">
        <v>3256</v>
      </c>
      <c r="B77" s="11" t="s">
        <v>5</v>
      </c>
      <c r="C77" s="56" t="s">
        <v>588</v>
      </c>
      <c r="D77" s="12" t="s">
        <v>3261</v>
      </c>
      <c r="E77" s="12" t="s">
        <v>3260</v>
      </c>
      <c r="F77" s="16" t="s">
        <v>3262</v>
      </c>
      <c r="G77" s="10" t="s">
        <v>30</v>
      </c>
      <c r="H77" s="10" t="s">
        <v>277</v>
      </c>
      <c r="I77" s="16" t="s">
        <v>3</v>
      </c>
      <c r="J77" s="53">
        <v>45789</v>
      </c>
      <c r="K77" s="13" t="s">
        <v>3263</v>
      </c>
      <c r="L77" s="53">
        <f t="shared" si="16"/>
        <v>45796</v>
      </c>
      <c r="M77" s="53">
        <v>45797</v>
      </c>
      <c r="N77" s="92">
        <f t="shared" si="17"/>
        <v>1</v>
      </c>
      <c r="O77" s="92" t="s">
        <v>3276</v>
      </c>
      <c r="P77" s="10" t="s">
        <v>18</v>
      </c>
      <c r="Q77" s="21">
        <v>45836</v>
      </c>
      <c r="R77" s="150" t="s">
        <v>3537</v>
      </c>
      <c r="S77" s="53">
        <f t="shared" si="15"/>
        <v>45843</v>
      </c>
      <c r="T77" s="21">
        <v>45846</v>
      </c>
      <c r="U77" s="92">
        <f t="shared" si="18"/>
        <v>3</v>
      </c>
      <c r="V77" s="10" t="s">
        <v>3538</v>
      </c>
      <c r="W77" s="10" t="s">
        <v>5</v>
      </c>
      <c r="X77" s="21">
        <v>45946</v>
      </c>
      <c r="Y77" s="10" t="s">
        <v>4499</v>
      </c>
      <c r="Z77" s="53">
        <f>X77+7</f>
        <v>45953</v>
      </c>
      <c r="AA77" s="21">
        <v>45950</v>
      </c>
      <c r="AB77" s="95">
        <f>AA77-Z77</f>
        <v>-3</v>
      </c>
      <c r="AC77" s="10" t="s">
        <v>4506</v>
      </c>
      <c r="AD77" s="10"/>
      <c r="AE77" s="21"/>
      <c r="AF77" s="10"/>
      <c r="AG77" s="10"/>
      <c r="AH77" s="21"/>
      <c r="AI77" s="95"/>
      <c r="AJ77" s="10"/>
      <c r="AK77" s="10"/>
      <c r="AL77" s="17"/>
      <c r="AM77" s="11"/>
      <c r="AN77" s="11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1"/>
      <c r="BF77" s="259"/>
    </row>
    <row r="78" spans="1:58" s="381" customFormat="1" ht="42" customHeight="1" x14ac:dyDescent="0.25">
      <c r="A78" s="442" t="s">
        <v>3256</v>
      </c>
      <c r="B78" s="11" t="s">
        <v>5</v>
      </c>
      <c r="C78" s="56" t="s">
        <v>2456</v>
      </c>
      <c r="D78" s="12" t="s">
        <v>3299</v>
      </c>
      <c r="E78" s="12" t="s">
        <v>3300</v>
      </c>
      <c r="F78" s="16" t="s">
        <v>3301</v>
      </c>
      <c r="G78" s="10" t="s">
        <v>30</v>
      </c>
      <c r="H78" s="10" t="s">
        <v>277</v>
      </c>
      <c r="I78" s="16" t="s">
        <v>3</v>
      </c>
      <c r="J78" s="53">
        <v>45794</v>
      </c>
      <c r="K78" s="13" t="s">
        <v>3302</v>
      </c>
      <c r="L78" s="53">
        <f t="shared" si="16"/>
        <v>45801</v>
      </c>
      <c r="M78" s="53">
        <v>45803</v>
      </c>
      <c r="N78" s="92">
        <f t="shared" si="17"/>
        <v>2</v>
      </c>
      <c r="O78" s="92" t="s">
        <v>3309</v>
      </c>
      <c r="P78" s="16" t="s">
        <v>3</v>
      </c>
      <c r="Q78" s="21">
        <v>45811</v>
      </c>
      <c r="R78" s="150" t="s">
        <v>3466</v>
      </c>
      <c r="S78" s="53">
        <f t="shared" ref="S78:S86" si="19">Q78+7</f>
        <v>45818</v>
      </c>
      <c r="T78" s="21">
        <v>45823</v>
      </c>
      <c r="U78" s="92">
        <f t="shared" si="18"/>
        <v>5</v>
      </c>
      <c r="V78" s="10" t="s">
        <v>3472</v>
      </c>
      <c r="W78" s="10" t="s">
        <v>18</v>
      </c>
      <c r="X78" s="21">
        <v>45832</v>
      </c>
      <c r="Y78" s="150" t="s">
        <v>3510</v>
      </c>
      <c r="Z78" s="53">
        <f>X78+7</f>
        <v>45839</v>
      </c>
      <c r="AA78" s="21">
        <v>45844</v>
      </c>
      <c r="AB78" s="92">
        <f>AA78-Z78</f>
        <v>5</v>
      </c>
      <c r="AC78" s="10" t="s">
        <v>3514</v>
      </c>
      <c r="AD78" s="10" t="s">
        <v>18</v>
      </c>
      <c r="AE78" s="21">
        <v>46113</v>
      </c>
      <c r="AF78" s="10" t="s">
        <v>6209</v>
      </c>
      <c r="AG78" s="53">
        <f>AE78+7</f>
        <v>46120</v>
      </c>
      <c r="AH78" s="21">
        <v>46123</v>
      </c>
      <c r="AI78" s="92">
        <f>AH78-AG78</f>
        <v>3</v>
      </c>
      <c r="AJ78" s="10" t="s">
        <v>6213</v>
      </c>
      <c r="AK78" s="10" t="s">
        <v>5</v>
      </c>
      <c r="AL78" s="17">
        <v>46201</v>
      </c>
      <c r="AM78" s="11" t="s">
        <v>7127</v>
      </c>
      <c r="AN78" s="21">
        <f>AL78+7</f>
        <v>46208</v>
      </c>
      <c r="AO78" s="21">
        <v>46209</v>
      </c>
      <c r="AP78" s="92">
        <f>AO78-AN78</f>
        <v>1</v>
      </c>
      <c r="AQ78" s="17" t="s">
        <v>7135</v>
      </c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1"/>
      <c r="BF78" s="259"/>
    </row>
    <row r="79" spans="1:58" s="381" customFormat="1" ht="42" customHeight="1" x14ac:dyDescent="0.25">
      <c r="A79" s="442" t="s">
        <v>3256</v>
      </c>
      <c r="B79" s="11" t="s">
        <v>5</v>
      </c>
      <c r="C79" s="56" t="s">
        <v>588</v>
      </c>
      <c r="D79" s="12" t="s">
        <v>3352</v>
      </c>
      <c r="E79" s="12" t="s">
        <v>3353</v>
      </c>
      <c r="F79" s="16" t="s">
        <v>3354</v>
      </c>
      <c r="G79" s="10" t="s">
        <v>30</v>
      </c>
      <c r="H79" s="10" t="s">
        <v>277</v>
      </c>
      <c r="I79" s="11" t="s">
        <v>3</v>
      </c>
      <c r="J79" s="53">
        <v>45806</v>
      </c>
      <c r="K79" s="13" t="s">
        <v>3403</v>
      </c>
      <c r="L79" s="53">
        <f>J79+7</f>
        <v>45813</v>
      </c>
      <c r="M79" s="53">
        <v>45823</v>
      </c>
      <c r="N79" s="92">
        <f t="shared" si="17"/>
        <v>10</v>
      </c>
      <c r="O79" s="92" t="s">
        <v>3417</v>
      </c>
      <c r="P79" s="16" t="s">
        <v>18</v>
      </c>
      <c r="Q79" s="21">
        <v>45862</v>
      </c>
      <c r="R79" s="150" t="s">
        <v>3771</v>
      </c>
      <c r="S79" s="53">
        <f t="shared" si="19"/>
        <v>45869</v>
      </c>
      <c r="T79" s="21">
        <v>45868</v>
      </c>
      <c r="U79" s="95">
        <f t="shared" si="18"/>
        <v>-1</v>
      </c>
      <c r="V79" s="10" t="s">
        <v>3782</v>
      </c>
      <c r="W79" s="10" t="s">
        <v>5</v>
      </c>
      <c r="X79" s="21">
        <v>46048</v>
      </c>
      <c r="Y79" s="10" t="s">
        <v>5681</v>
      </c>
      <c r="Z79" s="53">
        <f>X79+7</f>
        <v>46055</v>
      </c>
      <c r="AA79" s="21">
        <v>46050</v>
      </c>
      <c r="AB79" s="92">
        <f>AA79-Z79</f>
        <v>-5</v>
      </c>
      <c r="AC79" s="10" t="s">
        <v>5687</v>
      </c>
      <c r="AD79" s="10"/>
      <c r="AE79" s="21"/>
      <c r="AF79" s="10"/>
      <c r="AG79" s="10"/>
      <c r="AH79" s="21"/>
      <c r="AI79" s="95"/>
      <c r="AJ79" s="10"/>
      <c r="AK79" s="10"/>
      <c r="AL79" s="17"/>
      <c r="AM79" s="11"/>
      <c r="AN79" s="11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1"/>
      <c r="BF79" s="259"/>
    </row>
    <row r="80" spans="1:58" s="381" customFormat="1" ht="42" customHeight="1" x14ac:dyDescent="0.25">
      <c r="A80" s="442" t="s">
        <v>3256</v>
      </c>
      <c r="B80" s="11" t="s">
        <v>5</v>
      </c>
      <c r="C80" s="56" t="s">
        <v>208</v>
      </c>
      <c r="D80" s="12" t="s">
        <v>3517</v>
      </c>
      <c r="E80" s="12" t="s">
        <v>3518</v>
      </c>
      <c r="F80" s="16" t="s">
        <v>3519</v>
      </c>
      <c r="G80" s="10" t="s">
        <v>30</v>
      </c>
      <c r="H80" s="10" t="s">
        <v>277</v>
      </c>
      <c r="I80" s="11" t="s">
        <v>18</v>
      </c>
      <c r="J80" s="53">
        <v>45832</v>
      </c>
      <c r="K80" s="150" t="s">
        <v>3520</v>
      </c>
      <c r="L80" s="53">
        <f>J80+7</f>
        <v>45839</v>
      </c>
      <c r="M80" s="53">
        <v>45844</v>
      </c>
      <c r="N80" s="92">
        <f t="shared" si="17"/>
        <v>5</v>
      </c>
      <c r="O80" s="92" t="s">
        <v>3526</v>
      </c>
      <c r="P80" s="10" t="s">
        <v>5</v>
      </c>
      <c r="Q80" s="21">
        <v>46135</v>
      </c>
      <c r="R80" s="10" t="s">
        <v>6505</v>
      </c>
      <c r="S80" s="53">
        <f t="shared" si="19"/>
        <v>46142</v>
      </c>
      <c r="T80" s="21">
        <v>46138</v>
      </c>
      <c r="U80" s="95">
        <f t="shared" si="18"/>
        <v>-4</v>
      </c>
      <c r="V80" s="10" t="s">
        <v>6527</v>
      </c>
      <c r="W80" s="10"/>
      <c r="X80" s="21"/>
      <c r="Y80" s="10"/>
      <c r="Z80" s="10"/>
      <c r="AA80" s="21"/>
      <c r="AB80" s="95"/>
      <c r="AC80" s="10"/>
      <c r="AD80" s="10"/>
      <c r="AE80" s="21"/>
      <c r="AF80" s="10"/>
      <c r="AG80" s="10"/>
      <c r="AH80" s="21"/>
      <c r="AI80" s="95"/>
      <c r="AJ80" s="10"/>
      <c r="AK80" s="10"/>
      <c r="AL80" s="17"/>
      <c r="AM80" s="11"/>
      <c r="AN80" s="11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1"/>
      <c r="BF80" s="259"/>
    </row>
    <row r="81" spans="1:58" s="381" customFormat="1" ht="42" customHeight="1" x14ac:dyDescent="0.25">
      <c r="A81" s="442" t="s">
        <v>3256</v>
      </c>
      <c r="B81" s="11" t="s">
        <v>5</v>
      </c>
      <c r="C81" s="56" t="s">
        <v>588</v>
      </c>
      <c r="D81" s="12" t="s">
        <v>3531</v>
      </c>
      <c r="E81" s="12" t="s">
        <v>3532</v>
      </c>
      <c r="F81" s="16" t="s">
        <v>3533</v>
      </c>
      <c r="G81" s="10" t="s">
        <v>30</v>
      </c>
      <c r="H81" s="10" t="s">
        <v>277</v>
      </c>
      <c r="I81" s="11" t="s">
        <v>3</v>
      </c>
      <c r="J81" s="53">
        <v>45834</v>
      </c>
      <c r="K81" s="150" t="s">
        <v>3534</v>
      </c>
      <c r="L81" s="53">
        <f>J81+7</f>
        <v>45841</v>
      </c>
      <c r="M81" s="53">
        <v>45846</v>
      </c>
      <c r="N81" s="92">
        <f t="shared" si="17"/>
        <v>5</v>
      </c>
      <c r="O81" s="92" t="s">
        <v>3539</v>
      </c>
      <c r="P81" s="16" t="s">
        <v>18</v>
      </c>
      <c r="Q81" s="21">
        <v>45857</v>
      </c>
      <c r="R81" s="150" t="s">
        <v>3729</v>
      </c>
      <c r="S81" s="53">
        <f t="shared" si="19"/>
        <v>45864</v>
      </c>
      <c r="T81" s="21">
        <v>45865</v>
      </c>
      <c r="U81" s="92">
        <f t="shared" ref="U81:U86" si="20">T81-S81</f>
        <v>1</v>
      </c>
      <c r="V81" s="10" t="s">
        <v>3728</v>
      </c>
      <c r="W81" s="10" t="s">
        <v>5</v>
      </c>
      <c r="X81" s="21">
        <v>46002</v>
      </c>
      <c r="Y81" s="10" t="s">
        <v>5179</v>
      </c>
      <c r="Z81" s="53">
        <f t="shared" ref="Z81:Z86" si="21">X81+7</f>
        <v>46009</v>
      </c>
      <c r="AA81" s="21">
        <v>46006</v>
      </c>
      <c r="AB81" s="92">
        <f t="shared" ref="AB81:AB86" si="22">AA81-Z81</f>
        <v>-3</v>
      </c>
      <c r="AC81" s="10" t="s">
        <v>5181</v>
      </c>
      <c r="AD81" s="10"/>
      <c r="AE81" s="21"/>
      <c r="AF81" s="10"/>
      <c r="AG81" s="10"/>
      <c r="AH81" s="21"/>
      <c r="AI81" s="95"/>
      <c r="AJ81" s="10"/>
      <c r="AK81" s="10"/>
      <c r="AL81" s="17"/>
      <c r="AM81" s="11"/>
      <c r="AN81" s="11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1"/>
      <c r="BF81" s="259"/>
    </row>
    <row r="82" spans="1:58" s="381" customFormat="1" ht="42" customHeight="1" x14ac:dyDescent="0.25">
      <c r="A82" s="442" t="s">
        <v>3256</v>
      </c>
      <c r="B82" s="23" t="s">
        <v>5</v>
      </c>
      <c r="C82" s="56" t="s">
        <v>725</v>
      </c>
      <c r="D82" s="12" t="s">
        <v>3557</v>
      </c>
      <c r="E82" s="12" t="s">
        <v>3558</v>
      </c>
      <c r="F82" s="16" t="s">
        <v>3559</v>
      </c>
      <c r="G82" s="10" t="s">
        <v>30</v>
      </c>
      <c r="H82" s="10" t="s">
        <v>277</v>
      </c>
      <c r="I82" s="23" t="s">
        <v>3</v>
      </c>
      <c r="J82" s="53">
        <v>45858</v>
      </c>
      <c r="K82" s="150" t="s">
        <v>3721</v>
      </c>
      <c r="L82" s="53">
        <f>J82+7</f>
        <v>45865</v>
      </c>
      <c r="M82" s="53">
        <v>45865</v>
      </c>
      <c r="N82" s="92">
        <f t="shared" si="17"/>
        <v>0</v>
      </c>
      <c r="O82" s="92" t="s">
        <v>3733</v>
      </c>
      <c r="P82" s="10" t="s">
        <v>3</v>
      </c>
      <c r="Q82" s="21">
        <v>45879</v>
      </c>
      <c r="R82" s="10" t="s">
        <v>3910</v>
      </c>
      <c r="S82" s="53">
        <f t="shared" si="19"/>
        <v>45886</v>
      </c>
      <c r="T82" s="21">
        <v>45883</v>
      </c>
      <c r="U82" s="92">
        <f t="shared" si="20"/>
        <v>-3</v>
      </c>
      <c r="V82" s="10" t="s">
        <v>3919</v>
      </c>
      <c r="W82" s="10" t="s">
        <v>18</v>
      </c>
      <c r="X82" s="21">
        <v>45922</v>
      </c>
      <c r="Y82" s="10" t="s">
        <v>4270</v>
      </c>
      <c r="Z82" s="53">
        <f t="shared" si="21"/>
        <v>45929</v>
      </c>
      <c r="AA82" s="21">
        <v>45927</v>
      </c>
      <c r="AB82" s="92">
        <f t="shared" si="22"/>
        <v>-2</v>
      </c>
      <c r="AC82" s="10" t="s">
        <v>4280</v>
      </c>
      <c r="AD82" s="10" t="s">
        <v>5</v>
      </c>
      <c r="AE82" s="21">
        <v>45931</v>
      </c>
      <c r="AF82" s="10" t="s">
        <v>4353</v>
      </c>
      <c r="AG82" s="53">
        <f>AE82+7</f>
        <v>45938</v>
      </c>
      <c r="AH82" s="21">
        <v>45936</v>
      </c>
      <c r="AI82" s="92">
        <f>AH82-AG82</f>
        <v>-2</v>
      </c>
      <c r="AJ82" s="10" t="s">
        <v>4362</v>
      </c>
      <c r="AK82" s="10"/>
      <c r="AL82" s="17"/>
      <c r="AM82" s="11"/>
      <c r="AN82" s="11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1"/>
      <c r="BF82" s="259"/>
    </row>
    <row r="83" spans="1:58" s="381" customFormat="1" ht="42" customHeight="1" x14ac:dyDescent="0.25">
      <c r="A83" s="442" t="s">
        <v>3256</v>
      </c>
      <c r="B83" s="11" t="s">
        <v>5</v>
      </c>
      <c r="C83" s="56" t="s">
        <v>725</v>
      </c>
      <c r="D83" s="12" t="s">
        <v>3563</v>
      </c>
      <c r="E83" s="12" t="s">
        <v>3564</v>
      </c>
      <c r="F83" s="16" t="s">
        <v>5214</v>
      </c>
      <c r="G83" s="10" t="s">
        <v>30</v>
      </c>
      <c r="H83" s="10" t="s">
        <v>277</v>
      </c>
      <c r="I83" s="11" t="s">
        <v>3</v>
      </c>
      <c r="J83" s="53">
        <v>45838</v>
      </c>
      <c r="K83" s="150" t="s">
        <v>3565</v>
      </c>
      <c r="L83" s="53">
        <f>J83+7</f>
        <v>45845</v>
      </c>
      <c r="M83" s="53">
        <v>45846</v>
      </c>
      <c r="N83" s="92">
        <f t="shared" si="17"/>
        <v>1</v>
      </c>
      <c r="O83" s="92" t="s">
        <v>3567</v>
      </c>
      <c r="P83" s="11" t="s">
        <v>3</v>
      </c>
      <c r="Q83" s="21">
        <v>45850</v>
      </c>
      <c r="R83" s="10" t="s">
        <v>3639</v>
      </c>
      <c r="S83" s="21">
        <f t="shared" si="19"/>
        <v>45857</v>
      </c>
      <c r="T83" s="21">
        <v>45855</v>
      </c>
      <c r="U83" s="92">
        <f t="shared" si="20"/>
        <v>-2</v>
      </c>
      <c r="V83" s="10" t="s">
        <v>3641</v>
      </c>
      <c r="W83" s="10" t="s">
        <v>18</v>
      </c>
      <c r="X83" s="21">
        <v>45866</v>
      </c>
      <c r="Y83" s="150" t="s">
        <v>3822</v>
      </c>
      <c r="Z83" s="53">
        <f t="shared" si="21"/>
        <v>45873</v>
      </c>
      <c r="AA83" s="21">
        <v>45871</v>
      </c>
      <c r="AB83" s="92">
        <f t="shared" si="22"/>
        <v>-2</v>
      </c>
      <c r="AC83" s="10" t="s">
        <v>3826</v>
      </c>
      <c r="AD83" s="10" t="s">
        <v>5</v>
      </c>
      <c r="AE83" s="21">
        <v>46002</v>
      </c>
      <c r="AF83" s="10" t="s">
        <v>5183</v>
      </c>
      <c r="AG83" s="53">
        <f>AE83+7</f>
        <v>46009</v>
      </c>
      <c r="AH83" s="21">
        <v>46005</v>
      </c>
      <c r="AI83" s="92">
        <f>AH83-AG83</f>
        <v>-4</v>
      </c>
      <c r="AJ83" s="10" t="s">
        <v>5202</v>
      </c>
      <c r="AK83" s="10"/>
      <c r="AL83" s="17"/>
      <c r="AM83" s="11"/>
      <c r="AN83" s="11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1"/>
      <c r="BF83" s="259"/>
    </row>
    <row r="84" spans="1:58" s="381" customFormat="1" ht="42" customHeight="1" x14ac:dyDescent="0.25">
      <c r="A84" s="442" t="s">
        <v>3256</v>
      </c>
      <c r="B84" s="11" t="s">
        <v>5</v>
      </c>
      <c r="C84" s="56" t="s">
        <v>725</v>
      </c>
      <c r="D84" s="12" t="s">
        <v>3571</v>
      </c>
      <c r="E84" s="12" t="s">
        <v>3572</v>
      </c>
      <c r="F84" s="16" t="s">
        <v>3573</v>
      </c>
      <c r="G84" s="10" t="s">
        <v>30</v>
      </c>
      <c r="H84" s="10" t="s">
        <v>277</v>
      </c>
      <c r="I84" s="16" t="s">
        <v>3</v>
      </c>
      <c r="J84" s="53">
        <v>45839</v>
      </c>
      <c r="K84" s="150" t="s">
        <v>3574</v>
      </c>
      <c r="L84" s="53">
        <f t="shared" ref="L84:L90" si="23">J84+7</f>
        <v>45846</v>
      </c>
      <c r="M84" s="53">
        <v>45851</v>
      </c>
      <c r="N84" s="92">
        <f t="shared" si="17"/>
        <v>5</v>
      </c>
      <c r="O84" s="92" t="s">
        <v>3579</v>
      </c>
      <c r="P84" s="16" t="s">
        <v>18</v>
      </c>
      <c r="Q84" s="21">
        <v>45853</v>
      </c>
      <c r="R84" s="10" t="s">
        <v>3666</v>
      </c>
      <c r="S84" s="21">
        <f t="shared" si="19"/>
        <v>45860</v>
      </c>
      <c r="T84" s="21">
        <v>45861</v>
      </c>
      <c r="U84" s="92">
        <f t="shared" si="20"/>
        <v>1</v>
      </c>
      <c r="V84" s="10" t="s">
        <v>3680</v>
      </c>
      <c r="W84" s="10" t="s">
        <v>18</v>
      </c>
      <c r="X84" s="21">
        <v>46125</v>
      </c>
      <c r="Y84" s="10" t="s">
        <v>6341</v>
      </c>
      <c r="Z84" s="53">
        <f t="shared" si="21"/>
        <v>46132</v>
      </c>
      <c r="AA84" s="21">
        <v>46128</v>
      </c>
      <c r="AB84" s="92">
        <f t="shared" si="22"/>
        <v>-4</v>
      </c>
      <c r="AC84" s="10" t="s">
        <v>6343</v>
      </c>
      <c r="AD84" s="10" t="s">
        <v>5</v>
      </c>
      <c r="AE84" s="21">
        <v>46155</v>
      </c>
      <c r="AF84" s="10" t="s">
        <v>6764</v>
      </c>
      <c r="AG84" s="53">
        <f>AE84+7</f>
        <v>46162</v>
      </c>
      <c r="AH84" s="21">
        <v>46160</v>
      </c>
      <c r="AI84" s="92">
        <f>AH84-AG84</f>
        <v>-2</v>
      </c>
      <c r="AJ84" s="10" t="s">
        <v>6765</v>
      </c>
      <c r="AK84" s="10"/>
      <c r="AL84" s="17"/>
      <c r="AM84" s="11"/>
      <c r="AN84" s="11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1"/>
      <c r="BF84" s="259"/>
    </row>
    <row r="85" spans="1:58" s="381" customFormat="1" ht="42" customHeight="1" x14ac:dyDescent="0.25">
      <c r="A85" s="442" t="s">
        <v>3256</v>
      </c>
      <c r="B85" s="11" t="s">
        <v>5</v>
      </c>
      <c r="C85" s="56" t="s">
        <v>588</v>
      </c>
      <c r="D85" s="12" t="s">
        <v>3575</v>
      </c>
      <c r="E85" s="12" t="s">
        <v>3608</v>
      </c>
      <c r="F85" s="16" t="s">
        <v>3576</v>
      </c>
      <c r="G85" s="10" t="s">
        <v>30</v>
      </c>
      <c r="H85" s="10" t="s">
        <v>277</v>
      </c>
      <c r="I85" s="11" t="s">
        <v>3</v>
      </c>
      <c r="J85" s="53">
        <v>45839</v>
      </c>
      <c r="K85" s="150" t="s">
        <v>3577</v>
      </c>
      <c r="L85" s="53">
        <f t="shared" si="23"/>
        <v>45846</v>
      </c>
      <c r="M85" s="53">
        <v>45851</v>
      </c>
      <c r="N85" s="92">
        <f t="shared" si="17"/>
        <v>5</v>
      </c>
      <c r="O85" s="92" t="s">
        <v>3580</v>
      </c>
      <c r="P85" s="16" t="s">
        <v>18</v>
      </c>
      <c r="Q85" s="21">
        <v>45858</v>
      </c>
      <c r="R85" s="10" t="s">
        <v>3736</v>
      </c>
      <c r="S85" s="21">
        <f t="shared" si="19"/>
        <v>45865</v>
      </c>
      <c r="T85" s="21">
        <v>45865</v>
      </c>
      <c r="U85" s="92">
        <f t="shared" si="20"/>
        <v>0</v>
      </c>
      <c r="V85" s="10" t="s">
        <v>3738</v>
      </c>
      <c r="W85" s="10" t="s">
        <v>5</v>
      </c>
      <c r="X85" s="21">
        <v>46127</v>
      </c>
      <c r="Y85" s="10" t="s">
        <v>6389</v>
      </c>
      <c r="Z85" s="53">
        <f t="shared" si="21"/>
        <v>46134</v>
      </c>
      <c r="AA85" s="21">
        <v>46139</v>
      </c>
      <c r="AB85" s="92">
        <f t="shared" si="22"/>
        <v>5</v>
      </c>
      <c r="AC85" s="10" t="s">
        <v>6426</v>
      </c>
      <c r="AD85" s="10"/>
      <c r="AE85" s="21"/>
      <c r="AF85" s="10"/>
      <c r="AG85" s="10"/>
      <c r="AH85" s="21"/>
      <c r="AI85" s="95"/>
      <c r="AJ85" s="10"/>
      <c r="AK85" s="10"/>
      <c r="AL85" s="17"/>
      <c r="AM85" s="11"/>
      <c r="AN85" s="11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1"/>
      <c r="BF85" s="259"/>
    </row>
    <row r="86" spans="1:58" s="381" customFormat="1" ht="42" customHeight="1" x14ac:dyDescent="0.25">
      <c r="A86" s="442" t="s">
        <v>3256</v>
      </c>
      <c r="B86" s="11" t="s">
        <v>5</v>
      </c>
      <c r="C86" s="56" t="s">
        <v>588</v>
      </c>
      <c r="D86" s="12" t="s">
        <v>3607</v>
      </c>
      <c r="E86" s="12" t="s">
        <v>3609</v>
      </c>
      <c r="F86" s="16" t="s">
        <v>4578</v>
      </c>
      <c r="G86" s="10" t="s">
        <v>30</v>
      </c>
      <c r="H86" s="10" t="s">
        <v>277</v>
      </c>
      <c r="I86" s="11" t="s">
        <v>3</v>
      </c>
      <c r="J86" s="53">
        <v>45845</v>
      </c>
      <c r="K86" s="150" t="s">
        <v>3610</v>
      </c>
      <c r="L86" s="53">
        <f t="shared" si="23"/>
        <v>45852</v>
      </c>
      <c r="M86" s="53">
        <v>45858</v>
      </c>
      <c r="N86" s="92">
        <f t="shared" si="17"/>
        <v>6</v>
      </c>
      <c r="O86" s="92" t="s">
        <v>3623</v>
      </c>
      <c r="P86" s="10" t="s">
        <v>18</v>
      </c>
      <c r="Q86" s="21">
        <v>45914</v>
      </c>
      <c r="R86" s="10" t="s">
        <v>4183</v>
      </c>
      <c r="S86" s="21">
        <f t="shared" si="19"/>
        <v>45921</v>
      </c>
      <c r="T86" s="21">
        <v>45925</v>
      </c>
      <c r="U86" s="92">
        <f t="shared" si="20"/>
        <v>4</v>
      </c>
      <c r="V86" s="10" t="s">
        <v>4310</v>
      </c>
      <c r="W86" s="10" t="s">
        <v>5</v>
      </c>
      <c r="X86" s="21">
        <v>45953</v>
      </c>
      <c r="Y86" s="10" t="s">
        <v>4579</v>
      </c>
      <c r="Z86" s="21">
        <f t="shared" si="21"/>
        <v>45960</v>
      </c>
      <c r="AA86" s="21">
        <v>45957</v>
      </c>
      <c r="AB86" s="92">
        <f t="shared" si="22"/>
        <v>-3</v>
      </c>
      <c r="AC86" s="10" t="s">
        <v>4595</v>
      </c>
      <c r="AD86" s="10"/>
      <c r="AE86" s="21"/>
      <c r="AF86" s="10"/>
      <c r="AG86" s="10"/>
      <c r="AH86" s="21"/>
      <c r="AI86" s="95"/>
      <c r="AJ86" s="10"/>
      <c r="AK86" s="10"/>
      <c r="AL86" s="17"/>
      <c r="AM86" s="11"/>
      <c r="AN86" s="11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1"/>
      <c r="BF86" s="259"/>
    </row>
    <row r="87" spans="1:58" s="381" customFormat="1" ht="42" customHeight="1" x14ac:dyDescent="0.25">
      <c r="A87" s="442" t="s">
        <v>3256</v>
      </c>
      <c r="B87" s="11" t="s">
        <v>5</v>
      </c>
      <c r="C87" s="11" t="s">
        <v>54</v>
      </c>
      <c r="D87" s="12" t="s">
        <v>3667</v>
      </c>
      <c r="E87" s="12" t="s">
        <v>3668</v>
      </c>
      <c r="F87" s="16" t="s">
        <v>3669</v>
      </c>
      <c r="G87" s="10" t="s">
        <v>30</v>
      </c>
      <c r="H87" s="10" t="s">
        <v>277</v>
      </c>
      <c r="I87" s="16" t="s">
        <v>5</v>
      </c>
      <c r="J87" s="53">
        <v>45853</v>
      </c>
      <c r="K87" s="150" t="s">
        <v>3670</v>
      </c>
      <c r="L87" s="53">
        <f t="shared" si="23"/>
        <v>45860</v>
      </c>
      <c r="M87" s="53">
        <v>45858</v>
      </c>
      <c r="N87" s="92">
        <f t="shared" si="17"/>
        <v>-2</v>
      </c>
      <c r="O87" s="92" t="s">
        <v>3681</v>
      </c>
      <c r="P87" s="10"/>
      <c r="Q87" s="21"/>
      <c r="R87" s="10"/>
      <c r="S87" s="10"/>
      <c r="T87" s="21"/>
      <c r="U87" s="95"/>
      <c r="V87" s="10"/>
      <c r="W87" s="10"/>
      <c r="X87" s="21"/>
      <c r="Y87" s="10"/>
      <c r="Z87" s="10"/>
      <c r="AA87" s="21"/>
      <c r="AB87" s="95"/>
      <c r="AC87" s="10"/>
      <c r="AD87" s="10"/>
      <c r="AE87" s="21"/>
      <c r="AF87" s="10"/>
      <c r="AG87" s="10"/>
      <c r="AH87" s="21"/>
      <c r="AI87" s="95"/>
      <c r="AJ87" s="10"/>
      <c r="AK87" s="10"/>
      <c r="AL87" s="17"/>
      <c r="AM87" s="11"/>
      <c r="AN87" s="11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1"/>
      <c r="BF87" s="259"/>
    </row>
    <row r="88" spans="1:58" s="381" customFormat="1" ht="42" customHeight="1" x14ac:dyDescent="0.25">
      <c r="A88" s="442" t="s">
        <v>3256</v>
      </c>
      <c r="B88" s="11" t="s">
        <v>5</v>
      </c>
      <c r="C88" s="56" t="s">
        <v>2384</v>
      </c>
      <c r="D88" s="12" t="s">
        <v>3778</v>
      </c>
      <c r="E88" s="12" t="s">
        <v>3779</v>
      </c>
      <c r="F88" s="16" t="s">
        <v>3780</v>
      </c>
      <c r="G88" s="10" t="s">
        <v>30</v>
      </c>
      <c r="H88" s="10" t="s">
        <v>277</v>
      </c>
      <c r="I88" s="11" t="s">
        <v>3</v>
      </c>
      <c r="J88" s="53">
        <v>45862</v>
      </c>
      <c r="K88" s="150" t="s">
        <v>3781</v>
      </c>
      <c r="L88" s="53">
        <f t="shared" si="23"/>
        <v>45869</v>
      </c>
      <c r="M88" s="53">
        <v>45873</v>
      </c>
      <c r="N88" s="92">
        <f t="shared" si="17"/>
        <v>4</v>
      </c>
      <c r="O88" s="92" t="s">
        <v>3787</v>
      </c>
      <c r="P88" s="10" t="s">
        <v>3</v>
      </c>
      <c r="Q88" s="21">
        <v>45895</v>
      </c>
      <c r="R88" s="10" t="s">
        <v>4043</v>
      </c>
      <c r="S88" s="21">
        <f>Q88+7</f>
        <v>45902</v>
      </c>
      <c r="T88" s="21">
        <v>45904</v>
      </c>
      <c r="U88" s="92">
        <f>T88-S88</f>
        <v>2</v>
      </c>
      <c r="V88" s="10" t="s">
        <v>4070</v>
      </c>
      <c r="W88" s="10" t="s">
        <v>3</v>
      </c>
      <c r="X88" s="21">
        <v>45929</v>
      </c>
      <c r="Y88" s="10" t="s">
        <v>4329</v>
      </c>
      <c r="Z88" s="21">
        <f>X88+7</f>
        <v>45936</v>
      </c>
      <c r="AA88" s="21">
        <v>45935</v>
      </c>
      <c r="AB88" s="92">
        <f>AA88-Z88</f>
        <v>-1</v>
      </c>
      <c r="AC88" s="10" t="s">
        <v>4340</v>
      </c>
      <c r="AD88" s="11" t="s">
        <v>18</v>
      </c>
      <c r="AE88" s="21">
        <v>45973</v>
      </c>
      <c r="AF88" s="10" t="s">
        <v>4866</v>
      </c>
      <c r="AG88" s="21">
        <f>AE88+7</f>
        <v>45980</v>
      </c>
      <c r="AH88" s="21">
        <v>45983</v>
      </c>
      <c r="AI88" s="92">
        <f>AH88-AG88</f>
        <v>3</v>
      </c>
      <c r="AJ88" s="10" t="s">
        <v>5004</v>
      </c>
      <c r="AK88" s="10" t="s">
        <v>18</v>
      </c>
      <c r="AL88" s="17">
        <v>46133</v>
      </c>
      <c r="AM88" s="11" t="s">
        <v>6465</v>
      </c>
      <c r="AN88" s="21">
        <f>AL88+7</f>
        <v>46140</v>
      </c>
      <c r="AO88" s="21">
        <v>46134</v>
      </c>
      <c r="AP88" s="92">
        <f>AO88-AN88</f>
        <v>-6</v>
      </c>
      <c r="AQ88" s="17" t="s">
        <v>6469</v>
      </c>
      <c r="AR88" s="17" t="s">
        <v>5</v>
      </c>
      <c r="AS88" s="17">
        <v>46160</v>
      </c>
      <c r="AT88" s="17" t="s">
        <v>6862</v>
      </c>
      <c r="AU88" s="21">
        <f>AS88+7</f>
        <v>46167</v>
      </c>
      <c r="AV88" s="21">
        <v>46173</v>
      </c>
      <c r="AW88" s="92">
        <f>AV88-AU88</f>
        <v>6</v>
      </c>
      <c r="AX88" s="17" t="s">
        <v>6863</v>
      </c>
      <c r="AY88" s="17"/>
      <c r="AZ88" s="17"/>
      <c r="BA88" s="17"/>
      <c r="BB88" s="17"/>
      <c r="BC88" s="17"/>
      <c r="BD88" s="17"/>
      <c r="BE88" s="11"/>
      <c r="BF88" s="259"/>
    </row>
    <row r="89" spans="1:58" s="381" customFormat="1" ht="42" customHeight="1" x14ac:dyDescent="0.25">
      <c r="A89" s="442" t="s">
        <v>3256</v>
      </c>
      <c r="B89" s="58" t="s">
        <v>508</v>
      </c>
      <c r="C89" s="11" t="s">
        <v>627</v>
      </c>
      <c r="D89" s="12" t="s">
        <v>3911</v>
      </c>
      <c r="E89" s="12" t="s">
        <v>3912</v>
      </c>
      <c r="F89" s="16" t="s">
        <v>3913</v>
      </c>
      <c r="G89" s="10" t="s">
        <v>30</v>
      </c>
      <c r="H89" s="10" t="s">
        <v>277</v>
      </c>
      <c r="I89" s="16" t="s">
        <v>3</v>
      </c>
      <c r="J89" s="53">
        <v>45879</v>
      </c>
      <c r="K89" s="150" t="s">
        <v>3914</v>
      </c>
      <c r="L89" s="53">
        <f t="shared" si="23"/>
        <v>45886</v>
      </c>
      <c r="M89" s="53">
        <v>45883</v>
      </c>
      <c r="N89" s="92">
        <f t="shared" si="17"/>
        <v>-3</v>
      </c>
      <c r="O89" s="92" t="s">
        <v>3920</v>
      </c>
      <c r="P89" s="16" t="s">
        <v>3</v>
      </c>
      <c r="Q89" s="21">
        <v>45888</v>
      </c>
      <c r="R89" s="10" t="s">
        <v>3997</v>
      </c>
      <c r="S89" s="21">
        <f>Q89+7</f>
        <v>45895</v>
      </c>
      <c r="T89" s="21">
        <v>45893</v>
      </c>
      <c r="U89" s="92">
        <f>T89-S89</f>
        <v>-2</v>
      </c>
      <c r="V89" s="10" t="s">
        <v>4005</v>
      </c>
      <c r="W89" s="10" t="s">
        <v>18</v>
      </c>
      <c r="X89" s="21">
        <v>45902</v>
      </c>
      <c r="Y89" s="10" t="s">
        <v>4092</v>
      </c>
      <c r="Z89" s="21">
        <f>X89+7</f>
        <v>45909</v>
      </c>
      <c r="AA89" s="21">
        <v>45909</v>
      </c>
      <c r="AB89" s="92">
        <f>AA89-Z89</f>
        <v>0</v>
      </c>
      <c r="AC89" s="10" t="s">
        <v>4105</v>
      </c>
      <c r="AD89" s="10" t="s">
        <v>508</v>
      </c>
      <c r="AE89" s="21">
        <v>46070</v>
      </c>
      <c r="AF89" s="10" t="s">
        <v>5862</v>
      </c>
      <c r="AG89" s="10" t="s">
        <v>626</v>
      </c>
      <c r="AH89" s="21" t="s">
        <v>626</v>
      </c>
      <c r="AI89" s="95" t="s">
        <v>626</v>
      </c>
      <c r="AJ89" s="10" t="s">
        <v>626</v>
      </c>
      <c r="AK89" s="10"/>
      <c r="AL89" s="17"/>
      <c r="AM89" s="11"/>
      <c r="AN89" s="11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1"/>
      <c r="BF89" s="259"/>
    </row>
    <row r="90" spans="1:58" s="381" customFormat="1" ht="42" customHeight="1" x14ac:dyDescent="0.25">
      <c r="A90" s="442" t="s">
        <v>3256</v>
      </c>
      <c r="B90" s="58" t="s">
        <v>508</v>
      </c>
      <c r="C90" s="11" t="s">
        <v>627</v>
      </c>
      <c r="D90" s="12" t="s">
        <v>3961</v>
      </c>
      <c r="E90" s="12" t="s">
        <v>3962</v>
      </c>
      <c r="F90" s="16" t="s">
        <v>3963</v>
      </c>
      <c r="G90" s="10" t="s">
        <v>30</v>
      </c>
      <c r="H90" s="10" t="s">
        <v>277</v>
      </c>
      <c r="I90" s="16" t="s">
        <v>3</v>
      </c>
      <c r="J90" s="53">
        <v>45885</v>
      </c>
      <c r="K90" s="150" t="s">
        <v>3964</v>
      </c>
      <c r="L90" s="53">
        <f t="shared" si="23"/>
        <v>45892</v>
      </c>
      <c r="M90" s="53">
        <v>45889</v>
      </c>
      <c r="N90" s="92">
        <f t="shared" si="17"/>
        <v>-3</v>
      </c>
      <c r="O90" s="92" t="s">
        <v>3970</v>
      </c>
      <c r="P90" s="16" t="s">
        <v>508</v>
      </c>
      <c r="Q90" s="21">
        <v>45921</v>
      </c>
      <c r="R90" s="10" t="s">
        <v>4254</v>
      </c>
      <c r="S90" s="10" t="s">
        <v>626</v>
      </c>
      <c r="T90" s="21" t="s">
        <v>626</v>
      </c>
      <c r="U90" s="95" t="s">
        <v>626</v>
      </c>
      <c r="V90" s="10" t="s">
        <v>626</v>
      </c>
      <c r="W90" s="10"/>
      <c r="X90" s="21"/>
      <c r="Y90" s="10"/>
      <c r="Z90" s="10"/>
      <c r="AA90" s="21"/>
      <c r="AB90" s="95"/>
      <c r="AC90" s="10"/>
      <c r="AD90" s="10"/>
      <c r="AE90" s="21"/>
      <c r="AF90" s="10"/>
      <c r="AG90" s="10"/>
      <c r="AH90" s="21"/>
      <c r="AI90" s="95"/>
      <c r="AJ90" s="10"/>
      <c r="AK90" s="10"/>
      <c r="AL90" s="17"/>
      <c r="AM90" s="11"/>
      <c r="AN90" s="11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1"/>
      <c r="BF90" s="259"/>
    </row>
    <row r="91" spans="1:58" s="381" customFormat="1" ht="42" customHeight="1" x14ac:dyDescent="0.25">
      <c r="A91" s="442" t="s">
        <v>3256</v>
      </c>
      <c r="B91" s="58" t="s">
        <v>508</v>
      </c>
      <c r="C91" s="127" t="s">
        <v>627</v>
      </c>
      <c r="D91" s="12" t="s">
        <v>3989</v>
      </c>
      <c r="E91" s="12" t="s">
        <v>3991</v>
      </c>
      <c r="F91" s="16" t="s">
        <v>3990</v>
      </c>
      <c r="G91" s="10" t="s">
        <v>30</v>
      </c>
      <c r="H91" s="10" t="s">
        <v>277</v>
      </c>
      <c r="I91" s="16" t="s">
        <v>3</v>
      </c>
      <c r="J91" s="53">
        <v>45887</v>
      </c>
      <c r="K91" s="13" t="s">
        <v>3992</v>
      </c>
      <c r="L91" s="53">
        <f t="shared" ref="L91:L96" si="24">J91+7</f>
        <v>45894</v>
      </c>
      <c r="M91" s="53">
        <v>45897</v>
      </c>
      <c r="N91" s="92">
        <f t="shared" si="17"/>
        <v>3</v>
      </c>
      <c r="O91" s="10" t="s">
        <v>4020</v>
      </c>
      <c r="P91" s="10" t="s">
        <v>508</v>
      </c>
      <c r="Q91" s="21">
        <v>46070</v>
      </c>
      <c r="R91" s="10" t="s">
        <v>5862</v>
      </c>
      <c r="S91" s="10" t="s">
        <v>626</v>
      </c>
      <c r="T91" s="21" t="s">
        <v>626</v>
      </c>
      <c r="U91" s="95" t="s">
        <v>626</v>
      </c>
      <c r="V91" s="10" t="s">
        <v>626</v>
      </c>
      <c r="W91" s="10"/>
      <c r="X91" s="21"/>
      <c r="Y91" s="10"/>
      <c r="Z91" s="10"/>
      <c r="AA91" s="21"/>
      <c r="AB91" s="95"/>
      <c r="AC91" s="10"/>
      <c r="AD91" s="10"/>
      <c r="AE91" s="21"/>
      <c r="AF91" s="10"/>
      <c r="AG91" s="10"/>
      <c r="AH91" s="21"/>
      <c r="AI91" s="95"/>
      <c r="AJ91" s="10"/>
      <c r="AK91" s="10"/>
      <c r="AL91" s="17"/>
      <c r="AM91" s="11"/>
      <c r="AN91" s="11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1"/>
      <c r="BF91" s="259"/>
    </row>
    <row r="92" spans="1:58" s="381" customFormat="1" ht="42" customHeight="1" x14ac:dyDescent="0.25">
      <c r="A92" s="442" t="s">
        <v>3256</v>
      </c>
      <c r="B92" s="11" t="s">
        <v>5</v>
      </c>
      <c r="C92" s="56" t="s">
        <v>725</v>
      </c>
      <c r="D92" s="12" t="s">
        <v>4044</v>
      </c>
      <c r="E92" s="12" t="s">
        <v>4045</v>
      </c>
      <c r="F92" s="16" t="s">
        <v>4046</v>
      </c>
      <c r="G92" s="10" t="s">
        <v>30</v>
      </c>
      <c r="H92" s="10" t="s">
        <v>277</v>
      </c>
      <c r="I92" s="16" t="s">
        <v>3</v>
      </c>
      <c r="J92" s="53">
        <v>45895</v>
      </c>
      <c r="K92" s="13" t="s">
        <v>4041</v>
      </c>
      <c r="L92" s="53">
        <f t="shared" si="24"/>
        <v>45902</v>
      </c>
      <c r="M92" s="53">
        <v>45907</v>
      </c>
      <c r="N92" s="92">
        <f t="shared" si="17"/>
        <v>5</v>
      </c>
      <c r="O92" s="10" t="s">
        <v>4072</v>
      </c>
      <c r="P92" s="10" t="s">
        <v>3</v>
      </c>
      <c r="Q92" s="21">
        <v>45935</v>
      </c>
      <c r="R92" s="10" t="s">
        <v>4397</v>
      </c>
      <c r="S92" s="21">
        <f>Q92+7</f>
        <v>45942</v>
      </c>
      <c r="T92" s="21">
        <v>45941</v>
      </c>
      <c r="U92" s="92">
        <f>T92-S92</f>
        <v>-1</v>
      </c>
      <c r="V92" s="10" t="s">
        <v>4396</v>
      </c>
      <c r="W92" s="11" t="s">
        <v>3</v>
      </c>
      <c r="X92" s="21">
        <v>45998</v>
      </c>
      <c r="Y92" s="10" t="s">
        <v>5151</v>
      </c>
      <c r="Z92" s="21">
        <f>X92+7</f>
        <v>46005</v>
      </c>
      <c r="AA92" s="21">
        <v>46006</v>
      </c>
      <c r="AB92" s="92">
        <f>AA92-Z92</f>
        <v>1</v>
      </c>
      <c r="AC92" s="10" t="s">
        <v>5167</v>
      </c>
      <c r="AD92" s="10" t="s">
        <v>5</v>
      </c>
      <c r="AE92" s="21">
        <v>46121</v>
      </c>
      <c r="AF92" s="10" t="s">
        <v>6701</v>
      </c>
      <c r="AG92" s="21">
        <f>AE92+7</f>
        <v>46128</v>
      </c>
      <c r="AH92" s="21">
        <v>46159</v>
      </c>
      <c r="AI92" s="92">
        <f>AH92-AG92</f>
        <v>31</v>
      </c>
      <c r="AJ92" s="10" t="s">
        <v>6713</v>
      </c>
      <c r="AK92" s="10"/>
      <c r="AL92" s="17"/>
      <c r="AM92" s="11"/>
      <c r="AN92" s="11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1"/>
      <c r="BF92" s="259"/>
    </row>
    <row r="93" spans="1:58" s="381" customFormat="1" ht="42" customHeight="1" x14ac:dyDescent="0.25">
      <c r="A93" s="442" t="s">
        <v>3256</v>
      </c>
      <c r="B93" s="11" t="s">
        <v>5</v>
      </c>
      <c r="C93" s="56" t="s">
        <v>588</v>
      </c>
      <c r="D93" s="12" t="s">
        <v>4084</v>
      </c>
      <c r="E93" s="12" t="s">
        <v>4085</v>
      </c>
      <c r="F93" s="16" t="s">
        <v>4086</v>
      </c>
      <c r="G93" s="10" t="s">
        <v>30</v>
      </c>
      <c r="H93" s="10" t="s">
        <v>277</v>
      </c>
      <c r="I93" s="16" t="s">
        <v>3</v>
      </c>
      <c r="J93" s="53">
        <v>45901</v>
      </c>
      <c r="K93" s="13" t="s">
        <v>4087</v>
      </c>
      <c r="L93" s="53">
        <f t="shared" si="24"/>
        <v>45908</v>
      </c>
      <c r="M93" s="53">
        <v>45908</v>
      </c>
      <c r="N93" s="92">
        <f t="shared" si="17"/>
        <v>0</v>
      </c>
      <c r="O93" s="10" t="s">
        <v>4090</v>
      </c>
      <c r="P93" s="10" t="s">
        <v>18</v>
      </c>
      <c r="Q93" s="21">
        <v>45909</v>
      </c>
      <c r="R93" s="10" t="s">
        <v>4143</v>
      </c>
      <c r="S93" s="21">
        <f>Q93+7</f>
        <v>45916</v>
      </c>
      <c r="T93" s="21">
        <v>45914</v>
      </c>
      <c r="U93" s="92">
        <f>T93-S93</f>
        <v>-2</v>
      </c>
      <c r="V93" s="10" t="s">
        <v>4145</v>
      </c>
      <c r="W93" s="10" t="s">
        <v>5</v>
      </c>
      <c r="X93" s="21">
        <v>46119</v>
      </c>
      <c r="Y93" s="10" t="s">
        <v>6295</v>
      </c>
      <c r="Z93" s="21">
        <f>X93+7</f>
        <v>46126</v>
      </c>
      <c r="AA93" s="21">
        <v>46123</v>
      </c>
      <c r="AB93" s="92">
        <f>AA93-Z93</f>
        <v>-3</v>
      </c>
      <c r="AC93" s="10" t="s">
        <v>6296</v>
      </c>
      <c r="AD93" s="10"/>
      <c r="AE93" s="21"/>
      <c r="AF93" s="10"/>
      <c r="AG93" s="10"/>
      <c r="AH93" s="21"/>
      <c r="AI93" s="95"/>
      <c r="AJ93" s="10"/>
      <c r="AK93" s="10"/>
      <c r="AL93" s="17"/>
      <c r="AM93" s="11"/>
      <c r="AN93" s="11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1"/>
      <c r="BF93" s="259"/>
    </row>
    <row r="94" spans="1:58" s="381" customFormat="1" ht="42" customHeight="1" x14ac:dyDescent="0.25">
      <c r="A94" s="442" t="s">
        <v>3256</v>
      </c>
      <c r="B94" s="58" t="s">
        <v>508</v>
      </c>
      <c r="C94" s="127" t="s">
        <v>627</v>
      </c>
      <c r="D94" s="12" t="s">
        <v>4098</v>
      </c>
      <c r="E94" s="12" t="s">
        <v>4099</v>
      </c>
      <c r="F94" s="16" t="s">
        <v>4100</v>
      </c>
      <c r="G94" s="10" t="s">
        <v>30</v>
      </c>
      <c r="H94" s="10" t="s">
        <v>277</v>
      </c>
      <c r="I94" s="16" t="s">
        <v>3</v>
      </c>
      <c r="J94" s="53">
        <v>45903</v>
      </c>
      <c r="K94" s="13" t="s">
        <v>4101</v>
      </c>
      <c r="L94" s="53">
        <f t="shared" si="24"/>
        <v>45910</v>
      </c>
      <c r="M94" s="53">
        <v>45916</v>
      </c>
      <c r="N94" s="92">
        <f>M94-L94</f>
        <v>6</v>
      </c>
      <c r="O94" s="10" t="s">
        <v>4184</v>
      </c>
      <c r="P94" s="10" t="s">
        <v>508</v>
      </c>
      <c r="Q94" s="21">
        <v>45971</v>
      </c>
      <c r="R94" s="10" t="s">
        <v>4804</v>
      </c>
      <c r="S94" s="21" t="s">
        <v>626</v>
      </c>
      <c r="T94" s="21" t="s">
        <v>626</v>
      </c>
      <c r="U94" s="92" t="s">
        <v>626</v>
      </c>
      <c r="V94" s="10" t="s">
        <v>626</v>
      </c>
      <c r="W94" s="10"/>
      <c r="X94" s="21"/>
      <c r="Y94" s="10"/>
      <c r="Z94" s="10"/>
      <c r="AA94" s="21"/>
      <c r="AB94" s="95"/>
      <c r="AC94" s="10"/>
      <c r="AD94" s="10"/>
      <c r="AE94" s="21"/>
      <c r="AF94" s="10"/>
      <c r="AG94" s="10"/>
      <c r="AH94" s="21"/>
      <c r="AI94" s="95"/>
      <c r="AJ94" s="10"/>
      <c r="AK94" s="10"/>
      <c r="AL94" s="17"/>
      <c r="AM94" s="11"/>
      <c r="AN94" s="11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1"/>
      <c r="BF94" s="259"/>
    </row>
    <row r="95" spans="1:58" s="381" customFormat="1" ht="42" customHeight="1" x14ac:dyDescent="0.25">
      <c r="A95" s="442" t="s">
        <v>3256</v>
      </c>
      <c r="B95" s="11" t="s">
        <v>5</v>
      </c>
      <c r="C95" s="56" t="s">
        <v>725</v>
      </c>
      <c r="D95" s="12" t="s">
        <v>4114</v>
      </c>
      <c r="E95" s="12" t="s">
        <v>4113</v>
      </c>
      <c r="F95" s="16" t="s">
        <v>4116</v>
      </c>
      <c r="G95" s="10" t="s">
        <v>30</v>
      </c>
      <c r="H95" s="10" t="s">
        <v>277</v>
      </c>
      <c r="I95" s="16" t="s">
        <v>3</v>
      </c>
      <c r="J95" s="53">
        <v>45904</v>
      </c>
      <c r="K95" s="13" t="s">
        <v>4115</v>
      </c>
      <c r="L95" s="53">
        <f t="shared" si="24"/>
        <v>45911</v>
      </c>
      <c r="M95" s="53">
        <v>45908</v>
      </c>
      <c r="N95" s="92">
        <f t="shared" si="17"/>
        <v>-3</v>
      </c>
      <c r="O95" s="10" t="s">
        <v>4122</v>
      </c>
      <c r="P95" s="10" t="s">
        <v>3</v>
      </c>
      <c r="Q95" s="21">
        <v>45910</v>
      </c>
      <c r="R95" s="10" t="s">
        <v>4152</v>
      </c>
      <c r="S95" s="21">
        <f>Q95+7</f>
        <v>45917</v>
      </c>
      <c r="T95" s="21">
        <v>45916</v>
      </c>
      <c r="U95" s="92">
        <f>T95-S95</f>
        <v>-1</v>
      </c>
      <c r="V95" s="10" t="s">
        <v>4158</v>
      </c>
      <c r="W95" s="10" t="s">
        <v>18</v>
      </c>
      <c r="X95" s="21">
        <v>45942</v>
      </c>
      <c r="Y95" s="10" t="s">
        <v>4442</v>
      </c>
      <c r="Z95" s="21">
        <f>X95+7</f>
        <v>45949</v>
      </c>
      <c r="AA95" s="21">
        <v>45942</v>
      </c>
      <c r="AB95" s="92">
        <f>AA95-Z95</f>
        <v>-7</v>
      </c>
      <c r="AC95" s="10" t="s">
        <v>4453</v>
      </c>
      <c r="AD95" s="10" t="s">
        <v>5</v>
      </c>
      <c r="AE95" s="21">
        <v>46125</v>
      </c>
      <c r="AF95" s="10" t="s">
        <v>6365</v>
      </c>
      <c r="AG95" s="21">
        <f>AE95+7</f>
        <v>46132</v>
      </c>
      <c r="AH95" s="21">
        <v>46126</v>
      </c>
      <c r="AI95" s="92">
        <f>AH95-AG95</f>
        <v>-6</v>
      </c>
      <c r="AJ95" s="10" t="s">
        <v>6374</v>
      </c>
      <c r="AK95" s="10"/>
      <c r="AL95" s="17"/>
      <c r="AM95" s="11"/>
      <c r="AN95" s="11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1"/>
      <c r="BF95" s="259"/>
    </row>
    <row r="96" spans="1:58" s="381" customFormat="1" ht="42" customHeight="1" x14ac:dyDescent="0.25">
      <c r="A96" s="442" t="s">
        <v>3256</v>
      </c>
      <c r="B96" s="58" t="s">
        <v>508</v>
      </c>
      <c r="C96" s="127" t="s">
        <v>627</v>
      </c>
      <c r="D96" s="12" t="s">
        <v>4117</v>
      </c>
      <c r="E96" s="12" t="s">
        <v>4118</v>
      </c>
      <c r="F96" s="16" t="s">
        <v>4119</v>
      </c>
      <c r="G96" s="10" t="s">
        <v>30</v>
      </c>
      <c r="H96" s="10" t="s">
        <v>277</v>
      </c>
      <c r="I96" s="16" t="s">
        <v>3</v>
      </c>
      <c r="J96" s="53">
        <v>45906</v>
      </c>
      <c r="K96" s="13" t="s">
        <v>4120</v>
      </c>
      <c r="L96" s="53">
        <f t="shared" si="24"/>
        <v>45913</v>
      </c>
      <c r="M96" s="53">
        <v>45914</v>
      </c>
      <c r="N96" s="92">
        <f t="shared" si="17"/>
        <v>1</v>
      </c>
      <c r="O96" s="10" t="s">
        <v>4129</v>
      </c>
      <c r="P96" s="10" t="s">
        <v>508</v>
      </c>
      <c r="Q96" s="21">
        <v>45971</v>
      </c>
      <c r="R96" s="10" t="s">
        <v>4805</v>
      </c>
      <c r="S96" s="21" t="s">
        <v>626</v>
      </c>
      <c r="T96" s="21" t="s">
        <v>626</v>
      </c>
      <c r="U96" s="92" t="s">
        <v>626</v>
      </c>
      <c r="V96" s="10" t="s">
        <v>626</v>
      </c>
      <c r="W96" s="10"/>
      <c r="X96" s="21"/>
      <c r="Y96" s="10"/>
      <c r="Z96" s="10"/>
      <c r="AA96" s="21"/>
      <c r="AB96" s="95"/>
      <c r="AC96" s="10"/>
      <c r="AD96" s="10"/>
      <c r="AE96" s="21"/>
      <c r="AF96" s="10"/>
      <c r="AG96" s="10"/>
      <c r="AH96" s="21"/>
      <c r="AI96" s="95"/>
      <c r="AJ96" s="10"/>
      <c r="AK96" s="10"/>
      <c r="AL96" s="17"/>
      <c r="AM96" s="11"/>
      <c r="AN96" s="11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1"/>
      <c r="BF96" s="259"/>
    </row>
    <row r="97" spans="1:58" s="381" customFormat="1" ht="42" customHeight="1" x14ac:dyDescent="0.25">
      <c r="A97" s="442" t="s">
        <v>3256</v>
      </c>
      <c r="B97" s="58" t="s">
        <v>508</v>
      </c>
      <c r="C97" s="127" t="s">
        <v>627</v>
      </c>
      <c r="D97" s="12" t="s">
        <v>4207</v>
      </c>
      <c r="E97" s="12" t="s">
        <v>4208</v>
      </c>
      <c r="F97" s="16" t="s">
        <v>4209</v>
      </c>
      <c r="G97" s="10" t="s">
        <v>30</v>
      </c>
      <c r="H97" s="10" t="s">
        <v>277</v>
      </c>
      <c r="I97" s="16" t="s">
        <v>3</v>
      </c>
      <c r="J97" s="53">
        <v>45917</v>
      </c>
      <c r="K97" s="13" t="s">
        <v>4210</v>
      </c>
      <c r="L97" s="53">
        <f t="shared" ref="L97:L104" si="25">J97+7</f>
        <v>45924</v>
      </c>
      <c r="M97" s="53">
        <v>45927</v>
      </c>
      <c r="N97" s="92">
        <f>M97-L97</f>
        <v>3</v>
      </c>
      <c r="O97" s="10" t="s">
        <v>4220</v>
      </c>
      <c r="P97" s="10" t="s">
        <v>508</v>
      </c>
      <c r="Q97" s="21">
        <v>45971</v>
      </c>
      <c r="R97" s="10" t="s">
        <v>4904</v>
      </c>
      <c r="S97" s="21" t="s">
        <v>626</v>
      </c>
      <c r="T97" s="21" t="s">
        <v>626</v>
      </c>
      <c r="U97" s="92" t="s">
        <v>626</v>
      </c>
      <c r="V97" s="10" t="s">
        <v>626</v>
      </c>
      <c r="W97" s="10"/>
      <c r="X97" s="21"/>
      <c r="Y97" s="10"/>
      <c r="Z97" s="10"/>
      <c r="AA97" s="21"/>
      <c r="AB97" s="95"/>
      <c r="AC97" s="10"/>
      <c r="AD97" s="10"/>
      <c r="AE97" s="21"/>
      <c r="AF97" s="10"/>
      <c r="AG97" s="10"/>
      <c r="AH97" s="21"/>
      <c r="AI97" s="95"/>
      <c r="AJ97" s="10"/>
      <c r="AK97" s="10"/>
      <c r="AL97" s="17"/>
      <c r="AM97" s="11"/>
      <c r="AN97" s="11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1"/>
      <c r="BF97" s="259"/>
    </row>
    <row r="98" spans="1:58" s="381" customFormat="1" ht="42" customHeight="1" x14ac:dyDescent="0.25">
      <c r="A98" s="442" t="s">
        <v>3256</v>
      </c>
      <c r="B98" s="58" t="s">
        <v>508</v>
      </c>
      <c r="C98" s="127" t="s">
        <v>627</v>
      </c>
      <c r="D98" s="12" t="s">
        <v>4271</v>
      </c>
      <c r="E98" s="12" t="s">
        <v>4272</v>
      </c>
      <c r="F98" s="16" t="s">
        <v>4274</v>
      </c>
      <c r="G98" s="10" t="s">
        <v>30</v>
      </c>
      <c r="H98" s="10" t="s">
        <v>277</v>
      </c>
      <c r="I98" s="16" t="s">
        <v>3</v>
      </c>
      <c r="J98" s="53">
        <v>45922</v>
      </c>
      <c r="K98" s="13" t="s">
        <v>4273</v>
      </c>
      <c r="L98" s="53">
        <f t="shared" si="25"/>
        <v>45929</v>
      </c>
      <c r="M98" s="53">
        <v>45935</v>
      </c>
      <c r="N98" s="92">
        <f t="shared" si="17"/>
        <v>6</v>
      </c>
      <c r="O98" s="10" t="s">
        <v>4287</v>
      </c>
      <c r="P98" s="10" t="s">
        <v>3</v>
      </c>
      <c r="Q98" s="21">
        <v>45976</v>
      </c>
      <c r="R98" s="10" t="s">
        <v>4906</v>
      </c>
      <c r="S98" s="21">
        <f t="shared" ref="S98:S107" si="26">Q98+7</f>
        <v>45983</v>
      </c>
      <c r="T98" s="21">
        <v>45979</v>
      </c>
      <c r="U98" s="92">
        <f t="shared" ref="U98:U107" si="27">T98-S98</f>
        <v>-4</v>
      </c>
      <c r="V98" s="10" t="s">
        <v>4933</v>
      </c>
      <c r="W98" s="11" t="s">
        <v>3</v>
      </c>
      <c r="X98" s="21">
        <v>46007</v>
      </c>
      <c r="Y98" s="10" t="s">
        <v>5288</v>
      </c>
      <c r="Z98" s="21">
        <f t="shared" ref="Z98:Z105" si="28">X98+7</f>
        <v>46014</v>
      </c>
      <c r="AA98" s="21">
        <v>46015</v>
      </c>
      <c r="AB98" s="92">
        <f t="shared" ref="AB98:AB105" si="29">AA98-Z98</f>
        <v>1</v>
      </c>
      <c r="AC98" s="10" t="s">
        <v>5309</v>
      </c>
      <c r="AD98" s="10" t="s">
        <v>508</v>
      </c>
      <c r="AE98" s="21">
        <v>46070</v>
      </c>
      <c r="AF98" s="10" t="s">
        <v>5862</v>
      </c>
      <c r="AG98" s="10" t="s">
        <v>626</v>
      </c>
      <c r="AH98" s="21" t="s">
        <v>626</v>
      </c>
      <c r="AI98" s="95" t="s">
        <v>626</v>
      </c>
      <c r="AJ98" s="10" t="s">
        <v>626</v>
      </c>
      <c r="AK98" s="10"/>
      <c r="AL98" s="17"/>
      <c r="AM98" s="11"/>
      <c r="AN98" s="11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1"/>
      <c r="BF98" s="259"/>
    </row>
    <row r="99" spans="1:58" s="381" customFormat="1" ht="42" customHeight="1" x14ac:dyDescent="0.25">
      <c r="A99" s="442" t="s">
        <v>3256</v>
      </c>
      <c r="B99" s="11" t="s">
        <v>5</v>
      </c>
      <c r="C99" s="56" t="s">
        <v>2384</v>
      </c>
      <c r="D99" s="12" t="s">
        <v>4297</v>
      </c>
      <c r="E99" s="12" t="s">
        <v>4298</v>
      </c>
      <c r="F99" s="16" t="s">
        <v>6725</v>
      </c>
      <c r="G99" s="10" t="s">
        <v>30</v>
      </c>
      <c r="H99" s="10" t="s">
        <v>277</v>
      </c>
      <c r="I99" s="16" t="s">
        <v>3</v>
      </c>
      <c r="J99" s="53">
        <v>45924</v>
      </c>
      <c r="K99" s="13" t="s">
        <v>4299</v>
      </c>
      <c r="L99" s="53">
        <f t="shared" si="25"/>
        <v>45931</v>
      </c>
      <c r="M99" s="53">
        <v>45935</v>
      </c>
      <c r="N99" s="92">
        <f t="shared" si="17"/>
        <v>4</v>
      </c>
      <c r="O99" s="10" t="s">
        <v>4308</v>
      </c>
      <c r="P99" s="11" t="s">
        <v>3</v>
      </c>
      <c r="Q99" s="21">
        <v>45985</v>
      </c>
      <c r="R99" s="10" t="s">
        <v>5043</v>
      </c>
      <c r="S99" s="21">
        <f t="shared" si="26"/>
        <v>45992</v>
      </c>
      <c r="T99" s="21">
        <v>45993</v>
      </c>
      <c r="U99" s="92">
        <f t="shared" si="27"/>
        <v>1</v>
      </c>
      <c r="V99" s="10" t="s">
        <v>5044</v>
      </c>
      <c r="W99" s="10" t="s">
        <v>3</v>
      </c>
      <c r="X99" s="21">
        <v>46023</v>
      </c>
      <c r="Y99" s="10" t="s">
        <v>5439</v>
      </c>
      <c r="Z99" s="21">
        <f t="shared" si="28"/>
        <v>46030</v>
      </c>
      <c r="AA99" s="21">
        <v>46034</v>
      </c>
      <c r="AB99" s="92">
        <f t="shared" si="29"/>
        <v>4</v>
      </c>
      <c r="AC99" s="10" t="s">
        <v>5444</v>
      </c>
      <c r="AD99" s="10" t="s">
        <v>3</v>
      </c>
      <c r="AE99" s="21">
        <v>46091</v>
      </c>
      <c r="AF99" s="10" t="s">
        <v>6009</v>
      </c>
      <c r="AG99" s="21">
        <f>AE99+7</f>
        <v>46098</v>
      </c>
      <c r="AH99" s="21">
        <v>46099</v>
      </c>
      <c r="AI99" s="92">
        <f>AH99-AG99</f>
        <v>1</v>
      </c>
      <c r="AJ99" s="10" t="s">
        <v>6015</v>
      </c>
      <c r="AK99" s="10" t="s">
        <v>18</v>
      </c>
      <c r="AL99" s="17">
        <v>46153</v>
      </c>
      <c r="AM99" s="149" t="s">
        <v>6724</v>
      </c>
      <c r="AN99" s="21">
        <f>AL99+7</f>
        <v>46160</v>
      </c>
      <c r="AO99" s="21">
        <v>46161</v>
      </c>
      <c r="AP99" s="92">
        <f>AO99-AN99</f>
        <v>1</v>
      </c>
      <c r="AQ99" s="17" t="s">
        <v>6728</v>
      </c>
      <c r="AR99" s="17" t="s">
        <v>5</v>
      </c>
      <c r="AS99" s="17">
        <v>46166</v>
      </c>
      <c r="AT99" s="17" t="s">
        <v>6905</v>
      </c>
      <c r="AU99" s="21">
        <f>AS99+7</f>
        <v>46173</v>
      </c>
      <c r="AV99" s="21">
        <v>46175</v>
      </c>
      <c r="AW99" s="92">
        <f>AV99-AU99</f>
        <v>2</v>
      </c>
      <c r="AX99" s="17" t="s">
        <v>6914</v>
      </c>
      <c r="AY99" s="17"/>
      <c r="AZ99" s="17"/>
      <c r="BA99" s="17"/>
      <c r="BB99" s="17"/>
      <c r="BC99" s="17"/>
      <c r="BD99" s="17"/>
      <c r="BE99" s="11"/>
      <c r="BF99" s="259"/>
    </row>
    <row r="100" spans="1:58" s="381" customFormat="1" ht="42" customHeight="1" x14ac:dyDescent="0.25">
      <c r="A100" s="442" t="s">
        <v>3256</v>
      </c>
      <c r="B100" s="11" t="s">
        <v>5</v>
      </c>
      <c r="C100" s="56" t="s">
        <v>725</v>
      </c>
      <c r="D100" s="12" t="s">
        <v>4315</v>
      </c>
      <c r="E100" s="12" t="s">
        <v>4317</v>
      </c>
      <c r="F100" s="16" t="s">
        <v>4316</v>
      </c>
      <c r="G100" s="10" t="s">
        <v>30</v>
      </c>
      <c r="H100" s="10" t="s">
        <v>277</v>
      </c>
      <c r="I100" s="16" t="s">
        <v>3</v>
      </c>
      <c r="J100" s="53">
        <v>45927</v>
      </c>
      <c r="K100" s="13" t="s">
        <v>4318</v>
      </c>
      <c r="L100" s="53">
        <f t="shared" si="25"/>
        <v>45934</v>
      </c>
      <c r="M100" s="53">
        <v>45936</v>
      </c>
      <c r="N100" s="92">
        <f t="shared" si="17"/>
        <v>2</v>
      </c>
      <c r="O100" s="10" t="s">
        <v>4323</v>
      </c>
      <c r="P100" s="10" t="s">
        <v>18</v>
      </c>
      <c r="Q100" s="21">
        <v>45981</v>
      </c>
      <c r="R100" s="10" t="s">
        <v>5000</v>
      </c>
      <c r="S100" s="53">
        <f t="shared" si="26"/>
        <v>45988</v>
      </c>
      <c r="T100" s="21">
        <v>46006</v>
      </c>
      <c r="U100" s="92">
        <f t="shared" si="27"/>
        <v>18</v>
      </c>
      <c r="V100" s="10" t="s">
        <v>5247</v>
      </c>
      <c r="W100" s="10" t="s">
        <v>18</v>
      </c>
      <c r="X100" s="21">
        <v>46063</v>
      </c>
      <c r="Y100" s="10" t="s">
        <v>5809</v>
      </c>
      <c r="Z100" s="21">
        <f t="shared" si="28"/>
        <v>46070</v>
      </c>
      <c r="AA100" s="21">
        <v>46072</v>
      </c>
      <c r="AB100" s="92">
        <f t="shared" si="29"/>
        <v>2</v>
      </c>
      <c r="AC100" s="10" t="s">
        <v>5813</v>
      </c>
      <c r="AD100" s="10" t="s">
        <v>5</v>
      </c>
      <c r="AE100" s="21">
        <v>46211</v>
      </c>
      <c r="AF100" s="10" t="s">
        <v>7247</v>
      </c>
      <c r="AG100" s="53">
        <f>AE100+7</f>
        <v>46218</v>
      </c>
      <c r="AH100" s="21">
        <v>46229</v>
      </c>
      <c r="AI100" s="92">
        <f>AH100-AG100</f>
        <v>11</v>
      </c>
      <c r="AJ100" s="10" t="s">
        <v>7255</v>
      </c>
      <c r="AK100" s="10"/>
      <c r="AL100" s="17"/>
      <c r="AM100" s="11"/>
      <c r="AN100" s="11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1"/>
      <c r="BF100" s="259"/>
    </row>
    <row r="101" spans="1:58" s="381" customFormat="1" ht="42" customHeight="1" x14ac:dyDescent="0.25">
      <c r="A101" s="442" t="s">
        <v>3256</v>
      </c>
      <c r="B101" s="11" t="s">
        <v>5</v>
      </c>
      <c r="C101" s="56" t="s">
        <v>725</v>
      </c>
      <c r="D101" s="12" t="s">
        <v>4341</v>
      </c>
      <c r="E101" s="12" t="s">
        <v>4342</v>
      </c>
      <c r="F101" s="16" t="s">
        <v>4344</v>
      </c>
      <c r="G101" s="10" t="s">
        <v>30</v>
      </c>
      <c r="H101" s="10" t="s">
        <v>277</v>
      </c>
      <c r="I101" s="16" t="s">
        <v>3</v>
      </c>
      <c r="J101" s="53">
        <v>45929</v>
      </c>
      <c r="K101" s="13" t="s">
        <v>4345</v>
      </c>
      <c r="L101" s="53">
        <f t="shared" si="25"/>
        <v>45936</v>
      </c>
      <c r="M101" s="53">
        <v>45935</v>
      </c>
      <c r="N101" s="92">
        <f t="shared" si="17"/>
        <v>-1</v>
      </c>
      <c r="O101" s="59" t="s">
        <v>4343</v>
      </c>
      <c r="P101" s="10" t="s">
        <v>18</v>
      </c>
      <c r="Q101" s="21">
        <v>45946</v>
      </c>
      <c r="R101" s="10" t="s">
        <v>4498</v>
      </c>
      <c r="S101" s="53">
        <f t="shared" si="26"/>
        <v>45953</v>
      </c>
      <c r="T101" s="21">
        <v>45953</v>
      </c>
      <c r="U101" s="92">
        <f t="shared" si="27"/>
        <v>0</v>
      </c>
      <c r="V101" s="10" t="s">
        <v>4505</v>
      </c>
      <c r="W101" s="10" t="s">
        <v>18</v>
      </c>
      <c r="X101" s="21">
        <v>46058</v>
      </c>
      <c r="Y101" s="10" t="s">
        <v>5770</v>
      </c>
      <c r="Z101" s="21">
        <f t="shared" si="28"/>
        <v>46065</v>
      </c>
      <c r="AA101" s="21">
        <v>46069</v>
      </c>
      <c r="AB101" s="92">
        <f t="shared" si="29"/>
        <v>4</v>
      </c>
      <c r="AC101" s="10" t="s">
        <v>5814</v>
      </c>
      <c r="AD101" s="10" t="s">
        <v>5</v>
      </c>
      <c r="AE101" s="21">
        <v>46210</v>
      </c>
      <c r="AF101" s="10" t="s">
        <v>7232</v>
      </c>
      <c r="AG101" s="53">
        <f>AE101+7</f>
        <v>46217</v>
      </c>
      <c r="AH101" s="21">
        <v>46215</v>
      </c>
      <c r="AI101" s="92">
        <f>AH101-AG101</f>
        <v>-2</v>
      </c>
      <c r="AJ101" s="10" t="s">
        <v>7238</v>
      </c>
      <c r="AK101" s="10"/>
      <c r="AL101" s="17"/>
      <c r="AM101" s="11"/>
      <c r="AN101" s="11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1"/>
      <c r="BF101" s="259"/>
    </row>
    <row r="102" spans="1:58" s="381" customFormat="1" ht="42" customHeight="1" x14ac:dyDescent="0.25">
      <c r="A102" s="442" t="s">
        <v>3256</v>
      </c>
      <c r="B102" s="11" t="s">
        <v>18</v>
      </c>
      <c r="C102" s="56" t="s">
        <v>588</v>
      </c>
      <c r="D102" s="12" t="s">
        <v>4386</v>
      </c>
      <c r="E102" s="12" t="s">
        <v>4387</v>
      </c>
      <c r="F102" s="16" t="s">
        <v>4388</v>
      </c>
      <c r="G102" s="10" t="s">
        <v>30</v>
      </c>
      <c r="H102" s="10" t="s">
        <v>277</v>
      </c>
      <c r="I102" s="16" t="s">
        <v>3</v>
      </c>
      <c r="J102" s="53">
        <v>45935</v>
      </c>
      <c r="K102" s="13" t="s">
        <v>4389</v>
      </c>
      <c r="L102" s="53">
        <f t="shared" si="25"/>
        <v>45942</v>
      </c>
      <c r="M102" s="53">
        <v>45942</v>
      </c>
      <c r="N102" s="92">
        <f t="shared" si="17"/>
        <v>0</v>
      </c>
      <c r="O102" s="10" t="s">
        <v>4398</v>
      </c>
      <c r="P102" s="10" t="s">
        <v>18</v>
      </c>
      <c r="Q102" s="21">
        <v>45966</v>
      </c>
      <c r="R102" s="10" t="s">
        <v>4749</v>
      </c>
      <c r="S102" s="53">
        <f t="shared" si="26"/>
        <v>45973</v>
      </c>
      <c r="T102" s="21">
        <v>45974</v>
      </c>
      <c r="U102" s="92">
        <f t="shared" si="27"/>
        <v>1</v>
      </c>
      <c r="V102" s="10" t="s">
        <v>4763</v>
      </c>
      <c r="W102" s="10" t="s">
        <v>18</v>
      </c>
      <c r="X102" s="21">
        <v>46210</v>
      </c>
      <c r="Y102" s="10" t="s">
        <v>7236</v>
      </c>
      <c r="Z102" s="21">
        <f t="shared" si="28"/>
        <v>46217</v>
      </c>
      <c r="AA102" s="21">
        <v>46225</v>
      </c>
      <c r="AB102" s="92">
        <f t="shared" si="29"/>
        <v>8</v>
      </c>
      <c r="AC102" s="10" t="s">
        <v>7240</v>
      </c>
      <c r="AD102" s="10"/>
      <c r="AE102" s="21"/>
      <c r="AF102" s="10"/>
      <c r="AG102" s="10"/>
      <c r="AH102" s="21"/>
      <c r="AI102" s="95"/>
      <c r="AJ102" s="10"/>
      <c r="AK102" s="10"/>
      <c r="AL102" s="17"/>
      <c r="AM102" s="11"/>
      <c r="AN102" s="11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1"/>
      <c r="BF102" s="259"/>
    </row>
    <row r="103" spans="1:58" s="381" customFormat="1" ht="42" customHeight="1" x14ac:dyDescent="0.25">
      <c r="A103" s="442" t="s">
        <v>3256</v>
      </c>
      <c r="B103" s="11" t="s">
        <v>5</v>
      </c>
      <c r="C103" s="56" t="s">
        <v>588</v>
      </c>
      <c r="D103" s="12" t="s">
        <v>4443</v>
      </c>
      <c r="E103" s="12" t="s">
        <v>4444</v>
      </c>
      <c r="F103" s="16" t="s">
        <v>7148</v>
      </c>
      <c r="G103" s="10" t="s">
        <v>30</v>
      </c>
      <c r="H103" s="10" t="s">
        <v>277</v>
      </c>
      <c r="I103" s="16" t="s">
        <v>3</v>
      </c>
      <c r="J103" s="53">
        <v>45942</v>
      </c>
      <c r="K103" s="13" t="s">
        <v>4445</v>
      </c>
      <c r="L103" s="53">
        <f t="shared" si="25"/>
        <v>45949</v>
      </c>
      <c r="M103" s="53">
        <v>45950</v>
      </c>
      <c r="N103" s="92">
        <f t="shared" si="17"/>
        <v>1</v>
      </c>
      <c r="O103" s="10" t="s">
        <v>4454</v>
      </c>
      <c r="P103" s="10" t="s">
        <v>18</v>
      </c>
      <c r="Q103" s="21">
        <v>46120</v>
      </c>
      <c r="R103" s="10" t="s">
        <v>6303</v>
      </c>
      <c r="S103" s="53">
        <f t="shared" si="26"/>
        <v>46127</v>
      </c>
      <c r="T103" s="21">
        <v>46126</v>
      </c>
      <c r="U103" s="92">
        <f t="shared" si="27"/>
        <v>-1</v>
      </c>
      <c r="V103" s="10" t="s">
        <v>6306</v>
      </c>
      <c r="W103" s="10" t="s">
        <v>5</v>
      </c>
      <c r="X103" s="21">
        <v>46203</v>
      </c>
      <c r="Y103" s="10" t="s">
        <v>7149</v>
      </c>
      <c r="Z103" s="21">
        <f t="shared" si="28"/>
        <v>46210</v>
      </c>
      <c r="AA103" s="21">
        <v>46209</v>
      </c>
      <c r="AB103" s="92">
        <f t="shared" si="29"/>
        <v>-1</v>
      </c>
      <c r="AC103" s="10" t="s">
        <v>7162</v>
      </c>
      <c r="AD103" s="10"/>
      <c r="AE103" s="21"/>
      <c r="AF103" s="10"/>
      <c r="AG103" s="10"/>
      <c r="AH103" s="21"/>
      <c r="AI103" s="95"/>
      <c r="AJ103" s="10"/>
      <c r="AK103" s="10"/>
      <c r="AL103" s="17"/>
      <c r="AM103" s="11"/>
      <c r="AN103" s="11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1"/>
      <c r="BF103" s="259"/>
    </row>
    <row r="104" spans="1:58" s="381" customFormat="1" ht="42" customHeight="1" x14ac:dyDescent="0.25">
      <c r="A104" s="442" t="s">
        <v>3256</v>
      </c>
      <c r="B104" s="11" t="s">
        <v>5</v>
      </c>
      <c r="C104" s="56" t="s">
        <v>2456</v>
      </c>
      <c r="D104" s="12" t="s">
        <v>4447</v>
      </c>
      <c r="E104" s="12" t="s">
        <v>4448</v>
      </c>
      <c r="F104" s="16" t="s">
        <v>4446</v>
      </c>
      <c r="G104" s="10" t="s">
        <v>30</v>
      </c>
      <c r="H104" s="10" t="s">
        <v>277</v>
      </c>
      <c r="I104" s="16" t="s">
        <v>18</v>
      </c>
      <c r="J104" s="53">
        <v>45942</v>
      </c>
      <c r="K104" s="13" t="s">
        <v>4449</v>
      </c>
      <c r="L104" s="53">
        <f t="shared" si="25"/>
        <v>45949</v>
      </c>
      <c r="M104" s="53">
        <v>45950</v>
      </c>
      <c r="N104" s="92">
        <f t="shared" si="17"/>
        <v>1</v>
      </c>
      <c r="O104" s="10" t="s">
        <v>4455</v>
      </c>
      <c r="P104" s="10" t="s">
        <v>18</v>
      </c>
      <c r="Q104" s="21">
        <v>46131</v>
      </c>
      <c r="R104" s="10" t="s">
        <v>6447</v>
      </c>
      <c r="S104" s="53">
        <f t="shared" si="26"/>
        <v>46138</v>
      </c>
      <c r="T104" s="21">
        <v>46135</v>
      </c>
      <c r="U104" s="92">
        <f t="shared" si="27"/>
        <v>-3</v>
      </c>
      <c r="V104" s="10" t="s">
        <v>6454</v>
      </c>
      <c r="W104" s="10" t="s">
        <v>18</v>
      </c>
      <c r="X104" s="21">
        <v>46140</v>
      </c>
      <c r="Y104" s="10" t="s">
        <v>6564</v>
      </c>
      <c r="Z104" s="21">
        <f t="shared" si="28"/>
        <v>46147</v>
      </c>
      <c r="AA104" s="21">
        <v>46149</v>
      </c>
      <c r="AB104" s="92">
        <f t="shared" si="29"/>
        <v>2</v>
      </c>
      <c r="AC104" s="10" t="s">
        <v>6581</v>
      </c>
      <c r="AD104" s="10" t="s">
        <v>18</v>
      </c>
      <c r="AE104" s="21">
        <v>46154</v>
      </c>
      <c r="AF104" s="10" t="s">
        <v>6756</v>
      </c>
      <c r="AG104" s="53">
        <f>AE104+7</f>
        <v>46161</v>
      </c>
      <c r="AH104" s="21">
        <v>46160</v>
      </c>
      <c r="AI104" s="92">
        <f>AH104-AG104</f>
        <v>-1</v>
      </c>
      <c r="AJ104" s="10" t="s">
        <v>6772</v>
      </c>
      <c r="AK104" s="10" t="s">
        <v>5</v>
      </c>
      <c r="AL104" s="17">
        <v>46205</v>
      </c>
      <c r="AM104" s="11" t="s">
        <v>7183</v>
      </c>
      <c r="AN104" s="53">
        <f>AL104+7</f>
        <v>46212</v>
      </c>
      <c r="AO104" s="21">
        <v>46215</v>
      </c>
      <c r="AP104" s="92">
        <f>AO104-AN104</f>
        <v>3</v>
      </c>
      <c r="AQ104" s="17" t="s">
        <v>7186</v>
      </c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1"/>
      <c r="BF104" s="259"/>
    </row>
    <row r="105" spans="1:58" s="381" customFormat="1" ht="42" customHeight="1" x14ac:dyDescent="0.25">
      <c r="A105" s="442" t="s">
        <v>3256</v>
      </c>
      <c r="B105" s="11" t="s">
        <v>5</v>
      </c>
      <c r="C105" s="56" t="s">
        <v>725</v>
      </c>
      <c r="D105" s="12" t="s">
        <v>4597</v>
      </c>
      <c r="E105" s="12" t="s">
        <v>4598</v>
      </c>
      <c r="F105" s="16" t="s">
        <v>4599</v>
      </c>
      <c r="G105" s="10" t="s">
        <v>30</v>
      </c>
      <c r="H105" s="10" t="s">
        <v>277</v>
      </c>
      <c r="I105" s="16" t="s">
        <v>3</v>
      </c>
      <c r="J105" s="53">
        <v>45955</v>
      </c>
      <c r="K105" s="13" t="s">
        <v>4600</v>
      </c>
      <c r="L105" s="53">
        <f t="shared" ref="L105:L110" si="30">J105+7</f>
        <v>45962</v>
      </c>
      <c r="M105" s="53">
        <v>45964</v>
      </c>
      <c r="N105" s="92">
        <f t="shared" si="17"/>
        <v>2</v>
      </c>
      <c r="O105" s="10" t="s">
        <v>4604</v>
      </c>
      <c r="P105" s="10" t="s">
        <v>18</v>
      </c>
      <c r="Q105" s="21">
        <v>45986</v>
      </c>
      <c r="R105" s="10" t="s">
        <v>5052</v>
      </c>
      <c r="S105" s="53">
        <f t="shared" si="26"/>
        <v>45993</v>
      </c>
      <c r="T105" s="21">
        <v>45993</v>
      </c>
      <c r="U105" s="92">
        <f t="shared" si="27"/>
        <v>0</v>
      </c>
      <c r="V105" s="10" t="s">
        <v>5059</v>
      </c>
      <c r="W105" s="10" t="s">
        <v>18</v>
      </c>
      <c r="X105" s="21">
        <v>46126</v>
      </c>
      <c r="Y105" s="10" t="s">
        <v>6386</v>
      </c>
      <c r="Z105" s="21">
        <f t="shared" si="28"/>
        <v>46133</v>
      </c>
      <c r="AA105" s="21">
        <v>46138</v>
      </c>
      <c r="AB105" s="92">
        <f t="shared" si="29"/>
        <v>5</v>
      </c>
      <c r="AC105" s="10" t="s">
        <v>6390</v>
      </c>
      <c r="AD105" s="10" t="s">
        <v>5</v>
      </c>
      <c r="AE105" s="21">
        <v>46140</v>
      </c>
      <c r="AF105" s="10" t="s">
        <v>6565</v>
      </c>
      <c r="AG105" s="53">
        <f>AE105+7</f>
        <v>46147</v>
      </c>
      <c r="AH105" s="21">
        <v>46151</v>
      </c>
      <c r="AI105" s="92">
        <f>AH105-AG105</f>
        <v>4</v>
      </c>
      <c r="AJ105" s="10" t="s">
        <v>6582</v>
      </c>
      <c r="AK105" s="10"/>
      <c r="AL105" s="17"/>
      <c r="AM105" s="11"/>
      <c r="AN105" s="11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1"/>
      <c r="BF105" s="259"/>
    </row>
    <row r="106" spans="1:58" s="381" customFormat="1" ht="42" customHeight="1" x14ac:dyDescent="0.25">
      <c r="A106" s="442" t="s">
        <v>3256</v>
      </c>
      <c r="B106" s="11" t="s">
        <v>5</v>
      </c>
      <c r="C106" s="56" t="s">
        <v>208</v>
      </c>
      <c r="D106" s="12" t="s">
        <v>4607</v>
      </c>
      <c r="E106" s="12" t="s">
        <v>4608</v>
      </c>
      <c r="F106" s="16" t="s">
        <v>4606</v>
      </c>
      <c r="G106" s="10" t="s">
        <v>30</v>
      </c>
      <c r="H106" s="10" t="s">
        <v>277</v>
      </c>
      <c r="I106" s="16" t="s">
        <v>18</v>
      </c>
      <c r="J106" s="53">
        <v>45956</v>
      </c>
      <c r="K106" s="13" t="s">
        <v>4609</v>
      </c>
      <c r="L106" s="53">
        <f t="shared" si="30"/>
        <v>45963</v>
      </c>
      <c r="M106" s="53">
        <v>45965</v>
      </c>
      <c r="N106" s="92">
        <f t="shared" ref="N106:N114" si="31">M106-L106</f>
        <v>2</v>
      </c>
      <c r="O106" s="10" t="s">
        <v>4613</v>
      </c>
      <c r="P106" s="10" t="s">
        <v>5</v>
      </c>
      <c r="Q106" s="21">
        <v>46058</v>
      </c>
      <c r="R106" s="10" t="s">
        <v>5769</v>
      </c>
      <c r="S106" s="53">
        <f t="shared" si="26"/>
        <v>46065</v>
      </c>
      <c r="T106" s="21">
        <v>46069</v>
      </c>
      <c r="U106" s="92">
        <f t="shared" si="27"/>
        <v>4</v>
      </c>
      <c r="V106" s="10" t="s">
        <v>5783</v>
      </c>
      <c r="W106" s="10"/>
      <c r="X106" s="21"/>
      <c r="Y106" s="10"/>
      <c r="Z106" s="10"/>
      <c r="AA106" s="21"/>
      <c r="AB106" s="95"/>
      <c r="AC106" s="10"/>
      <c r="AD106" s="10"/>
      <c r="AE106" s="21"/>
      <c r="AF106" s="10"/>
      <c r="AG106" s="10"/>
      <c r="AH106" s="21"/>
      <c r="AI106" s="95"/>
      <c r="AJ106" s="10"/>
      <c r="AK106" s="10"/>
      <c r="AL106" s="17"/>
      <c r="AM106" s="11"/>
      <c r="AN106" s="11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1"/>
      <c r="BF106" s="259"/>
    </row>
    <row r="107" spans="1:58" s="381" customFormat="1" ht="42" customHeight="1" x14ac:dyDescent="0.25">
      <c r="A107" s="442" t="s">
        <v>3256</v>
      </c>
      <c r="B107" s="11" t="s">
        <v>18</v>
      </c>
      <c r="C107" s="56" t="s">
        <v>725</v>
      </c>
      <c r="D107" s="12" t="s">
        <v>4624</v>
      </c>
      <c r="E107" s="12" t="s">
        <v>4623</v>
      </c>
      <c r="F107" s="16" t="s">
        <v>4622</v>
      </c>
      <c r="G107" s="10" t="s">
        <v>30</v>
      </c>
      <c r="H107" s="10" t="s">
        <v>277</v>
      </c>
      <c r="I107" s="16" t="s">
        <v>3</v>
      </c>
      <c r="J107" s="53">
        <v>45958</v>
      </c>
      <c r="K107" s="13" t="s">
        <v>4625</v>
      </c>
      <c r="L107" s="53">
        <f t="shared" si="30"/>
        <v>45965</v>
      </c>
      <c r="M107" s="53">
        <v>45966</v>
      </c>
      <c r="N107" s="92">
        <f t="shared" si="31"/>
        <v>1</v>
      </c>
      <c r="O107" s="10" t="s">
        <v>4631</v>
      </c>
      <c r="P107" s="10" t="s">
        <v>18</v>
      </c>
      <c r="Q107" s="21">
        <v>45973</v>
      </c>
      <c r="R107" s="10" t="s">
        <v>4868</v>
      </c>
      <c r="S107" s="53">
        <f t="shared" si="26"/>
        <v>45980</v>
      </c>
      <c r="T107" s="21">
        <v>45981</v>
      </c>
      <c r="U107" s="92">
        <f t="shared" si="27"/>
        <v>1</v>
      </c>
      <c r="V107" s="10" t="s">
        <v>4879</v>
      </c>
      <c r="W107" s="10" t="s">
        <v>18</v>
      </c>
      <c r="X107" s="21">
        <v>46147</v>
      </c>
      <c r="Y107" s="10" t="s">
        <v>6662</v>
      </c>
      <c r="Z107" s="21">
        <f>X107+7</f>
        <v>46154</v>
      </c>
      <c r="AA107" s="21">
        <v>46155</v>
      </c>
      <c r="AB107" s="92">
        <f>AA107-Z107</f>
        <v>1</v>
      </c>
      <c r="AC107" s="10" t="s">
        <v>6674</v>
      </c>
      <c r="AD107" s="10" t="s">
        <v>18</v>
      </c>
      <c r="AE107" s="21">
        <v>46156</v>
      </c>
      <c r="AF107" s="10" t="s">
        <v>6795</v>
      </c>
      <c r="AG107" s="53">
        <f>AE107+7</f>
        <v>46163</v>
      </c>
      <c r="AH107" s="21">
        <v>46173</v>
      </c>
      <c r="AI107" s="92">
        <f>AH107-AG107</f>
        <v>10</v>
      </c>
      <c r="AJ107" s="10" t="s">
        <v>6799</v>
      </c>
      <c r="AK107" s="10"/>
      <c r="AL107" s="17"/>
      <c r="AM107" s="11"/>
      <c r="AN107" s="11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1"/>
      <c r="BF107" s="259"/>
    </row>
    <row r="108" spans="1:58" s="381" customFormat="1" ht="42" customHeight="1" x14ac:dyDescent="0.25">
      <c r="A108" s="442" t="s">
        <v>3256</v>
      </c>
      <c r="B108" s="58" t="s">
        <v>508</v>
      </c>
      <c r="C108" s="127" t="s">
        <v>627</v>
      </c>
      <c r="D108" s="12" t="s">
        <v>4638</v>
      </c>
      <c r="E108" s="12" t="s">
        <v>4637</v>
      </c>
      <c r="F108" s="16" t="s">
        <v>4636</v>
      </c>
      <c r="G108" s="10" t="s">
        <v>30</v>
      </c>
      <c r="H108" s="10" t="s">
        <v>277</v>
      </c>
      <c r="I108" s="16" t="s">
        <v>3</v>
      </c>
      <c r="J108" s="53">
        <v>45959</v>
      </c>
      <c r="K108" s="13" t="s">
        <v>4639</v>
      </c>
      <c r="L108" s="53">
        <f t="shared" si="30"/>
        <v>45966</v>
      </c>
      <c r="M108" s="53">
        <v>45967</v>
      </c>
      <c r="N108" s="92">
        <f t="shared" si="31"/>
        <v>1</v>
      </c>
      <c r="O108" s="10" t="s">
        <v>4640</v>
      </c>
      <c r="P108" s="10" t="s">
        <v>508</v>
      </c>
      <c r="Q108" s="21">
        <v>46250</v>
      </c>
      <c r="R108" s="10" t="s">
        <v>7470</v>
      </c>
      <c r="S108" s="10" t="s">
        <v>626</v>
      </c>
      <c r="T108" s="21" t="s">
        <v>626</v>
      </c>
      <c r="U108" s="95" t="s">
        <v>626</v>
      </c>
      <c r="V108" s="10" t="s">
        <v>626</v>
      </c>
      <c r="W108" s="10"/>
      <c r="X108" s="21"/>
      <c r="Y108" s="10"/>
      <c r="Z108" s="10"/>
      <c r="AA108" s="21"/>
      <c r="AB108" s="95"/>
      <c r="AC108" s="10"/>
      <c r="AD108" s="10"/>
      <c r="AE108" s="21"/>
      <c r="AF108" s="10"/>
      <c r="AG108" s="10"/>
      <c r="AH108" s="21"/>
      <c r="AI108" s="95"/>
      <c r="AJ108" s="10"/>
      <c r="AK108" s="10"/>
      <c r="AL108" s="17"/>
      <c r="AM108" s="11"/>
      <c r="AN108" s="11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1"/>
      <c r="BF108" s="259"/>
    </row>
    <row r="109" spans="1:58" s="381" customFormat="1" ht="42" customHeight="1" x14ac:dyDescent="0.25">
      <c r="A109" s="442" t="s">
        <v>3256</v>
      </c>
      <c r="B109" s="11" t="s">
        <v>5</v>
      </c>
      <c r="C109" s="56" t="s">
        <v>208</v>
      </c>
      <c r="D109" s="12" t="s">
        <v>4919</v>
      </c>
      <c r="E109" s="12" t="s">
        <v>4918</v>
      </c>
      <c r="F109" s="16" t="s">
        <v>4917</v>
      </c>
      <c r="G109" s="10" t="s">
        <v>30</v>
      </c>
      <c r="H109" s="10" t="s">
        <v>277</v>
      </c>
      <c r="I109" s="16" t="s">
        <v>18</v>
      </c>
      <c r="J109" s="53">
        <v>45976</v>
      </c>
      <c r="K109" s="13" t="s">
        <v>4920</v>
      </c>
      <c r="L109" s="53">
        <f t="shared" si="30"/>
        <v>45983</v>
      </c>
      <c r="M109" s="53">
        <v>45985</v>
      </c>
      <c r="N109" s="92">
        <f t="shared" si="31"/>
        <v>2</v>
      </c>
      <c r="O109" s="10" t="s">
        <v>4940</v>
      </c>
      <c r="P109" s="10" t="s">
        <v>5</v>
      </c>
      <c r="Q109" s="21">
        <v>45993</v>
      </c>
      <c r="R109" s="150" t="s">
        <v>5102</v>
      </c>
      <c r="S109" s="53">
        <f>Q109+7</f>
        <v>46000</v>
      </c>
      <c r="T109" s="21">
        <v>46000</v>
      </c>
      <c r="U109" s="92">
        <f>T109-S109</f>
        <v>0</v>
      </c>
      <c r="V109" s="10" t="s">
        <v>5125</v>
      </c>
      <c r="W109" s="10"/>
      <c r="X109" s="21"/>
      <c r="Y109" s="10"/>
      <c r="Z109" s="10"/>
      <c r="AA109" s="21"/>
      <c r="AB109" s="95"/>
      <c r="AC109" s="10"/>
      <c r="AD109" s="10"/>
      <c r="AE109" s="21"/>
      <c r="AF109" s="10"/>
      <c r="AG109" s="10"/>
      <c r="AH109" s="21"/>
      <c r="AI109" s="95"/>
      <c r="AJ109" s="10"/>
      <c r="AK109" s="10"/>
      <c r="AL109" s="17"/>
      <c r="AM109" s="11"/>
      <c r="AN109" s="11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1"/>
      <c r="BF109" s="259"/>
    </row>
    <row r="110" spans="1:58" s="381" customFormat="1" ht="42" customHeight="1" x14ac:dyDescent="0.25">
      <c r="A110" s="442" t="s">
        <v>3256</v>
      </c>
      <c r="B110" s="11" t="s">
        <v>4</v>
      </c>
      <c r="C110" s="56" t="s">
        <v>588</v>
      </c>
      <c r="D110" s="12" t="s">
        <v>5053</v>
      </c>
      <c r="E110" s="12" t="s">
        <v>5054</v>
      </c>
      <c r="F110" s="16" t="s">
        <v>5055</v>
      </c>
      <c r="G110" s="10" t="s">
        <v>30</v>
      </c>
      <c r="H110" s="10" t="s">
        <v>277</v>
      </c>
      <c r="I110" s="16" t="s">
        <v>18</v>
      </c>
      <c r="J110" s="53">
        <v>45987</v>
      </c>
      <c r="K110" s="13" t="s">
        <v>5056</v>
      </c>
      <c r="L110" s="53">
        <f t="shared" si="30"/>
        <v>45994</v>
      </c>
      <c r="M110" s="53">
        <v>45998</v>
      </c>
      <c r="N110" s="92">
        <f t="shared" si="31"/>
        <v>4</v>
      </c>
      <c r="O110" s="10" t="s">
        <v>5060</v>
      </c>
      <c r="P110" s="10" t="s">
        <v>5</v>
      </c>
      <c r="Q110" s="21">
        <v>46145</v>
      </c>
      <c r="R110" s="10" t="s">
        <v>6630</v>
      </c>
      <c r="S110" s="53">
        <f>Q110+7</f>
        <v>46152</v>
      </c>
      <c r="T110" s="21">
        <v>46152</v>
      </c>
      <c r="U110" s="92">
        <f>T110-S110</f>
        <v>0</v>
      </c>
      <c r="V110" s="10" t="s">
        <v>6641</v>
      </c>
      <c r="W110" s="10" t="s">
        <v>4</v>
      </c>
      <c r="X110" s="21">
        <v>46260</v>
      </c>
      <c r="Y110" s="10" t="s">
        <v>7522</v>
      </c>
      <c r="Z110" s="53">
        <f>X110+7</f>
        <v>46267</v>
      </c>
      <c r="AA110" s="21"/>
      <c r="AB110" s="92">
        <f>AA110-Z110</f>
        <v>-46267</v>
      </c>
      <c r="AC110" s="10" t="s">
        <v>7526</v>
      </c>
      <c r="AD110" s="10"/>
      <c r="AE110" s="21"/>
      <c r="AF110" s="10"/>
      <c r="AG110" s="10"/>
      <c r="AH110" s="21"/>
      <c r="AI110" s="95"/>
      <c r="AJ110" s="10"/>
      <c r="AK110" s="10"/>
      <c r="AL110" s="17"/>
      <c r="AM110" s="11"/>
      <c r="AN110" s="11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1"/>
      <c r="BF110" s="259"/>
    </row>
    <row r="111" spans="1:58" s="381" customFormat="1" ht="42" customHeight="1" x14ac:dyDescent="0.25">
      <c r="A111" s="442" t="s">
        <v>3256</v>
      </c>
      <c r="B111" s="57" t="s">
        <v>508</v>
      </c>
      <c r="C111" s="56" t="s">
        <v>627</v>
      </c>
      <c r="D111" s="12" t="s">
        <v>5074</v>
      </c>
      <c r="E111" s="12" t="s">
        <v>5075</v>
      </c>
      <c r="F111" s="16" t="s">
        <v>5077</v>
      </c>
      <c r="G111" s="10" t="s">
        <v>30</v>
      </c>
      <c r="H111" s="10" t="s">
        <v>277</v>
      </c>
      <c r="I111" s="16" t="s">
        <v>3</v>
      </c>
      <c r="J111" s="53">
        <v>45991</v>
      </c>
      <c r="K111" s="13" t="s">
        <v>5076</v>
      </c>
      <c r="L111" s="53">
        <f t="shared" ref="L111:L116" si="32">J111+7</f>
        <v>45998</v>
      </c>
      <c r="M111" s="53">
        <v>45999</v>
      </c>
      <c r="N111" s="92">
        <f t="shared" si="31"/>
        <v>1</v>
      </c>
      <c r="O111" s="10" t="s">
        <v>5082</v>
      </c>
      <c r="P111" s="10" t="s">
        <v>3</v>
      </c>
      <c r="Q111" s="21">
        <v>46023</v>
      </c>
      <c r="R111" s="10" t="s">
        <v>5438</v>
      </c>
      <c r="S111" s="53">
        <f>Q111+7</f>
        <v>46030</v>
      </c>
      <c r="T111" s="21">
        <v>46034</v>
      </c>
      <c r="U111" s="92">
        <f>T111-S111</f>
        <v>4</v>
      </c>
      <c r="V111" s="10" t="s">
        <v>5445</v>
      </c>
      <c r="W111" s="10" t="s">
        <v>508</v>
      </c>
      <c r="X111" s="21">
        <v>46070</v>
      </c>
      <c r="Y111" s="10" t="s">
        <v>5862</v>
      </c>
      <c r="Z111" s="10" t="s">
        <v>626</v>
      </c>
      <c r="AA111" s="21" t="s">
        <v>626</v>
      </c>
      <c r="AB111" s="95" t="s">
        <v>626</v>
      </c>
      <c r="AC111" s="10" t="s">
        <v>626</v>
      </c>
      <c r="AD111" s="10"/>
      <c r="AE111" s="21"/>
      <c r="AF111" s="10"/>
      <c r="AG111" s="10"/>
      <c r="AH111" s="21"/>
      <c r="AI111" s="95"/>
      <c r="AJ111" s="10"/>
      <c r="AK111" s="10"/>
      <c r="AL111" s="17"/>
      <c r="AM111" s="11"/>
      <c r="AN111" s="11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1"/>
      <c r="BF111" s="259"/>
    </row>
    <row r="112" spans="1:58" s="409" customFormat="1" ht="42" customHeight="1" x14ac:dyDescent="0.25">
      <c r="A112" s="424" t="s">
        <v>3256</v>
      </c>
      <c r="B112" s="205" t="s">
        <v>3</v>
      </c>
      <c r="C112" s="188" t="s">
        <v>208</v>
      </c>
      <c r="D112" s="194" t="s">
        <v>5084</v>
      </c>
      <c r="E112" s="194" t="s">
        <v>5085</v>
      </c>
      <c r="F112" s="189" t="s">
        <v>5087</v>
      </c>
      <c r="G112" s="190" t="s">
        <v>30</v>
      </c>
      <c r="H112" s="190" t="s">
        <v>277</v>
      </c>
      <c r="I112" s="189" t="s">
        <v>3</v>
      </c>
      <c r="J112" s="352">
        <v>45991</v>
      </c>
      <c r="K112" s="206" t="s">
        <v>5086</v>
      </c>
      <c r="L112" s="352">
        <f t="shared" si="32"/>
        <v>45998</v>
      </c>
      <c r="M112" s="352">
        <v>46000</v>
      </c>
      <c r="N112" s="191">
        <f t="shared" si="31"/>
        <v>2</v>
      </c>
      <c r="O112" s="190" t="s">
        <v>5095</v>
      </c>
      <c r="P112" s="190" t="s">
        <v>3</v>
      </c>
      <c r="Q112" s="207">
        <v>46027</v>
      </c>
      <c r="R112" s="190" t="s">
        <v>5466</v>
      </c>
      <c r="S112" s="352">
        <f>Q112+7</f>
        <v>46034</v>
      </c>
      <c r="T112" s="207">
        <v>46040</v>
      </c>
      <c r="U112" s="191">
        <f>T112-S112</f>
        <v>6</v>
      </c>
      <c r="V112" s="190" t="s">
        <v>5479</v>
      </c>
      <c r="W112" s="190"/>
      <c r="X112" s="207"/>
      <c r="Y112" s="190"/>
      <c r="Z112" s="190"/>
      <c r="AA112" s="207"/>
      <c r="AB112" s="353"/>
      <c r="AC112" s="190"/>
      <c r="AD112" s="190"/>
      <c r="AE112" s="207"/>
      <c r="AF112" s="190"/>
      <c r="AG112" s="190"/>
      <c r="AH112" s="207"/>
      <c r="AI112" s="353"/>
      <c r="AJ112" s="190"/>
      <c r="AK112" s="190"/>
      <c r="AL112" s="208"/>
      <c r="AM112" s="205"/>
      <c r="AN112" s="205"/>
      <c r="AO112" s="208"/>
      <c r="AP112" s="208"/>
      <c r="AQ112" s="208"/>
      <c r="AR112" s="208"/>
      <c r="AS112" s="208"/>
      <c r="AT112" s="208"/>
      <c r="AU112" s="208"/>
      <c r="AV112" s="208"/>
      <c r="AW112" s="208"/>
      <c r="AX112" s="208"/>
      <c r="AY112" s="208"/>
      <c r="AZ112" s="208"/>
      <c r="BA112" s="208"/>
      <c r="BB112" s="208"/>
      <c r="BC112" s="208"/>
      <c r="BD112" s="208"/>
      <c r="BE112" s="205"/>
      <c r="BF112" s="450"/>
    </row>
    <row r="113" spans="1:58" s="409" customFormat="1" ht="42" customHeight="1" x14ac:dyDescent="0.25">
      <c r="A113" s="424" t="s">
        <v>3256</v>
      </c>
      <c r="B113" s="205" t="s">
        <v>3</v>
      </c>
      <c r="C113" s="205" t="s">
        <v>54</v>
      </c>
      <c r="D113" s="194" t="s">
        <v>5088</v>
      </c>
      <c r="E113" s="194" t="s">
        <v>5089</v>
      </c>
      <c r="F113" s="189" t="s">
        <v>5090</v>
      </c>
      <c r="G113" s="190" t="s">
        <v>30</v>
      </c>
      <c r="H113" s="190" t="s">
        <v>277</v>
      </c>
      <c r="I113" s="189" t="s">
        <v>3</v>
      </c>
      <c r="J113" s="352">
        <v>45991</v>
      </c>
      <c r="K113" s="206" t="s">
        <v>5091</v>
      </c>
      <c r="L113" s="352">
        <f t="shared" si="32"/>
        <v>45998</v>
      </c>
      <c r="M113" s="352">
        <v>46000</v>
      </c>
      <c r="N113" s="191">
        <f t="shared" si="31"/>
        <v>2</v>
      </c>
      <c r="O113" s="190" t="s">
        <v>5096</v>
      </c>
      <c r="P113" s="190"/>
      <c r="Q113" s="207"/>
      <c r="R113" s="190"/>
      <c r="S113" s="190"/>
      <c r="T113" s="207"/>
      <c r="U113" s="353"/>
      <c r="V113" s="190"/>
      <c r="W113" s="190"/>
      <c r="X113" s="207"/>
      <c r="Y113" s="190"/>
      <c r="Z113" s="190"/>
      <c r="AA113" s="207"/>
      <c r="AB113" s="353"/>
      <c r="AC113" s="190"/>
      <c r="AD113" s="190"/>
      <c r="AE113" s="207"/>
      <c r="AF113" s="190"/>
      <c r="AG113" s="190"/>
      <c r="AH113" s="207"/>
      <c r="AI113" s="353"/>
      <c r="AJ113" s="190"/>
      <c r="AK113" s="190"/>
      <c r="AL113" s="208"/>
      <c r="AM113" s="205"/>
      <c r="AN113" s="205"/>
      <c r="AO113" s="208"/>
      <c r="AP113" s="208"/>
      <c r="AQ113" s="208"/>
      <c r="AR113" s="208"/>
      <c r="AS113" s="208"/>
      <c r="AT113" s="208"/>
      <c r="AU113" s="208"/>
      <c r="AV113" s="208"/>
      <c r="AW113" s="208"/>
      <c r="AX113" s="208"/>
      <c r="AY113" s="208"/>
      <c r="AZ113" s="208"/>
      <c r="BA113" s="208"/>
      <c r="BB113" s="208"/>
      <c r="BC113" s="208"/>
      <c r="BD113" s="208"/>
      <c r="BE113" s="205"/>
      <c r="BF113" s="450"/>
    </row>
    <row r="114" spans="1:58" s="381" customFormat="1" ht="42" customHeight="1" x14ac:dyDescent="0.25">
      <c r="A114" s="442" t="s">
        <v>3256</v>
      </c>
      <c r="B114" s="11" t="s">
        <v>5</v>
      </c>
      <c r="C114" s="56" t="s">
        <v>2456</v>
      </c>
      <c r="D114" s="12" t="s">
        <v>5104</v>
      </c>
      <c r="E114" s="12" t="s">
        <v>5105</v>
      </c>
      <c r="F114" s="16" t="s">
        <v>5106</v>
      </c>
      <c r="G114" s="10" t="s">
        <v>30</v>
      </c>
      <c r="H114" s="10" t="s">
        <v>277</v>
      </c>
      <c r="I114" s="16" t="s">
        <v>3</v>
      </c>
      <c r="J114" s="53">
        <v>45994</v>
      </c>
      <c r="K114" s="13" t="s">
        <v>5107</v>
      </c>
      <c r="L114" s="53">
        <f t="shared" si="32"/>
        <v>46001</v>
      </c>
      <c r="M114" s="53">
        <v>46001</v>
      </c>
      <c r="N114" s="92">
        <f t="shared" si="31"/>
        <v>0</v>
      </c>
      <c r="O114" s="10" t="s">
        <v>5129</v>
      </c>
      <c r="P114" s="10" t="s">
        <v>3</v>
      </c>
      <c r="Q114" s="21">
        <v>46007</v>
      </c>
      <c r="R114" s="10" t="s">
        <v>5289</v>
      </c>
      <c r="S114" s="53">
        <f>Q114+7</f>
        <v>46014</v>
      </c>
      <c r="T114" s="21">
        <v>46018</v>
      </c>
      <c r="U114" s="92">
        <f>T114-S114</f>
        <v>4</v>
      </c>
      <c r="V114" s="10" t="s">
        <v>5321</v>
      </c>
      <c r="W114" s="10" t="s">
        <v>3</v>
      </c>
      <c r="X114" s="21">
        <v>46037</v>
      </c>
      <c r="Y114" s="10" t="s">
        <v>5584</v>
      </c>
      <c r="Z114" s="53">
        <f>X114+7</f>
        <v>46044</v>
      </c>
      <c r="AA114" s="21">
        <v>46048</v>
      </c>
      <c r="AB114" s="92">
        <f>AA114-Z114</f>
        <v>4</v>
      </c>
      <c r="AC114" s="10" t="s">
        <v>5585</v>
      </c>
      <c r="AD114" s="10" t="s">
        <v>18</v>
      </c>
      <c r="AE114" s="21">
        <v>46097</v>
      </c>
      <c r="AF114" s="10" t="s">
        <v>6079</v>
      </c>
      <c r="AG114" s="53">
        <f>AE114+7</f>
        <v>46104</v>
      </c>
      <c r="AH114" s="21">
        <v>46110</v>
      </c>
      <c r="AI114" s="92">
        <f>AH114-AG114</f>
        <v>6</v>
      </c>
      <c r="AJ114" s="10" t="s">
        <v>6085</v>
      </c>
      <c r="AK114" s="10" t="s">
        <v>5</v>
      </c>
      <c r="AL114" s="17">
        <v>46154</v>
      </c>
      <c r="AM114" s="11" t="s">
        <v>6762</v>
      </c>
      <c r="AN114" s="53">
        <f>AL114+7</f>
        <v>46161</v>
      </c>
      <c r="AO114" s="21">
        <v>46161</v>
      </c>
      <c r="AP114" s="92">
        <f>AO114-AN114</f>
        <v>0</v>
      </c>
      <c r="AQ114" s="17" t="s">
        <v>6773</v>
      </c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1"/>
      <c r="BF114" s="259"/>
    </row>
    <row r="115" spans="1:58" s="381" customFormat="1" ht="42" customHeight="1" x14ac:dyDescent="0.25">
      <c r="A115" s="442" t="s">
        <v>3256</v>
      </c>
      <c r="B115" s="11" t="s">
        <v>5</v>
      </c>
      <c r="C115" s="56" t="s">
        <v>588</v>
      </c>
      <c r="D115" s="12" t="s">
        <v>5110</v>
      </c>
      <c r="E115" s="12" t="s">
        <v>5109</v>
      </c>
      <c r="F115" s="16" t="s">
        <v>5131</v>
      </c>
      <c r="G115" s="10" t="s">
        <v>30</v>
      </c>
      <c r="H115" s="10" t="s">
        <v>277</v>
      </c>
      <c r="I115" s="16" t="s">
        <v>18</v>
      </c>
      <c r="J115" s="53">
        <v>45994</v>
      </c>
      <c r="K115" s="13" t="s">
        <v>5111</v>
      </c>
      <c r="L115" s="53">
        <f t="shared" si="32"/>
        <v>46001</v>
      </c>
      <c r="M115" s="53">
        <v>46001</v>
      </c>
      <c r="N115" s="92">
        <f>M115-L115</f>
        <v>0</v>
      </c>
      <c r="O115" s="10" t="s">
        <v>5130</v>
      </c>
      <c r="P115" s="10" t="s">
        <v>18</v>
      </c>
      <c r="Q115" s="21">
        <v>46004</v>
      </c>
      <c r="R115" s="10" t="s">
        <v>5203</v>
      </c>
      <c r="S115" s="53">
        <f>Q115+7</f>
        <v>46011</v>
      </c>
      <c r="T115" s="21">
        <v>46006</v>
      </c>
      <c r="U115" s="92">
        <f>T115-S115</f>
        <v>-5</v>
      </c>
      <c r="V115" s="10" t="s">
        <v>5215</v>
      </c>
      <c r="W115" s="10" t="s">
        <v>5</v>
      </c>
      <c r="X115" s="21">
        <v>46205</v>
      </c>
      <c r="Y115" s="10" t="s">
        <v>7173</v>
      </c>
      <c r="Z115" s="53">
        <f>X115+7</f>
        <v>46212</v>
      </c>
      <c r="AA115" s="21">
        <v>46215</v>
      </c>
      <c r="AB115" s="92">
        <f>AA115-Z115</f>
        <v>3</v>
      </c>
      <c r="AC115" s="10" t="s">
        <v>7190</v>
      </c>
      <c r="AD115" s="10"/>
      <c r="AE115" s="21"/>
      <c r="AF115" s="10"/>
      <c r="AG115" s="10"/>
      <c r="AH115" s="21"/>
      <c r="AI115" s="95"/>
      <c r="AJ115" s="10"/>
      <c r="AK115" s="10"/>
      <c r="AL115" s="17"/>
      <c r="AM115" s="11"/>
      <c r="AN115" s="11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1"/>
      <c r="BF115" s="259"/>
    </row>
    <row r="116" spans="1:58" s="381" customFormat="1" ht="42" customHeight="1" x14ac:dyDescent="0.25">
      <c r="A116" s="442" t="s">
        <v>3256</v>
      </c>
      <c r="B116" s="57" t="s">
        <v>508</v>
      </c>
      <c r="C116" s="56" t="s">
        <v>627</v>
      </c>
      <c r="D116" s="12" t="s">
        <v>5372</v>
      </c>
      <c r="E116" s="12" t="s">
        <v>5374</v>
      </c>
      <c r="F116" s="16" t="s">
        <v>5375</v>
      </c>
      <c r="G116" s="10" t="s">
        <v>30</v>
      </c>
      <c r="H116" s="10" t="s">
        <v>277</v>
      </c>
      <c r="I116" s="59" t="s">
        <v>3</v>
      </c>
      <c r="J116" s="53">
        <v>46015</v>
      </c>
      <c r="K116" s="13" t="s">
        <v>5373</v>
      </c>
      <c r="L116" s="53">
        <f t="shared" si="32"/>
        <v>46022</v>
      </c>
      <c r="M116" s="53">
        <v>46019</v>
      </c>
      <c r="N116" s="92">
        <f>M116-L116</f>
        <v>-3</v>
      </c>
      <c r="O116" s="10" t="s">
        <v>5383</v>
      </c>
      <c r="P116" s="10" t="s">
        <v>508</v>
      </c>
      <c r="Q116" s="21">
        <v>46037</v>
      </c>
      <c r="R116" s="10" t="s">
        <v>5574</v>
      </c>
      <c r="S116" s="10" t="s">
        <v>626</v>
      </c>
      <c r="T116" s="10" t="s">
        <v>626</v>
      </c>
      <c r="U116" s="10" t="s">
        <v>626</v>
      </c>
      <c r="V116" s="10" t="s">
        <v>626</v>
      </c>
      <c r="W116" s="10"/>
      <c r="X116" s="21"/>
      <c r="Y116" s="10"/>
      <c r="Z116" s="10"/>
      <c r="AA116" s="21"/>
      <c r="AB116" s="95"/>
      <c r="AC116" s="10"/>
      <c r="AD116" s="10"/>
      <c r="AE116" s="21"/>
      <c r="AF116" s="10"/>
      <c r="AG116" s="10"/>
      <c r="AH116" s="21"/>
      <c r="AI116" s="95"/>
      <c r="AJ116" s="10"/>
      <c r="AK116" s="10"/>
      <c r="AL116" s="17"/>
      <c r="AM116" s="11"/>
      <c r="AN116" s="11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1"/>
      <c r="BF116" s="259"/>
    </row>
    <row r="117" spans="1:58" s="381" customFormat="1" ht="42" customHeight="1" x14ac:dyDescent="0.25">
      <c r="A117" s="442" t="s">
        <v>3256</v>
      </c>
      <c r="B117" s="11" t="s">
        <v>18</v>
      </c>
      <c r="C117" s="56" t="s">
        <v>208</v>
      </c>
      <c r="D117" s="12" t="s">
        <v>5395</v>
      </c>
      <c r="E117" s="12" t="s">
        <v>5396</v>
      </c>
      <c r="F117" s="16" t="s">
        <v>5583</v>
      </c>
      <c r="G117" s="10" t="s">
        <v>30</v>
      </c>
      <c r="H117" s="10" t="s">
        <v>277</v>
      </c>
      <c r="I117" s="59" t="s">
        <v>3</v>
      </c>
      <c r="J117" s="53">
        <v>46016</v>
      </c>
      <c r="K117" s="13" t="s">
        <v>5394</v>
      </c>
      <c r="L117" s="53">
        <f>J117+7</f>
        <v>46023</v>
      </c>
      <c r="M117" s="53">
        <v>46021</v>
      </c>
      <c r="N117" s="92">
        <f>M117-L117</f>
        <v>-2</v>
      </c>
      <c r="O117" s="10" t="s">
        <v>5397</v>
      </c>
      <c r="P117" s="11" t="s">
        <v>18</v>
      </c>
      <c r="Q117" s="21">
        <v>46027</v>
      </c>
      <c r="R117" s="10" t="s">
        <v>5478</v>
      </c>
      <c r="S117" s="53">
        <f>Q117+7</f>
        <v>46034</v>
      </c>
      <c r="T117" s="21">
        <v>46037</v>
      </c>
      <c r="U117" s="92">
        <f>T117-S117</f>
        <v>3</v>
      </c>
      <c r="V117" s="10" t="s">
        <v>5480</v>
      </c>
      <c r="W117" s="10"/>
      <c r="X117" s="21"/>
      <c r="Y117" s="10"/>
      <c r="Z117" s="10"/>
      <c r="AA117" s="21"/>
      <c r="AB117" s="95"/>
      <c r="AC117" s="10"/>
      <c r="AD117" s="10"/>
      <c r="AE117" s="21"/>
      <c r="AF117" s="10"/>
      <c r="AG117" s="10"/>
      <c r="AH117" s="21"/>
      <c r="AI117" s="95"/>
      <c r="AJ117" s="10"/>
      <c r="AK117" s="10"/>
      <c r="AL117" s="17"/>
      <c r="AM117" s="11"/>
      <c r="AN117" s="11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1"/>
      <c r="BF117" s="259"/>
    </row>
    <row r="118" spans="1:58" s="381" customFormat="1" ht="42" customHeight="1" x14ac:dyDescent="0.25">
      <c r="A118" s="442" t="s">
        <v>3256</v>
      </c>
      <c r="B118" s="11" t="s">
        <v>5</v>
      </c>
      <c r="C118" s="56" t="s">
        <v>2384</v>
      </c>
      <c r="D118" s="12" t="s">
        <v>5418</v>
      </c>
      <c r="E118" s="12" t="s">
        <v>5417</v>
      </c>
      <c r="F118" s="16" t="s">
        <v>5416</v>
      </c>
      <c r="G118" s="10" t="s">
        <v>30</v>
      </c>
      <c r="H118" s="10" t="s">
        <v>277</v>
      </c>
      <c r="I118" s="59" t="s">
        <v>3</v>
      </c>
      <c r="J118" s="53">
        <v>46020</v>
      </c>
      <c r="K118" s="13" t="s">
        <v>5419</v>
      </c>
      <c r="L118" s="53">
        <f t="shared" ref="L118:L129" si="33">J118+7</f>
        <v>46027</v>
      </c>
      <c r="M118" s="53">
        <v>46032</v>
      </c>
      <c r="N118" s="92">
        <f t="shared" ref="N118:N129" si="34">M118-L118</f>
        <v>5</v>
      </c>
      <c r="O118" s="10" t="s">
        <v>5420</v>
      </c>
      <c r="P118" s="10" t="s">
        <v>3</v>
      </c>
      <c r="Q118" s="21">
        <v>46061</v>
      </c>
      <c r="R118" s="10" t="s">
        <v>5799</v>
      </c>
      <c r="S118" s="53">
        <f>Q118+7</f>
        <v>46068</v>
      </c>
      <c r="T118" s="21">
        <v>46074</v>
      </c>
      <c r="U118" s="92">
        <f>T118-S118</f>
        <v>6</v>
      </c>
      <c r="V118" s="10" t="s">
        <v>5802</v>
      </c>
      <c r="W118" s="11" t="s">
        <v>3</v>
      </c>
      <c r="X118" s="21">
        <v>46160</v>
      </c>
      <c r="Y118" s="10" t="s">
        <v>6844</v>
      </c>
      <c r="Z118" s="53">
        <f>X118+7</f>
        <v>46167</v>
      </c>
      <c r="AA118" s="21">
        <v>46173</v>
      </c>
      <c r="AB118" s="92">
        <f>AA118-Z118</f>
        <v>6</v>
      </c>
      <c r="AC118" s="10" t="s">
        <v>6845</v>
      </c>
      <c r="AD118" s="10" t="s">
        <v>18</v>
      </c>
      <c r="AE118" s="21">
        <v>46177</v>
      </c>
      <c r="AF118" s="10" t="s">
        <v>6940</v>
      </c>
      <c r="AG118" s="53">
        <f>AE118+7</f>
        <v>46184</v>
      </c>
      <c r="AH118" s="21">
        <v>46181</v>
      </c>
      <c r="AI118" s="92">
        <f>AH118-AG118</f>
        <v>-3</v>
      </c>
      <c r="AJ118" s="10" t="s">
        <v>6942</v>
      </c>
      <c r="AK118" s="10" t="s">
        <v>18</v>
      </c>
      <c r="AL118" s="17">
        <v>46194</v>
      </c>
      <c r="AM118" s="11" t="s">
        <v>7044</v>
      </c>
      <c r="AN118" s="53">
        <f>AL118+7</f>
        <v>46201</v>
      </c>
      <c r="AO118" s="21">
        <v>46202</v>
      </c>
      <c r="AP118" s="92">
        <f>AO118-AN118</f>
        <v>1</v>
      </c>
      <c r="AQ118" s="17" t="s">
        <v>7093</v>
      </c>
      <c r="AR118" s="17" t="s">
        <v>5</v>
      </c>
      <c r="AS118" s="17">
        <v>46232</v>
      </c>
      <c r="AT118" s="150" t="s">
        <v>7366</v>
      </c>
      <c r="AU118" s="53">
        <f>AS118+7</f>
        <v>46239</v>
      </c>
      <c r="AV118" s="21">
        <v>46245</v>
      </c>
      <c r="AW118" s="92">
        <f>AV118-AU118</f>
        <v>6</v>
      </c>
      <c r="AX118" s="151" t="s">
        <v>7367</v>
      </c>
      <c r="AY118" s="17"/>
      <c r="AZ118" s="17"/>
      <c r="BA118" s="17"/>
      <c r="BB118" s="17"/>
      <c r="BC118" s="17"/>
      <c r="BD118" s="17"/>
      <c r="BE118" s="11"/>
      <c r="BF118" s="259"/>
    </row>
    <row r="119" spans="1:58" s="381" customFormat="1" ht="42" customHeight="1" x14ac:dyDescent="0.25">
      <c r="A119" s="442" t="s">
        <v>3256</v>
      </c>
      <c r="B119" s="11" t="s">
        <v>5</v>
      </c>
      <c r="C119" s="56" t="s">
        <v>588</v>
      </c>
      <c r="D119" s="12" t="s">
        <v>5422</v>
      </c>
      <c r="E119" s="12" t="s">
        <v>5423</v>
      </c>
      <c r="F119" s="16" t="s">
        <v>5424</v>
      </c>
      <c r="G119" s="10" t="s">
        <v>30</v>
      </c>
      <c r="H119" s="10" t="s">
        <v>277</v>
      </c>
      <c r="I119" s="59" t="s">
        <v>3</v>
      </c>
      <c r="J119" s="53">
        <v>46021</v>
      </c>
      <c r="K119" s="13" t="s">
        <v>5425</v>
      </c>
      <c r="L119" s="53">
        <f t="shared" si="33"/>
        <v>46028</v>
      </c>
      <c r="M119" s="53">
        <v>46033</v>
      </c>
      <c r="N119" s="92">
        <f t="shared" si="34"/>
        <v>5</v>
      </c>
      <c r="O119" s="10" t="s">
        <v>5427</v>
      </c>
      <c r="P119" s="10" t="s">
        <v>3</v>
      </c>
      <c r="Q119" s="21">
        <v>46116</v>
      </c>
      <c r="R119" s="10" t="s">
        <v>6243</v>
      </c>
      <c r="S119" s="53">
        <f>Q119+7</f>
        <v>46123</v>
      </c>
      <c r="T119" s="21">
        <v>46127</v>
      </c>
      <c r="U119" s="92">
        <f>T119-S119</f>
        <v>4</v>
      </c>
      <c r="V119" s="10" t="s">
        <v>6251</v>
      </c>
      <c r="W119" s="10" t="s">
        <v>5</v>
      </c>
      <c r="X119" s="21">
        <v>46147</v>
      </c>
      <c r="Y119" s="10" t="s">
        <v>6651</v>
      </c>
      <c r="Z119" s="53">
        <f>X119+7</f>
        <v>46154</v>
      </c>
      <c r="AA119" s="21">
        <v>46153</v>
      </c>
      <c r="AB119" s="92">
        <f>AA119-Z119</f>
        <v>-1</v>
      </c>
      <c r="AC119" s="10" t="s">
        <v>6653</v>
      </c>
      <c r="AD119" s="10"/>
      <c r="AE119" s="21"/>
      <c r="AF119" s="10"/>
      <c r="AG119" s="10"/>
      <c r="AH119" s="21"/>
      <c r="AI119" s="95"/>
      <c r="AJ119" s="10"/>
      <c r="AK119" s="10"/>
      <c r="AL119" s="17"/>
      <c r="AM119" s="11"/>
      <c r="AN119" s="11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1"/>
      <c r="BF119" s="259"/>
    </row>
    <row r="120" spans="1:58" s="381" customFormat="1" ht="42" customHeight="1" x14ac:dyDescent="0.25">
      <c r="A120" s="442" t="s">
        <v>3256</v>
      </c>
      <c r="B120" s="11" t="s">
        <v>3</v>
      </c>
      <c r="C120" s="56" t="s">
        <v>54</v>
      </c>
      <c r="D120" s="12" t="s">
        <v>5450</v>
      </c>
      <c r="E120" s="12" t="s">
        <v>5451</v>
      </c>
      <c r="F120" s="16" t="s">
        <v>5452</v>
      </c>
      <c r="G120" s="10" t="s">
        <v>30</v>
      </c>
      <c r="H120" s="10" t="s">
        <v>277</v>
      </c>
      <c r="I120" s="59" t="s">
        <v>3</v>
      </c>
      <c r="J120" s="53">
        <v>46025</v>
      </c>
      <c r="K120" s="13" t="s">
        <v>5453</v>
      </c>
      <c r="L120" s="53">
        <f t="shared" si="33"/>
        <v>46032</v>
      </c>
      <c r="M120" s="53">
        <v>46041</v>
      </c>
      <c r="N120" s="92">
        <f t="shared" si="34"/>
        <v>9</v>
      </c>
      <c r="O120" s="10" t="s">
        <v>5526</v>
      </c>
      <c r="P120" s="10"/>
      <c r="Q120" s="21"/>
      <c r="R120" s="10"/>
      <c r="S120" s="10"/>
      <c r="T120" s="21"/>
      <c r="U120" s="95"/>
      <c r="V120" s="10"/>
      <c r="W120" s="10"/>
      <c r="X120" s="21"/>
      <c r="Y120" s="10"/>
      <c r="Z120" s="10"/>
      <c r="AA120" s="21"/>
      <c r="AB120" s="95"/>
      <c r="AC120" s="10"/>
      <c r="AD120" s="10"/>
      <c r="AE120" s="21"/>
      <c r="AF120" s="10"/>
      <c r="AG120" s="10"/>
      <c r="AH120" s="21"/>
      <c r="AI120" s="95"/>
      <c r="AJ120" s="10"/>
      <c r="AK120" s="10"/>
      <c r="AL120" s="17"/>
      <c r="AM120" s="11"/>
      <c r="AN120" s="11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1"/>
      <c r="BF120" s="259"/>
    </row>
    <row r="121" spans="1:58" s="409" customFormat="1" ht="42" customHeight="1" x14ac:dyDescent="0.25">
      <c r="A121" s="424" t="s">
        <v>3256</v>
      </c>
      <c r="B121" s="205" t="s">
        <v>3</v>
      </c>
      <c r="C121" s="188" t="s">
        <v>54</v>
      </c>
      <c r="D121" s="194" t="s">
        <v>5525</v>
      </c>
      <c r="E121" s="194" t="s">
        <v>5524</v>
      </c>
      <c r="F121" s="189" t="s">
        <v>7477</v>
      </c>
      <c r="G121" s="190" t="s">
        <v>30</v>
      </c>
      <c r="H121" s="190" t="s">
        <v>277</v>
      </c>
      <c r="I121" s="354" t="s">
        <v>3</v>
      </c>
      <c r="J121" s="352">
        <v>46029</v>
      </c>
      <c r="K121" s="206" t="s">
        <v>5523</v>
      </c>
      <c r="L121" s="352">
        <f t="shared" si="33"/>
        <v>46036</v>
      </c>
      <c r="M121" s="352">
        <v>46042</v>
      </c>
      <c r="N121" s="191">
        <f t="shared" si="34"/>
        <v>6</v>
      </c>
      <c r="O121" s="190" t="s">
        <v>5527</v>
      </c>
      <c r="P121" s="190"/>
      <c r="Q121" s="207"/>
      <c r="R121" s="190"/>
      <c r="S121" s="190"/>
      <c r="T121" s="207"/>
      <c r="U121" s="353"/>
      <c r="V121" s="190"/>
      <c r="W121" s="190"/>
      <c r="X121" s="207"/>
      <c r="Y121" s="190"/>
      <c r="Z121" s="190"/>
      <c r="AA121" s="207"/>
      <c r="AB121" s="353"/>
      <c r="AC121" s="190"/>
      <c r="AD121" s="190"/>
      <c r="AE121" s="207"/>
      <c r="AF121" s="190"/>
      <c r="AG121" s="190"/>
      <c r="AH121" s="207"/>
      <c r="AI121" s="353"/>
      <c r="AJ121" s="190"/>
      <c r="AK121" s="190"/>
      <c r="AL121" s="208"/>
      <c r="AM121" s="205"/>
      <c r="AN121" s="205"/>
      <c r="AO121" s="208"/>
      <c r="AP121" s="208"/>
      <c r="AQ121" s="208"/>
      <c r="AR121" s="208"/>
      <c r="AS121" s="208"/>
      <c r="AT121" s="208"/>
      <c r="AU121" s="208"/>
      <c r="AV121" s="208"/>
      <c r="AW121" s="208"/>
      <c r="AX121" s="208"/>
      <c r="AY121" s="208"/>
      <c r="AZ121" s="208"/>
      <c r="BA121" s="208"/>
      <c r="BB121" s="208"/>
      <c r="BC121" s="208"/>
      <c r="BD121" s="208"/>
      <c r="BE121" s="205"/>
      <c r="BF121" s="450"/>
    </row>
    <row r="122" spans="1:58" s="381" customFormat="1" ht="42" customHeight="1" x14ac:dyDescent="0.25">
      <c r="A122" s="442" t="s">
        <v>3256</v>
      </c>
      <c r="B122" s="11" t="s">
        <v>5</v>
      </c>
      <c r="C122" s="56" t="s">
        <v>2456</v>
      </c>
      <c r="D122" s="12" t="s">
        <v>5553</v>
      </c>
      <c r="E122" s="12" t="s">
        <v>5554</v>
      </c>
      <c r="F122" s="16" t="s">
        <v>5552</v>
      </c>
      <c r="G122" s="10" t="s">
        <v>30</v>
      </c>
      <c r="H122" s="10" t="s">
        <v>277</v>
      </c>
      <c r="I122" s="59" t="s">
        <v>3</v>
      </c>
      <c r="J122" s="53">
        <v>46035</v>
      </c>
      <c r="K122" s="13" t="s">
        <v>5555</v>
      </c>
      <c r="L122" s="53">
        <f t="shared" si="33"/>
        <v>46042</v>
      </c>
      <c r="M122" s="53">
        <v>46046</v>
      </c>
      <c r="N122" s="92">
        <f t="shared" si="34"/>
        <v>4</v>
      </c>
      <c r="O122" s="10" t="s">
        <v>5559</v>
      </c>
      <c r="P122" s="10" t="s">
        <v>3</v>
      </c>
      <c r="Q122" s="21">
        <v>46096</v>
      </c>
      <c r="R122" s="10" t="s">
        <v>6067</v>
      </c>
      <c r="S122" s="53">
        <f>Q122+7</f>
        <v>46103</v>
      </c>
      <c r="T122" s="21">
        <v>46109</v>
      </c>
      <c r="U122" s="92">
        <f>T122-S122</f>
        <v>6</v>
      </c>
      <c r="V122" s="10" t="s">
        <v>6069</v>
      </c>
      <c r="W122" s="10" t="s">
        <v>18</v>
      </c>
      <c r="X122" s="21">
        <v>46119</v>
      </c>
      <c r="Y122" s="10" t="s">
        <v>6294</v>
      </c>
      <c r="Z122" s="53">
        <f>X122+7</f>
        <v>46126</v>
      </c>
      <c r="AA122" s="21">
        <v>46125</v>
      </c>
      <c r="AB122" s="92">
        <f>AA122-Z122</f>
        <v>-1</v>
      </c>
      <c r="AC122" s="10" t="s">
        <v>6297</v>
      </c>
      <c r="AD122" s="10" t="s">
        <v>18</v>
      </c>
      <c r="AE122" s="21">
        <v>46191</v>
      </c>
      <c r="AF122" s="10" t="s">
        <v>7035</v>
      </c>
      <c r="AG122" s="53">
        <f>AE122+7</f>
        <v>46198</v>
      </c>
      <c r="AH122" s="21">
        <v>46198</v>
      </c>
      <c r="AI122" s="92">
        <f>AH122-AG122</f>
        <v>0</v>
      </c>
      <c r="AJ122" s="10" t="s">
        <v>7036</v>
      </c>
      <c r="AK122" s="10" t="s">
        <v>5</v>
      </c>
      <c r="AL122" s="17">
        <v>46205</v>
      </c>
      <c r="AM122" s="11" t="s">
        <v>7174</v>
      </c>
      <c r="AN122" s="53">
        <f>AL122+7</f>
        <v>46212</v>
      </c>
      <c r="AO122" s="21">
        <v>46215</v>
      </c>
      <c r="AP122" s="92">
        <f>AO122-AN122</f>
        <v>3</v>
      </c>
      <c r="AQ122" s="17" t="s">
        <v>7191</v>
      </c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1"/>
      <c r="BF122" s="259"/>
    </row>
    <row r="123" spans="1:58" s="381" customFormat="1" ht="42" customHeight="1" x14ac:dyDescent="0.25">
      <c r="A123" s="442" t="s">
        <v>3256</v>
      </c>
      <c r="B123" s="11" t="s">
        <v>5</v>
      </c>
      <c r="C123" s="56" t="s">
        <v>588</v>
      </c>
      <c r="D123" s="12" t="s">
        <v>5560</v>
      </c>
      <c r="E123" s="12" t="s">
        <v>5561</v>
      </c>
      <c r="F123" s="16" t="s">
        <v>5562</v>
      </c>
      <c r="G123" s="10" t="s">
        <v>30</v>
      </c>
      <c r="H123" s="10" t="s">
        <v>277</v>
      </c>
      <c r="I123" s="59" t="s">
        <v>3</v>
      </c>
      <c r="J123" s="53">
        <v>46035</v>
      </c>
      <c r="K123" s="13" t="s">
        <v>5563</v>
      </c>
      <c r="L123" s="53">
        <f t="shared" si="33"/>
        <v>46042</v>
      </c>
      <c r="M123" s="53">
        <v>46048</v>
      </c>
      <c r="N123" s="92">
        <f t="shared" si="34"/>
        <v>6</v>
      </c>
      <c r="O123" s="10" t="s">
        <v>5565</v>
      </c>
      <c r="P123" s="10" t="s">
        <v>18</v>
      </c>
      <c r="Q123" s="21">
        <v>46064</v>
      </c>
      <c r="R123" s="10" t="s">
        <v>5821</v>
      </c>
      <c r="S123" s="53">
        <f>Q123+7</f>
        <v>46071</v>
      </c>
      <c r="T123" s="21">
        <v>46077</v>
      </c>
      <c r="U123" s="92">
        <f>T123-S123</f>
        <v>6</v>
      </c>
      <c r="V123" s="10" t="s">
        <v>5834</v>
      </c>
      <c r="W123" s="10" t="s">
        <v>5</v>
      </c>
      <c r="X123" s="21">
        <v>46089</v>
      </c>
      <c r="Y123" s="10" t="s">
        <v>5990</v>
      </c>
      <c r="Z123" s="53">
        <f>X123+7</f>
        <v>46096</v>
      </c>
      <c r="AA123" s="21">
        <v>46099</v>
      </c>
      <c r="AB123" s="92">
        <f>AA123-Z123</f>
        <v>3</v>
      </c>
      <c r="AC123" s="10" t="s">
        <v>5997</v>
      </c>
      <c r="AD123" s="10"/>
      <c r="AE123" s="21"/>
      <c r="AF123" s="10"/>
      <c r="AG123" s="10"/>
      <c r="AH123" s="21"/>
      <c r="AI123" s="95"/>
      <c r="AJ123" s="10"/>
      <c r="AK123" s="10"/>
      <c r="AL123" s="17"/>
      <c r="AM123" s="11"/>
      <c r="AN123" s="11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1"/>
      <c r="BF123" s="259"/>
    </row>
    <row r="124" spans="1:58" s="381" customFormat="1" ht="42" customHeight="1" x14ac:dyDescent="0.25">
      <c r="A124" s="442" t="s">
        <v>3256</v>
      </c>
      <c r="B124" s="57" t="s">
        <v>508</v>
      </c>
      <c r="C124" s="56" t="s">
        <v>627</v>
      </c>
      <c r="D124" s="12" t="s">
        <v>5716</v>
      </c>
      <c r="E124" s="12" t="s">
        <v>5717</v>
      </c>
      <c r="F124" s="16" t="s">
        <v>5718</v>
      </c>
      <c r="G124" s="10" t="s">
        <v>30</v>
      </c>
      <c r="H124" s="10" t="s">
        <v>277</v>
      </c>
      <c r="I124" s="59" t="s">
        <v>3</v>
      </c>
      <c r="J124" s="53">
        <v>46054</v>
      </c>
      <c r="K124" s="13" t="s">
        <v>5719</v>
      </c>
      <c r="L124" s="53">
        <f t="shared" si="33"/>
        <v>46061</v>
      </c>
      <c r="M124" s="53">
        <v>46061</v>
      </c>
      <c r="N124" s="92">
        <f t="shared" si="34"/>
        <v>0</v>
      </c>
      <c r="O124" s="10" t="s">
        <v>5736</v>
      </c>
      <c r="P124" s="10" t="s">
        <v>508</v>
      </c>
      <c r="Q124" s="21">
        <v>46119</v>
      </c>
      <c r="R124" s="10" t="s">
        <v>6279</v>
      </c>
      <c r="S124" s="10" t="s">
        <v>626</v>
      </c>
      <c r="T124" s="10" t="s">
        <v>626</v>
      </c>
      <c r="U124" s="10" t="s">
        <v>626</v>
      </c>
      <c r="V124" s="10" t="s">
        <v>626</v>
      </c>
      <c r="W124" s="10"/>
      <c r="X124" s="21"/>
      <c r="Y124" s="10"/>
      <c r="Z124" s="10"/>
      <c r="AA124" s="21"/>
      <c r="AB124" s="95"/>
      <c r="AC124" s="10"/>
      <c r="AD124" s="10"/>
      <c r="AE124" s="21"/>
      <c r="AF124" s="10"/>
      <c r="AG124" s="10"/>
      <c r="AH124" s="21"/>
      <c r="AI124" s="95"/>
      <c r="AJ124" s="10"/>
      <c r="AK124" s="10"/>
      <c r="AL124" s="17"/>
      <c r="AM124" s="11"/>
      <c r="AN124" s="11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1"/>
      <c r="BF124" s="259"/>
    </row>
    <row r="125" spans="1:58" s="381" customFormat="1" ht="42" customHeight="1" x14ac:dyDescent="0.25">
      <c r="A125" s="442" t="s">
        <v>3256</v>
      </c>
      <c r="B125" s="57" t="s">
        <v>508</v>
      </c>
      <c r="C125" s="56" t="s">
        <v>627</v>
      </c>
      <c r="D125" s="12" t="s">
        <v>5822</v>
      </c>
      <c r="E125" s="12" t="s">
        <v>5823</v>
      </c>
      <c r="F125" s="16" t="s">
        <v>5824</v>
      </c>
      <c r="G125" s="10" t="s">
        <v>30</v>
      </c>
      <c r="H125" s="10" t="s">
        <v>277</v>
      </c>
      <c r="I125" s="59" t="s">
        <v>3</v>
      </c>
      <c r="J125" s="53">
        <v>46064</v>
      </c>
      <c r="K125" s="13" t="s">
        <v>5825</v>
      </c>
      <c r="L125" s="53">
        <f t="shared" si="33"/>
        <v>46071</v>
      </c>
      <c r="M125" s="53">
        <v>46077</v>
      </c>
      <c r="N125" s="92">
        <f t="shared" si="34"/>
        <v>6</v>
      </c>
      <c r="O125" s="10" t="s">
        <v>5840</v>
      </c>
      <c r="P125" s="10" t="s">
        <v>3</v>
      </c>
      <c r="Q125" s="21">
        <v>46085</v>
      </c>
      <c r="R125" s="10" t="s">
        <v>5958</v>
      </c>
      <c r="S125" s="53">
        <f t="shared" ref="S125:S130" si="35">Q125+7</f>
        <v>46092</v>
      </c>
      <c r="T125" s="21">
        <v>46097</v>
      </c>
      <c r="U125" s="92">
        <f t="shared" ref="U125:U132" si="36">T125-S125</f>
        <v>5</v>
      </c>
      <c r="V125" s="10" t="s">
        <v>5962</v>
      </c>
      <c r="W125" s="10" t="s">
        <v>3</v>
      </c>
      <c r="X125" s="21">
        <v>46110</v>
      </c>
      <c r="Y125" s="10" t="s">
        <v>6166</v>
      </c>
      <c r="Z125" s="53">
        <f>X125+7</f>
        <v>46117</v>
      </c>
      <c r="AA125" s="21">
        <v>46120</v>
      </c>
      <c r="AB125" s="92">
        <f>AA125-Z125</f>
        <v>3</v>
      </c>
      <c r="AC125" s="10" t="s">
        <v>6186</v>
      </c>
      <c r="AD125" s="10" t="s">
        <v>508</v>
      </c>
      <c r="AE125" s="21">
        <v>46196</v>
      </c>
      <c r="AF125" s="10" t="s">
        <v>7070</v>
      </c>
      <c r="AG125" s="10" t="s">
        <v>626</v>
      </c>
      <c r="AH125" s="10" t="s">
        <v>626</v>
      </c>
      <c r="AI125" s="10" t="s">
        <v>626</v>
      </c>
      <c r="AJ125" s="10" t="s">
        <v>626</v>
      </c>
      <c r="AK125" s="10"/>
      <c r="AL125" s="17"/>
      <c r="AM125" s="11"/>
      <c r="AN125" s="11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1"/>
      <c r="BF125" s="259"/>
    </row>
    <row r="126" spans="1:58" s="381" customFormat="1" ht="42" customHeight="1" x14ac:dyDescent="0.25">
      <c r="A126" s="442" t="s">
        <v>3256</v>
      </c>
      <c r="B126" s="11" t="s">
        <v>5</v>
      </c>
      <c r="C126" s="56" t="s">
        <v>208</v>
      </c>
      <c r="D126" s="12" t="s">
        <v>5882</v>
      </c>
      <c r="E126" s="12" t="s">
        <v>5881</v>
      </c>
      <c r="F126" s="16" t="s">
        <v>5973</v>
      </c>
      <c r="G126" s="10" t="s">
        <v>30</v>
      </c>
      <c r="H126" s="10" t="s">
        <v>277</v>
      </c>
      <c r="I126" s="59" t="s">
        <v>18</v>
      </c>
      <c r="J126" s="53">
        <v>46086</v>
      </c>
      <c r="K126" s="13" t="s">
        <v>5974</v>
      </c>
      <c r="L126" s="53">
        <f t="shared" si="33"/>
        <v>46093</v>
      </c>
      <c r="M126" s="53">
        <v>46092</v>
      </c>
      <c r="N126" s="92">
        <f t="shared" si="34"/>
        <v>-1</v>
      </c>
      <c r="O126" s="10" t="s">
        <v>5982</v>
      </c>
      <c r="P126" s="10" t="s">
        <v>5</v>
      </c>
      <c r="Q126" s="21">
        <v>46144</v>
      </c>
      <c r="R126" s="10" t="s">
        <v>6606</v>
      </c>
      <c r="S126" s="53">
        <f t="shared" si="35"/>
        <v>46151</v>
      </c>
      <c r="T126" s="21">
        <v>46152</v>
      </c>
      <c r="U126" s="92">
        <f t="shared" si="36"/>
        <v>1</v>
      </c>
      <c r="V126" s="10" t="s">
        <v>6616</v>
      </c>
      <c r="W126" s="10"/>
      <c r="X126" s="21"/>
      <c r="Y126" s="10"/>
      <c r="Z126" s="10"/>
      <c r="AA126" s="21"/>
      <c r="AB126" s="95"/>
      <c r="AC126" s="10"/>
      <c r="AD126" s="10"/>
      <c r="AE126" s="21"/>
      <c r="AF126" s="10"/>
      <c r="AG126" s="10"/>
      <c r="AH126" s="21"/>
      <c r="AI126" s="95"/>
      <c r="AJ126" s="10"/>
      <c r="AK126" s="10"/>
      <c r="AL126" s="17"/>
      <c r="AM126" s="11"/>
      <c r="AN126" s="11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1"/>
      <c r="BF126" s="259"/>
    </row>
    <row r="127" spans="1:58" s="381" customFormat="1" ht="42" customHeight="1" x14ac:dyDescent="0.25">
      <c r="A127" s="442" t="s">
        <v>3256</v>
      </c>
      <c r="B127" s="11" t="s">
        <v>5</v>
      </c>
      <c r="C127" s="56" t="s">
        <v>588</v>
      </c>
      <c r="D127" s="12" t="s">
        <v>6167</v>
      </c>
      <c r="E127" s="12" t="s">
        <v>6168</v>
      </c>
      <c r="F127" s="16" t="s">
        <v>6169</v>
      </c>
      <c r="G127" s="10" t="s">
        <v>30</v>
      </c>
      <c r="H127" s="10" t="s">
        <v>277</v>
      </c>
      <c r="I127" s="59" t="s">
        <v>3</v>
      </c>
      <c r="J127" s="53">
        <v>46110</v>
      </c>
      <c r="K127" s="13" t="s">
        <v>6170</v>
      </c>
      <c r="L127" s="53">
        <f t="shared" si="33"/>
        <v>46117</v>
      </c>
      <c r="M127" s="53">
        <v>46120</v>
      </c>
      <c r="N127" s="92">
        <f t="shared" si="34"/>
        <v>3</v>
      </c>
      <c r="O127" s="10" t="s">
        <v>6187</v>
      </c>
      <c r="P127" s="10" t="s">
        <v>18</v>
      </c>
      <c r="Q127" s="21">
        <v>46134</v>
      </c>
      <c r="R127" s="10" t="s">
        <v>6483</v>
      </c>
      <c r="S127" s="53">
        <f t="shared" si="35"/>
        <v>46141</v>
      </c>
      <c r="T127" s="21">
        <v>46140</v>
      </c>
      <c r="U127" s="92">
        <f t="shared" si="36"/>
        <v>-1</v>
      </c>
      <c r="V127" s="10" t="s">
        <v>6499</v>
      </c>
      <c r="W127" s="10" t="s">
        <v>5</v>
      </c>
      <c r="X127" s="21">
        <v>46144</v>
      </c>
      <c r="Y127" s="10" t="s">
        <v>6604</v>
      </c>
      <c r="Z127" s="53">
        <f>X127+7</f>
        <v>46151</v>
      </c>
      <c r="AA127" s="21">
        <v>46152</v>
      </c>
      <c r="AB127" s="92">
        <f>AA127-Z127</f>
        <v>1</v>
      </c>
      <c r="AC127" s="10" t="s">
        <v>6614</v>
      </c>
      <c r="AD127" s="10"/>
      <c r="AE127" s="21"/>
      <c r="AF127" s="10"/>
      <c r="AG127" s="10"/>
      <c r="AH127" s="21"/>
      <c r="AI127" s="95"/>
      <c r="AJ127" s="10"/>
      <c r="AK127" s="10"/>
      <c r="AL127" s="17"/>
      <c r="AM127" s="11"/>
      <c r="AN127" s="11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1"/>
      <c r="BF127" s="259"/>
    </row>
    <row r="128" spans="1:58" s="381" customFormat="1" ht="42" customHeight="1" x14ac:dyDescent="0.25">
      <c r="A128" s="442" t="s">
        <v>3256</v>
      </c>
      <c r="B128" s="11" t="s">
        <v>5</v>
      </c>
      <c r="C128" s="56" t="s">
        <v>588</v>
      </c>
      <c r="D128" s="12" t="s">
        <v>6408</v>
      </c>
      <c r="E128" s="12" t="s">
        <v>6409</v>
      </c>
      <c r="F128" s="16" t="s">
        <v>6407</v>
      </c>
      <c r="G128" s="10" t="s">
        <v>30</v>
      </c>
      <c r="H128" s="10" t="s">
        <v>277</v>
      </c>
      <c r="I128" s="59" t="s">
        <v>18</v>
      </c>
      <c r="J128" s="53">
        <v>46130</v>
      </c>
      <c r="K128" s="13" t="s">
        <v>6410</v>
      </c>
      <c r="L128" s="53">
        <f t="shared" si="33"/>
        <v>46137</v>
      </c>
      <c r="M128" s="53">
        <v>46135</v>
      </c>
      <c r="N128" s="92">
        <f t="shared" si="34"/>
        <v>-2</v>
      </c>
      <c r="O128" s="10" t="s">
        <v>6434</v>
      </c>
      <c r="P128" s="10" t="s">
        <v>18</v>
      </c>
      <c r="Q128" s="21">
        <v>46151</v>
      </c>
      <c r="R128" s="10" t="s">
        <v>6704</v>
      </c>
      <c r="S128" s="53">
        <f t="shared" si="35"/>
        <v>46158</v>
      </c>
      <c r="T128" s="21">
        <v>46159</v>
      </c>
      <c r="U128" s="92">
        <f t="shared" si="36"/>
        <v>1</v>
      </c>
      <c r="V128" s="10" t="s">
        <v>6714</v>
      </c>
      <c r="W128" s="10" t="s">
        <v>5</v>
      </c>
      <c r="X128" s="21">
        <v>46162</v>
      </c>
      <c r="Y128" s="10" t="s">
        <v>6878</v>
      </c>
      <c r="Z128" s="53">
        <f>X128+7</f>
        <v>46169</v>
      </c>
      <c r="AA128" s="21">
        <v>46173</v>
      </c>
      <c r="AB128" s="92">
        <f>AA128-Z128</f>
        <v>4</v>
      </c>
      <c r="AC128" s="10" t="s">
        <v>6886</v>
      </c>
      <c r="AD128" s="10"/>
      <c r="AE128" s="21"/>
      <c r="AF128" s="10"/>
      <c r="AG128" s="10"/>
      <c r="AH128" s="21"/>
      <c r="AI128" s="95"/>
      <c r="AJ128" s="10"/>
      <c r="AK128" s="10"/>
      <c r="AL128" s="17"/>
      <c r="AM128" s="11"/>
      <c r="AN128" s="11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1"/>
      <c r="BF128" s="259"/>
    </row>
    <row r="129" spans="1:58" s="381" customFormat="1" ht="42" customHeight="1" x14ac:dyDescent="0.25">
      <c r="A129" s="442" t="s">
        <v>3256</v>
      </c>
      <c r="B129" s="11" t="s">
        <v>5</v>
      </c>
      <c r="C129" s="56" t="s">
        <v>588</v>
      </c>
      <c r="D129" s="12" t="s">
        <v>6567</v>
      </c>
      <c r="E129" s="12" t="s">
        <v>6568</v>
      </c>
      <c r="F129" s="16" t="s">
        <v>6570</v>
      </c>
      <c r="G129" s="10" t="s">
        <v>30</v>
      </c>
      <c r="H129" s="10" t="s">
        <v>277</v>
      </c>
      <c r="I129" s="59" t="s">
        <v>3</v>
      </c>
      <c r="J129" s="53">
        <v>46140</v>
      </c>
      <c r="K129" s="13" t="s">
        <v>6569</v>
      </c>
      <c r="L129" s="53">
        <f t="shared" si="33"/>
        <v>46147</v>
      </c>
      <c r="M129" s="53">
        <v>46151</v>
      </c>
      <c r="N129" s="92">
        <f t="shared" si="34"/>
        <v>4</v>
      </c>
      <c r="O129" s="10" t="s">
        <v>6585</v>
      </c>
      <c r="P129" s="10" t="s">
        <v>18</v>
      </c>
      <c r="Q129" s="21">
        <v>46156</v>
      </c>
      <c r="R129" s="10" t="s">
        <v>6794</v>
      </c>
      <c r="S129" s="53">
        <f t="shared" si="35"/>
        <v>46163</v>
      </c>
      <c r="T129" s="21">
        <v>46162</v>
      </c>
      <c r="U129" s="92">
        <f t="shared" si="36"/>
        <v>-1</v>
      </c>
      <c r="V129" s="10" t="s">
        <v>6800</v>
      </c>
      <c r="W129" s="10" t="s">
        <v>5</v>
      </c>
      <c r="X129" s="21">
        <v>46210</v>
      </c>
      <c r="Y129" s="10" t="s">
        <v>7231</v>
      </c>
      <c r="Z129" s="53">
        <f>X129+7</f>
        <v>46217</v>
      </c>
      <c r="AA129" s="21">
        <v>46222</v>
      </c>
      <c r="AB129" s="92">
        <f>AA129-Z129</f>
        <v>5</v>
      </c>
      <c r="AC129" s="10" t="s">
        <v>7239</v>
      </c>
      <c r="AD129" s="10"/>
      <c r="AE129" s="21"/>
      <c r="AF129" s="10"/>
      <c r="AG129" s="10"/>
      <c r="AH129" s="21"/>
      <c r="AI129" s="95"/>
      <c r="AJ129" s="10"/>
      <c r="AK129" s="10"/>
      <c r="AL129" s="17"/>
      <c r="AM129" s="11"/>
      <c r="AN129" s="11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1"/>
      <c r="BF129" s="259"/>
    </row>
    <row r="130" spans="1:58" s="381" customFormat="1" ht="42" customHeight="1" x14ac:dyDescent="0.25">
      <c r="A130" s="442" t="s">
        <v>3256</v>
      </c>
      <c r="B130" s="11" t="s">
        <v>5</v>
      </c>
      <c r="C130" s="56" t="s">
        <v>588</v>
      </c>
      <c r="D130" s="12" t="s">
        <v>6632</v>
      </c>
      <c r="E130" s="12" t="s">
        <v>6633</v>
      </c>
      <c r="F130" s="16" t="s">
        <v>6751</v>
      </c>
      <c r="G130" s="10" t="s">
        <v>30</v>
      </c>
      <c r="H130" s="10" t="s">
        <v>277</v>
      </c>
      <c r="I130" s="59" t="s">
        <v>18</v>
      </c>
      <c r="J130" s="53">
        <v>46145</v>
      </c>
      <c r="K130" s="13" t="s">
        <v>6634</v>
      </c>
      <c r="L130" s="53">
        <f>J130+7</f>
        <v>46152</v>
      </c>
      <c r="M130" s="53">
        <v>46152</v>
      </c>
      <c r="N130" s="92">
        <f>M130-L130</f>
        <v>0</v>
      </c>
      <c r="O130" s="10" t="s">
        <v>6643</v>
      </c>
      <c r="P130" s="10" t="s">
        <v>18</v>
      </c>
      <c r="Q130" s="21">
        <v>46154</v>
      </c>
      <c r="R130" s="10" t="s">
        <v>6761</v>
      </c>
      <c r="S130" s="53">
        <f t="shared" si="35"/>
        <v>46161</v>
      </c>
      <c r="T130" s="21">
        <v>46160</v>
      </c>
      <c r="U130" s="92">
        <f t="shared" si="36"/>
        <v>-1</v>
      </c>
      <c r="V130" s="10" t="s">
        <v>6774</v>
      </c>
      <c r="W130" s="10" t="s">
        <v>5</v>
      </c>
      <c r="X130" s="21">
        <v>46166</v>
      </c>
      <c r="Y130" s="10" t="s">
        <v>6904</v>
      </c>
      <c r="Z130" s="53">
        <f>X130+7</f>
        <v>46173</v>
      </c>
      <c r="AA130" s="21">
        <v>46174</v>
      </c>
      <c r="AB130" s="92">
        <f>AA130-Z130</f>
        <v>1</v>
      </c>
      <c r="AC130" s="10" t="s">
        <v>6913</v>
      </c>
      <c r="AD130" s="10"/>
      <c r="AE130" s="21"/>
      <c r="AF130" s="10"/>
      <c r="AG130" s="10"/>
      <c r="AH130" s="21"/>
      <c r="AI130" s="95"/>
      <c r="AJ130" s="10"/>
      <c r="AK130" s="10"/>
      <c r="AL130" s="17"/>
      <c r="AM130" s="11"/>
      <c r="AN130" s="11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1"/>
      <c r="BF130" s="259"/>
    </row>
    <row r="131" spans="1:58" s="381" customFormat="1" ht="42" customHeight="1" x14ac:dyDescent="0.25">
      <c r="A131" s="442" t="s">
        <v>3256</v>
      </c>
      <c r="B131" s="11" t="s">
        <v>5</v>
      </c>
      <c r="C131" s="56" t="s">
        <v>725</v>
      </c>
      <c r="D131" s="12" t="s">
        <v>6663</v>
      </c>
      <c r="E131" s="12" t="s">
        <v>6664</v>
      </c>
      <c r="F131" s="16" t="s">
        <v>6665</v>
      </c>
      <c r="G131" s="10" t="s">
        <v>30</v>
      </c>
      <c r="H131" s="10" t="s">
        <v>277</v>
      </c>
      <c r="I131" s="59" t="s">
        <v>3</v>
      </c>
      <c r="J131" s="53">
        <v>46147</v>
      </c>
      <c r="K131" s="13" t="s">
        <v>6666</v>
      </c>
      <c r="L131" s="53">
        <f t="shared" ref="L131:L144" si="37">J131+7</f>
        <v>46154</v>
      </c>
      <c r="M131" s="53">
        <v>46160</v>
      </c>
      <c r="N131" s="92">
        <f t="shared" ref="N131:N144" si="38">M131-L131</f>
        <v>6</v>
      </c>
      <c r="O131" s="10" t="s">
        <v>6675</v>
      </c>
      <c r="P131" s="10" t="s">
        <v>3</v>
      </c>
      <c r="Q131" s="21">
        <v>46181</v>
      </c>
      <c r="R131" s="10" t="s">
        <v>6954</v>
      </c>
      <c r="S131" s="53">
        <f>Q131+7</f>
        <v>46188</v>
      </c>
      <c r="T131" s="21">
        <v>46188</v>
      </c>
      <c r="U131" s="92">
        <f t="shared" si="36"/>
        <v>0</v>
      </c>
      <c r="V131" s="10" t="s">
        <v>6955</v>
      </c>
      <c r="W131" s="10" t="s">
        <v>18</v>
      </c>
      <c r="X131" s="21">
        <v>46191</v>
      </c>
      <c r="Y131" s="10" t="s">
        <v>7034</v>
      </c>
      <c r="Z131" s="53">
        <f>X131+7</f>
        <v>46198</v>
      </c>
      <c r="AA131" s="21">
        <v>46198</v>
      </c>
      <c r="AB131" s="92">
        <f>AA131-Z131</f>
        <v>0</v>
      </c>
      <c r="AC131" s="10" t="s">
        <v>7037</v>
      </c>
      <c r="AD131" s="10" t="s">
        <v>5</v>
      </c>
      <c r="AE131" s="21">
        <v>46212</v>
      </c>
      <c r="AF131" s="10" t="s">
        <v>7256</v>
      </c>
      <c r="AG131" s="53">
        <f>AE131+7</f>
        <v>46219</v>
      </c>
      <c r="AH131" s="21">
        <v>46225</v>
      </c>
      <c r="AI131" s="92">
        <f>AH131-AG131</f>
        <v>6</v>
      </c>
      <c r="AJ131" s="10" t="s">
        <v>7260</v>
      </c>
      <c r="AK131" s="10"/>
      <c r="AL131" s="17"/>
      <c r="AM131" s="11"/>
      <c r="AN131" s="11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1"/>
      <c r="BF131" s="259"/>
    </row>
    <row r="132" spans="1:58" s="381" customFormat="1" ht="42" customHeight="1" x14ac:dyDescent="0.25">
      <c r="A132" s="442" t="s">
        <v>3256</v>
      </c>
      <c r="B132" s="11" t="s">
        <v>5</v>
      </c>
      <c r="C132" s="56" t="s">
        <v>208</v>
      </c>
      <c r="D132" s="12" t="s">
        <v>6682</v>
      </c>
      <c r="E132" s="12" t="s">
        <v>6683</v>
      </c>
      <c r="F132" s="16" t="s">
        <v>6684</v>
      </c>
      <c r="G132" s="10" t="s">
        <v>30</v>
      </c>
      <c r="H132" s="10" t="s">
        <v>277</v>
      </c>
      <c r="I132" s="59" t="s">
        <v>18</v>
      </c>
      <c r="J132" s="53">
        <v>46148</v>
      </c>
      <c r="K132" s="13" t="s">
        <v>6681</v>
      </c>
      <c r="L132" s="53">
        <f t="shared" si="37"/>
        <v>46155</v>
      </c>
      <c r="M132" s="53">
        <v>46160</v>
      </c>
      <c r="N132" s="92">
        <f t="shared" si="38"/>
        <v>5</v>
      </c>
      <c r="O132" s="10" t="s">
        <v>6690</v>
      </c>
      <c r="P132" s="10" t="s">
        <v>5</v>
      </c>
      <c r="Q132" s="21">
        <v>46222</v>
      </c>
      <c r="R132" s="150" t="s">
        <v>7320</v>
      </c>
      <c r="S132" s="53">
        <f>Q132+7</f>
        <v>46229</v>
      </c>
      <c r="T132" s="21">
        <v>46229</v>
      </c>
      <c r="U132" s="92">
        <f t="shared" si="36"/>
        <v>0</v>
      </c>
      <c r="V132" s="10" t="s">
        <v>7321</v>
      </c>
      <c r="W132" s="10"/>
      <c r="X132" s="21"/>
      <c r="Y132" s="10"/>
      <c r="Z132" s="10"/>
      <c r="AA132" s="21"/>
      <c r="AB132" s="95"/>
      <c r="AC132" s="10"/>
      <c r="AD132" s="10"/>
      <c r="AE132" s="21"/>
      <c r="AF132" s="10"/>
      <c r="AG132" s="10"/>
      <c r="AH132" s="21"/>
      <c r="AI132" s="95"/>
      <c r="AJ132" s="10"/>
      <c r="AK132" s="10"/>
      <c r="AL132" s="17"/>
      <c r="AM132" s="11"/>
      <c r="AN132" s="11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1"/>
      <c r="BF132" s="259"/>
    </row>
    <row r="133" spans="1:58" s="381" customFormat="1" ht="42" customHeight="1" x14ac:dyDescent="0.25">
      <c r="A133" s="442" t="s">
        <v>3256</v>
      </c>
      <c r="B133" s="11" t="s">
        <v>3</v>
      </c>
      <c r="C133" s="56" t="s">
        <v>54</v>
      </c>
      <c r="D133" s="12" t="s">
        <v>6735</v>
      </c>
      <c r="E133" s="12" t="s">
        <v>6736</v>
      </c>
      <c r="F133" s="16" t="s">
        <v>6737</v>
      </c>
      <c r="G133" s="10" t="s">
        <v>30</v>
      </c>
      <c r="H133" s="10" t="s">
        <v>277</v>
      </c>
      <c r="I133" s="59" t="s">
        <v>3</v>
      </c>
      <c r="J133" s="53">
        <v>46153</v>
      </c>
      <c r="K133" s="13" t="s">
        <v>6738</v>
      </c>
      <c r="L133" s="53">
        <f t="shared" si="37"/>
        <v>46160</v>
      </c>
      <c r="M133" s="53">
        <v>46165</v>
      </c>
      <c r="N133" s="92">
        <f t="shared" si="38"/>
        <v>5</v>
      </c>
      <c r="O133" s="10" t="s">
        <v>6742</v>
      </c>
      <c r="P133" s="10"/>
      <c r="Q133" s="21"/>
      <c r="R133" s="10"/>
      <c r="S133" s="10"/>
      <c r="T133" s="21"/>
      <c r="U133" s="95"/>
      <c r="V133" s="10"/>
      <c r="W133" s="10"/>
      <c r="X133" s="21"/>
      <c r="Y133" s="10"/>
      <c r="Z133" s="10"/>
      <c r="AA133" s="21"/>
      <c r="AB133" s="95"/>
      <c r="AC133" s="10"/>
      <c r="AD133" s="10"/>
      <c r="AE133" s="21"/>
      <c r="AF133" s="10"/>
      <c r="AG133" s="10"/>
      <c r="AH133" s="21"/>
      <c r="AI133" s="95"/>
      <c r="AJ133" s="10"/>
      <c r="AK133" s="10"/>
      <c r="AL133" s="17"/>
      <c r="AM133" s="11"/>
      <c r="AN133" s="11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1"/>
      <c r="BF133" s="259"/>
    </row>
    <row r="134" spans="1:58" s="381" customFormat="1" ht="42" customHeight="1" x14ac:dyDescent="0.25">
      <c r="A134" s="442" t="s">
        <v>3256</v>
      </c>
      <c r="B134" s="11" t="s">
        <v>18</v>
      </c>
      <c r="C134" s="56" t="s">
        <v>54</v>
      </c>
      <c r="D134" s="12" t="s">
        <v>6802</v>
      </c>
      <c r="E134" s="12" t="s">
        <v>6803</v>
      </c>
      <c r="F134" s="16" t="s">
        <v>6805</v>
      </c>
      <c r="G134" s="10" t="s">
        <v>30</v>
      </c>
      <c r="H134" s="10" t="s">
        <v>277</v>
      </c>
      <c r="I134" s="59" t="s">
        <v>18</v>
      </c>
      <c r="J134" s="53">
        <v>46158</v>
      </c>
      <c r="K134" s="13" t="s">
        <v>6804</v>
      </c>
      <c r="L134" s="53">
        <f t="shared" si="37"/>
        <v>46165</v>
      </c>
      <c r="M134" s="53">
        <v>46173</v>
      </c>
      <c r="N134" s="92">
        <f t="shared" si="38"/>
        <v>8</v>
      </c>
      <c r="O134" s="10" t="s">
        <v>6815</v>
      </c>
      <c r="P134" s="10"/>
      <c r="Q134" s="21"/>
      <c r="R134" s="10"/>
      <c r="S134" s="10"/>
      <c r="T134" s="21"/>
      <c r="U134" s="95"/>
      <c r="V134" s="10"/>
      <c r="W134" s="10"/>
      <c r="X134" s="21"/>
      <c r="Y134" s="10"/>
      <c r="Z134" s="10"/>
      <c r="AA134" s="21"/>
      <c r="AB134" s="95"/>
      <c r="AC134" s="10"/>
      <c r="AD134" s="10"/>
      <c r="AE134" s="21"/>
      <c r="AF134" s="10"/>
      <c r="AG134" s="10"/>
      <c r="AH134" s="21"/>
      <c r="AI134" s="95"/>
      <c r="AJ134" s="10"/>
      <c r="AK134" s="10"/>
      <c r="AL134" s="17"/>
      <c r="AM134" s="11"/>
      <c r="AN134" s="11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1"/>
      <c r="BF134" s="259"/>
    </row>
    <row r="135" spans="1:58" s="381" customFormat="1" ht="42" customHeight="1" x14ac:dyDescent="0.25">
      <c r="A135" s="442" t="s">
        <v>3256</v>
      </c>
      <c r="B135" s="11" t="s">
        <v>7543</v>
      </c>
      <c r="C135" s="56" t="s">
        <v>725</v>
      </c>
      <c r="D135" s="12" t="s">
        <v>6948</v>
      </c>
      <c r="E135" s="12" t="s">
        <v>6949</v>
      </c>
      <c r="F135" s="16" t="s">
        <v>6950</v>
      </c>
      <c r="G135" s="10" t="s">
        <v>30</v>
      </c>
      <c r="H135" s="10" t="s">
        <v>277</v>
      </c>
      <c r="I135" s="59" t="s">
        <v>3</v>
      </c>
      <c r="J135" s="53">
        <v>46181</v>
      </c>
      <c r="K135" s="13" t="s">
        <v>6951</v>
      </c>
      <c r="L135" s="53">
        <f t="shared" si="37"/>
        <v>46188</v>
      </c>
      <c r="M135" s="53">
        <v>46190</v>
      </c>
      <c r="N135" s="92">
        <f t="shared" si="38"/>
        <v>2</v>
      </c>
      <c r="O135" s="10" t="s">
        <v>6952</v>
      </c>
      <c r="P135" s="10" t="s">
        <v>3</v>
      </c>
      <c r="Q135" s="21">
        <v>46215</v>
      </c>
      <c r="R135" s="10" t="s">
        <v>7263</v>
      </c>
      <c r="S135" s="53">
        <f>Q135+7</f>
        <v>46222</v>
      </c>
      <c r="T135" s="21">
        <v>46225</v>
      </c>
      <c r="U135" s="95">
        <f>T135-S135</f>
        <v>3</v>
      </c>
      <c r="V135" s="10" t="s">
        <v>7265</v>
      </c>
      <c r="W135" s="10" t="s">
        <v>3</v>
      </c>
      <c r="X135" s="21">
        <v>46240</v>
      </c>
      <c r="Y135" s="10" t="s">
        <v>7436</v>
      </c>
      <c r="Z135" s="10">
        <f>X135+7</f>
        <v>46247</v>
      </c>
      <c r="AA135" s="21">
        <v>46247</v>
      </c>
      <c r="AB135" s="95">
        <f>AA135-Z135</f>
        <v>0</v>
      </c>
      <c r="AC135" s="10" t="s">
        <v>7442</v>
      </c>
      <c r="AD135" s="10" t="s">
        <v>7543</v>
      </c>
      <c r="AE135" s="21">
        <v>46261</v>
      </c>
      <c r="AF135" s="10" t="s">
        <v>7533</v>
      </c>
      <c r="AG135" s="53">
        <f>AE135+7</f>
        <v>46268</v>
      </c>
      <c r="AH135" s="21"/>
      <c r="AI135" s="92">
        <f>AH135-AG135</f>
        <v>-46268</v>
      </c>
      <c r="AJ135" s="10" t="s">
        <v>7544</v>
      </c>
      <c r="AK135" s="10"/>
      <c r="AL135" s="17"/>
      <c r="AM135" s="11"/>
      <c r="AN135" s="11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1"/>
      <c r="BF135" s="259"/>
    </row>
    <row r="136" spans="1:58" s="381" customFormat="1" ht="42" customHeight="1" x14ac:dyDescent="0.25">
      <c r="A136" s="442" t="s">
        <v>3256</v>
      </c>
      <c r="B136" s="11" t="s">
        <v>5</v>
      </c>
      <c r="C136" s="56" t="s">
        <v>588</v>
      </c>
      <c r="D136" s="12" t="s">
        <v>7107</v>
      </c>
      <c r="E136" s="12" t="s">
        <v>7108</v>
      </c>
      <c r="F136" s="16" t="s">
        <v>7109</v>
      </c>
      <c r="G136" s="10" t="s">
        <v>30</v>
      </c>
      <c r="H136" s="10" t="s">
        <v>277</v>
      </c>
      <c r="I136" s="59" t="s">
        <v>3</v>
      </c>
      <c r="J136" s="53">
        <v>46200</v>
      </c>
      <c r="K136" s="13" t="s">
        <v>7110</v>
      </c>
      <c r="L136" s="53">
        <f t="shared" si="37"/>
        <v>46207</v>
      </c>
      <c r="M136" s="53">
        <v>46211</v>
      </c>
      <c r="N136" s="92">
        <f t="shared" si="38"/>
        <v>4</v>
      </c>
      <c r="O136" s="10" t="s">
        <v>7123</v>
      </c>
      <c r="P136" s="10" t="s">
        <v>18</v>
      </c>
      <c r="Q136" s="21">
        <v>46219</v>
      </c>
      <c r="R136" s="10" t="s">
        <v>7298</v>
      </c>
      <c r="S136" s="53">
        <f>Q136+7</f>
        <v>46226</v>
      </c>
      <c r="T136" s="21">
        <v>46230</v>
      </c>
      <c r="U136" s="95">
        <f>T136-S136</f>
        <v>4</v>
      </c>
      <c r="V136" s="10" t="s">
        <v>7314</v>
      </c>
      <c r="W136" s="10" t="s">
        <v>5</v>
      </c>
      <c r="X136" s="21">
        <v>46236</v>
      </c>
      <c r="Y136" s="10" t="s">
        <v>7400</v>
      </c>
      <c r="Z136" s="10">
        <f>X136+7</f>
        <v>46243</v>
      </c>
      <c r="AA136" s="21">
        <v>46245</v>
      </c>
      <c r="AB136" s="95">
        <f>AA136-Z136</f>
        <v>2</v>
      </c>
      <c r="AC136" s="10" t="s">
        <v>7407</v>
      </c>
      <c r="AD136" s="10"/>
      <c r="AE136" s="21"/>
      <c r="AF136" s="10"/>
      <c r="AG136" s="10"/>
      <c r="AH136" s="21"/>
      <c r="AI136" s="95"/>
      <c r="AJ136" s="10"/>
      <c r="AK136" s="10"/>
      <c r="AL136" s="17"/>
      <c r="AM136" s="11"/>
      <c r="AN136" s="11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1"/>
      <c r="BF136" s="259"/>
    </row>
    <row r="137" spans="1:58" s="381" customFormat="1" ht="42" customHeight="1" x14ac:dyDescent="0.25">
      <c r="A137" s="442" t="s">
        <v>3256</v>
      </c>
      <c r="B137" s="11" t="s">
        <v>3</v>
      </c>
      <c r="C137" s="56" t="s">
        <v>208</v>
      </c>
      <c r="D137" s="12" t="s">
        <v>7286</v>
      </c>
      <c r="E137" s="12" t="s">
        <v>7287</v>
      </c>
      <c r="F137" s="16" t="s">
        <v>7288</v>
      </c>
      <c r="G137" s="10" t="s">
        <v>30</v>
      </c>
      <c r="H137" s="10" t="s">
        <v>277</v>
      </c>
      <c r="I137" s="59" t="s">
        <v>3</v>
      </c>
      <c r="J137" s="53">
        <v>46218</v>
      </c>
      <c r="K137" s="13" t="s">
        <v>7289</v>
      </c>
      <c r="L137" s="53">
        <f t="shared" si="37"/>
        <v>46225</v>
      </c>
      <c r="M137" s="53">
        <v>46229</v>
      </c>
      <c r="N137" s="92">
        <f t="shared" si="38"/>
        <v>4</v>
      </c>
      <c r="O137" s="10" t="s">
        <v>7290</v>
      </c>
      <c r="P137" s="10" t="s">
        <v>3</v>
      </c>
      <c r="Q137" s="21">
        <v>46256</v>
      </c>
      <c r="R137" s="10" t="s">
        <v>7502</v>
      </c>
      <c r="S137" s="53">
        <f>Q137+7</f>
        <v>46263</v>
      </c>
      <c r="T137" s="21">
        <v>46261</v>
      </c>
      <c r="U137" s="95">
        <f>T137-S137</f>
        <v>-2</v>
      </c>
      <c r="V137" s="10" t="s">
        <v>7503</v>
      </c>
      <c r="W137" s="10"/>
      <c r="X137" s="21"/>
      <c r="Y137" s="10"/>
      <c r="Z137" s="10"/>
      <c r="AA137" s="21"/>
      <c r="AB137" s="95"/>
      <c r="AC137" s="10"/>
      <c r="AD137" s="10"/>
      <c r="AE137" s="21"/>
      <c r="AF137" s="10"/>
      <c r="AG137" s="10"/>
      <c r="AH137" s="21"/>
      <c r="AI137" s="95"/>
      <c r="AJ137" s="10"/>
      <c r="AK137" s="10"/>
      <c r="AL137" s="17"/>
      <c r="AM137" s="11"/>
      <c r="AN137" s="11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1"/>
      <c r="BF137" s="259"/>
    </row>
    <row r="138" spans="1:58" s="381" customFormat="1" ht="42" customHeight="1" x14ac:dyDescent="0.25">
      <c r="A138" s="442" t="s">
        <v>3256</v>
      </c>
      <c r="B138" s="11" t="s">
        <v>4</v>
      </c>
      <c r="C138" s="56" t="s">
        <v>208</v>
      </c>
      <c r="D138" s="12" t="s">
        <v>7300</v>
      </c>
      <c r="E138" s="12" t="s">
        <v>7301</v>
      </c>
      <c r="F138" s="16" t="s">
        <v>7302</v>
      </c>
      <c r="G138" s="10" t="s">
        <v>30</v>
      </c>
      <c r="H138" s="10" t="s">
        <v>277</v>
      </c>
      <c r="I138" s="59" t="s">
        <v>3</v>
      </c>
      <c r="J138" s="53">
        <v>46219</v>
      </c>
      <c r="K138" s="13" t="s">
        <v>7303</v>
      </c>
      <c r="L138" s="53">
        <f t="shared" si="37"/>
        <v>46226</v>
      </c>
      <c r="M138" s="53">
        <v>46230</v>
      </c>
      <c r="N138" s="92">
        <f t="shared" si="38"/>
        <v>4</v>
      </c>
      <c r="O138" s="10" t="s">
        <v>7315</v>
      </c>
      <c r="P138" s="10" t="s">
        <v>4</v>
      </c>
      <c r="Q138" s="21">
        <v>46253</v>
      </c>
      <c r="R138" s="10" t="s">
        <v>7493</v>
      </c>
      <c r="S138" s="53">
        <f>Q138+7</f>
        <v>46260</v>
      </c>
      <c r="T138" s="21"/>
      <c r="U138" s="95">
        <f>T138-S138</f>
        <v>-46260</v>
      </c>
      <c r="V138" s="10" t="s">
        <v>7520</v>
      </c>
      <c r="W138" s="10"/>
      <c r="X138" s="21"/>
      <c r="Y138" s="10"/>
      <c r="Z138" s="10"/>
      <c r="AA138" s="21"/>
      <c r="AB138" s="95"/>
      <c r="AC138" s="10"/>
      <c r="AD138" s="10"/>
      <c r="AE138" s="21"/>
      <c r="AF138" s="10"/>
      <c r="AG138" s="10"/>
      <c r="AH138" s="21"/>
      <c r="AI138" s="95"/>
      <c r="AJ138" s="10"/>
      <c r="AK138" s="10"/>
      <c r="AL138" s="17"/>
      <c r="AM138" s="11"/>
      <c r="AN138" s="11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1"/>
      <c r="BF138" s="259"/>
    </row>
    <row r="139" spans="1:58" s="381" customFormat="1" ht="42" customHeight="1" x14ac:dyDescent="0.25">
      <c r="A139" s="442" t="s">
        <v>3256</v>
      </c>
      <c r="B139" s="11" t="s">
        <v>3</v>
      </c>
      <c r="C139" s="56" t="s">
        <v>54</v>
      </c>
      <c r="D139" s="12" t="s">
        <v>7305</v>
      </c>
      <c r="E139" s="12" t="s">
        <v>7306</v>
      </c>
      <c r="F139" s="16" t="s">
        <v>7307</v>
      </c>
      <c r="G139" s="10" t="s">
        <v>30</v>
      </c>
      <c r="H139" s="10" t="s">
        <v>277</v>
      </c>
      <c r="I139" s="59" t="s">
        <v>3</v>
      </c>
      <c r="J139" s="53">
        <v>46219</v>
      </c>
      <c r="K139" s="13" t="s">
        <v>7308</v>
      </c>
      <c r="L139" s="53">
        <f t="shared" si="37"/>
        <v>46226</v>
      </c>
      <c r="M139" s="53">
        <v>46232</v>
      </c>
      <c r="N139" s="92">
        <f t="shared" si="38"/>
        <v>6</v>
      </c>
      <c r="O139" s="10" t="s">
        <v>7316</v>
      </c>
      <c r="P139" s="10"/>
      <c r="Q139" s="21"/>
      <c r="R139" s="10"/>
      <c r="S139" s="10"/>
      <c r="T139" s="21"/>
      <c r="U139" s="95"/>
      <c r="V139" s="10"/>
      <c r="W139" s="10"/>
      <c r="X139" s="21"/>
      <c r="Y139" s="10"/>
      <c r="Z139" s="10"/>
      <c r="AA139" s="21"/>
      <c r="AB139" s="95"/>
      <c r="AC139" s="10"/>
      <c r="AD139" s="10"/>
      <c r="AE139" s="21"/>
      <c r="AF139" s="10"/>
      <c r="AG139" s="10"/>
      <c r="AH139" s="21"/>
      <c r="AI139" s="95"/>
      <c r="AJ139" s="10"/>
      <c r="AK139" s="10"/>
      <c r="AL139" s="17"/>
      <c r="AM139" s="11"/>
      <c r="AN139" s="11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1"/>
      <c r="BF139" s="259"/>
    </row>
    <row r="140" spans="1:58" s="381" customFormat="1" ht="42" customHeight="1" x14ac:dyDescent="0.25">
      <c r="A140" s="442" t="s">
        <v>3256</v>
      </c>
      <c r="B140" s="11" t="s">
        <v>4</v>
      </c>
      <c r="C140" s="56" t="s">
        <v>208</v>
      </c>
      <c r="D140" s="12" t="s">
        <v>7338</v>
      </c>
      <c r="E140" s="12" t="s">
        <v>7339</v>
      </c>
      <c r="F140" s="16" t="s">
        <v>7340</v>
      </c>
      <c r="G140" s="10" t="s">
        <v>30</v>
      </c>
      <c r="H140" s="10" t="s">
        <v>277</v>
      </c>
      <c r="I140" s="59" t="s">
        <v>3</v>
      </c>
      <c r="J140" s="53">
        <v>46231</v>
      </c>
      <c r="K140" s="13" t="s">
        <v>7341</v>
      </c>
      <c r="L140" s="53">
        <f t="shared" si="37"/>
        <v>46238</v>
      </c>
      <c r="M140" s="53">
        <v>46243</v>
      </c>
      <c r="N140" s="92">
        <f t="shared" si="38"/>
        <v>5</v>
      </c>
      <c r="O140" s="10" t="s">
        <v>7342</v>
      </c>
      <c r="P140" s="10" t="s">
        <v>4</v>
      </c>
      <c r="Q140" s="21">
        <v>46256</v>
      </c>
      <c r="R140" s="10" t="s">
        <v>7497</v>
      </c>
      <c r="S140" s="53">
        <f>Q140+7</f>
        <v>46263</v>
      </c>
      <c r="T140" s="21"/>
      <c r="U140" s="95">
        <f>T140-S140</f>
        <v>-46263</v>
      </c>
      <c r="V140" s="10" t="s">
        <v>7519</v>
      </c>
      <c r="W140" s="10"/>
      <c r="X140" s="21"/>
      <c r="Y140" s="10"/>
      <c r="Z140" s="10"/>
      <c r="AA140" s="21"/>
      <c r="AB140" s="95"/>
      <c r="AC140" s="10"/>
      <c r="AD140" s="10"/>
      <c r="AE140" s="21"/>
      <c r="AF140" s="10"/>
      <c r="AG140" s="10"/>
      <c r="AH140" s="21"/>
      <c r="AI140" s="95"/>
      <c r="AJ140" s="10"/>
      <c r="AK140" s="10"/>
      <c r="AL140" s="17"/>
      <c r="AM140" s="11"/>
      <c r="AN140" s="11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1"/>
      <c r="BF140" s="259"/>
    </row>
    <row r="141" spans="1:58" s="381" customFormat="1" ht="42" customHeight="1" x14ac:dyDescent="0.25">
      <c r="A141" s="442" t="s">
        <v>3256</v>
      </c>
      <c r="B141" s="11" t="s">
        <v>3</v>
      </c>
      <c r="C141" s="56" t="s">
        <v>54</v>
      </c>
      <c r="D141" s="12" t="s">
        <v>7429</v>
      </c>
      <c r="E141" s="12" t="s">
        <v>7430</v>
      </c>
      <c r="F141" s="16" t="s">
        <v>7431</v>
      </c>
      <c r="G141" s="10" t="s">
        <v>30</v>
      </c>
      <c r="H141" s="10" t="s">
        <v>277</v>
      </c>
      <c r="I141" s="59" t="s">
        <v>3</v>
      </c>
      <c r="J141" s="53">
        <v>46239</v>
      </c>
      <c r="K141" s="13" t="s">
        <v>7432</v>
      </c>
      <c r="L141" s="53">
        <f t="shared" si="37"/>
        <v>46246</v>
      </c>
      <c r="M141" s="53">
        <v>46250</v>
      </c>
      <c r="N141" s="92">
        <f t="shared" si="38"/>
        <v>4</v>
      </c>
      <c r="O141" s="10" t="s">
        <v>7434</v>
      </c>
      <c r="P141" s="10"/>
      <c r="Q141" s="21"/>
      <c r="R141" s="10"/>
      <c r="S141" s="10"/>
      <c r="T141" s="21"/>
      <c r="U141" s="95"/>
      <c r="V141" s="10"/>
      <c r="W141" s="10"/>
      <c r="X141" s="21"/>
      <c r="Y141" s="10"/>
      <c r="Z141" s="10"/>
      <c r="AA141" s="21"/>
      <c r="AB141" s="95"/>
      <c r="AC141" s="10"/>
      <c r="AD141" s="10"/>
      <c r="AE141" s="21"/>
      <c r="AF141" s="10"/>
      <c r="AG141" s="10"/>
      <c r="AH141" s="21"/>
      <c r="AI141" s="95"/>
      <c r="AJ141" s="10"/>
      <c r="AK141" s="10"/>
      <c r="AL141" s="17"/>
      <c r="AM141" s="11"/>
      <c r="AN141" s="11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1"/>
      <c r="BF141" s="259"/>
    </row>
    <row r="142" spans="1:58" s="381" customFormat="1" ht="42" customHeight="1" x14ac:dyDescent="0.25">
      <c r="A142" s="442" t="s">
        <v>3256</v>
      </c>
      <c r="B142" s="11" t="s">
        <v>5</v>
      </c>
      <c r="C142" s="56" t="s">
        <v>54</v>
      </c>
      <c r="D142" s="12" t="s">
        <v>7456</v>
      </c>
      <c r="E142" s="12" t="s">
        <v>7457</v>
      </c>
      <c r="F142" s="16" t="s">
        <v>7458</v>
      </c>
      <c r="G142" s="10" t="s">
        <v>30</v>
      </c>
      <c r="H142" s="10" t="s">
        <v>277</v>
      </c>
      <c r="I142" s="59" t="s">
        <v>5</v>
      </c>
      <c r="J142" s="53">
        <v>46246</v>
      </c>
      <c r="K142" s="13" t="s">
        <v>7459</v>
      </c>
      <c r="L142" s="53">
        <f t="shared" si="37"/>
        <v>46253</v>
      </c>
      <c r="M142" s="53">
        <v>46250</v>
      </c>
      <c r="N142" s="92">
        <f t="shared" si="38"/>
        <v>-3</v>
      </c>
      <c r="O142" s="10" t="s">
        <v>7460</v>
      </c>
      <c r="P142" s="10"/>
      <c r="Q142" s="21"/>
      <c r="R142" s="10"/>
      <c r="S142" s="10"/>
      <c r="T142" s="21"/>
      <c r="U142" s="95"/>
      <c r="V142" s="10"/>
      <c r="W142" s="10"/>
      <c r="X142" s="21"/>
      <c r="Y142" s="10"/>
      <c r="Z142" s="10"/>
      <c r="AA142" s="21"/>
      <c r="AB142" s="95"/>
      <c r="AC142" s="10"/>
      <c r="AD142" s="10"/>
      <c r="AE142" s="21"/>
      <c r="AF142" s="10"/>
      <c r="AG142" s="10"/>
      <c r="AH142" s="21"/>
      <c r="AI142" s="95"/>
      <c r="AJ142" s="10"/>
      <c r="AK142" s="10"/>
      <c r="AL142" s="17"/>
      <c r="AM142" s="11"/>
      <c r="AN142" s="11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1"/>
      <c r="BF142" s="259"/>
    </row>
    <row r="143" spans="1:58" s="381" customFormat="1" ht="42" customHeight="1" x14ac:dyDescent="0.25">
      <c r="A143" s="442" t="s">
        <v>3256</v>
      </c>
      <c r="B143" s="11" t="s">
        <v>4</v>
      </c>
      <c r="C143" s="56" t="s">
        <v>54</v>
      </c>
      <c r="D143" s="12" t="s">
        <v>7539</v>
      </c>
      <c r="E143" s="12" t="s">
        <v>7540</v>
      </c>
      <c r="F143" s="494" t="s">
        <v>7541</v>
      </c>
      <c r="G143" s="10" t="s">
        <v>30</v>
      </c>
      <c r="H143" s="10" t="s">
        <v>277</v>
      </c>
      <c r="I143" s="498" t="s">
        <v>4</v>
      </c>
      <c r="J143" s="503">
        <v>46261</v>
      </c>
      <c r="K143" s="504" t="s">
        <v>7542</v>
      </c>
      <c r="L143" s="53">
        <f t="shared" si="37"/>
        <v>46268</v>
      </c>
      <c r="M143" s="503"/>
      <c r="N143" s="92">
        <f t="shared" si="38"/>
        <v>-46268</v>
      </c>
      <c r="O143" s="496"/>
      <c r="P143" s="496"/>
      <c r="Q143" s="505"/>
      <c r="R143" s="496"/>
      <c r="S143" s="496"/>
      <c r="T143" s="505"/>
      <c r="U143" s="506"/>
      <c r="V143" s="496"/>
      <c r="W143" s="496"/>
      <c r="X143" s="505"/>
      <c r="Y143" s="496"/>
      <c r="Z143" s="496"/>
      <c r="AA143" s="505"/>
      <c r="AB143" s="506"/>
      <c r="AC143" s="496"/>
      <c r="AD143" s="496"/>
      <c r="AE143" s="505"/>
      <c r="AF143" s="496"/>
      <c r="AG143" s="496"/>
      <c r="AH143" s="505"/>
      <c r="AI143" s="506"/>
      <c r="AJ143" s="496"/>
      <c r="AK143" s="496"/>
      <c r="AL143" s="507"/>
      <c r="AM143" s="502"/>
      <c r="AN143" s="502"/>
      <c r="AO143" s="507"/>
      <c r="AP143" s="507"/>
      <c r="AQ143" s="507"/>
      <c r="AR143" s="507"/>
      <c r="AS143" s="507"/>
      <c r="AT143" s="507"/>
      <c r="AU143" s="507"/>
      <c r="AV143" s="507"/>
      <c r="AW143" s="507"/>
      <c r="AX143" s="507"/>
      <c r="AY143" s="507"/>
      <c r="AZ143" s="507"/>
      <c r="BA143" s="507"/>
      <c r="BB143" s="507"/>
      <c r="BC143" s="507"/>
      <c r="BD143" s="507"/>
      <c r="BE143" s="502"/>
      <c r="BF143" s="501"/>
    </row>
    <row r="144" spans="1:58" s="381" customFormat="1" ht="42" customHeight="1" x14ac:dyDescent="0.25">
      <c r="A144" s="442" t="s">
        <v>3256</v>
      </c>
      <c r="B144" s="11" t="s">
        <v>4</v>
      </c>
      <c r="C144" s="56" t="s">
        <v>54</v>
      </c>
      <c r="D144" s="12" t="s">
        <v>7557</v>
      </c>
      <c r="E144" s="12" t="s">
        <v>7558</v>
      </c>
      <c r="F144" s="494" t="s">
        <v>7559</v>
      </c>
      <c r="G144" s="10" t="s">
        <v>30</v>
      </c>
      <c r="H144" s="10" t="s">
        <v>277</v>
      </c>
      <c r="I144" s="498" t="s">
        <v>4</v>
      </c>
      <c r="J144" s="503">
        <v>46264</v>
      </c>
      <c r="K144" s="504" t="s">
        <v>7560</v>
      </c>
      <c r="L144" s="53">
        <f t="shared" si="37"/>
        <v>46271</v>
      </c>
      <c r="M144" s="503"/>
      <c r="N144" s="92">
        <f t="shared" si="38"/>
        <v>-46271</v>
      </c>
      <c r="O144" s="496"/>
      <c r="P144" s="496"/>
      <c r="Q144" s="505"/>
      <c r="R144" s="496"/>
      <c r="S144" s="496"/>
      <c r="T144" s="505"/>
      <c r="U144" s="506"/>
      <c r="V144" s="496"/>
      <c r="W144" s="496"/>
      <c r="X144" s="505"/>
      <c r="Y144" s="496"/>
      <c r="Z144" s="496"/>
      <c r="AA144" s="505"/>
      <c r="AB144" s="506"/>
      <c r="AC144" s="496"/>
      <c r="AD144" s="496"/>
      <c r="AE144" s="505"/>
      <c r="AF144" s="496"/>
      <c r="AG144" s="496"/>
      <c r="AH144" s="505"/>
      <c r="AI144" s="506"/>
      <c r="AJ144" s="496"/>
      <c r="AK144" s="496"/>
      <c r="AL144" s="507"/>
      <c r="AM144" s="502"/>
      <c r="AN144" s="502"/>
      <c r="AO144" s="507"/>
      <c r="AP144" s="507"/>
      <c r="AQ144" s="507"/>
      <c r="AR144" s="507"/>
      <c r="AS144" s="507"/>
      <c r="AT144" s="507"/>
      <c r="AU144" s="507"/>
      <c r="AV144" s="507"/>
      <c r="AW144" s="507"/>
      <c r="AX144" s="507"/>
      <c r="AY144" s="507"/>
      <c r="AZ144" s="507"/>
      <c r="BA144" s="507"/>
      <c r="BB144" s="507"/>
      <c r="BC144" s="507"/>
      <c r="BD144" s="507"/>
      <c r="BE144" s="502"/>
      <c r="BF144" s="501"/>
    </row>
    <row r="145" spans="1:58" s="381" customFormat="1" ht="42" customHeight="1" thickBot="1" x14ac:dyDescent="0.3">
      <c r="A145" s="443"/>
      <c r="B145" s="371"/>
      <c r="C145" s="444"/>
      <c r="D145" s="370"/>
      <c r="E145" s="370"/>
      <c r="F145" s="262"/>
      <c r="G145" s="263"/>
      <c r="H145" s="263"/>
      <c r="I145" s="264"/>
      <c r="J145" s="372"/>
      <c r="K145" s="373"/>
      <c r="L145" s="372"/>
      <c r="M145" s="372"/>
      <c r="N145" s="425"/>
      <c r="O145" s="263"/>
      <c r="P145" s="263"/>
      <c r="Q145" s="374"/>
      <c r="R145" s="263"/>
      <c r="S145" s="263"/>
      <c r="T145" s="374"/>
      <c r="U145" s="375"/>
      <c r="V145" s="263"/>
      <c r="W145" s="263"/>
      <c r="X145" s="374"/>
      <c r="Y145" s="263"/>
      <c r="Z145" s="263"/>
      <c r="AA145" s="374"/>
      <c r="AB145" s="375"/>
      <c r="AC145" s="263"/>
      <c r="AD145" s="263"/>
      <c r="AE145" s="374"/>
      <c r="AF145" s="263"/>
      <c r="AG145" s="263"/>
      <c r="AH145" s="374"/>
      <c r="AI145" s="375"/>
      <c r="AJ145" s="263"/>
      <c r="AK145" s="263"/>
      <c r="AL145" s="376"/>
      <c r="AM145" s="371"/>
      <c r="AN145" s="371"/>
      <c r="AO145" s="376"/>
      <c r="AP145" s="376"/>
      <c r="AQ145" s="376"/>
      <c r="AR145" s="376"/>
      <c r="AS145" s="376"/>
      <c r="AT145" s="376"/>
      <c r="AU145" s="376"/>
      <c r="AV145" s="376"/>
      <c r="AW145" s="376"/>
      <c r="AX145" s="376"/>
      <c r="AY145" s="376"/>
      <c r="AZ145" s="376"/>
      <c r="BA145" s="376"/>
      <c r="BB145" s="376"/>
      <c r="BC145" s="376"/>
      <c r="BD145" s="376"/>
      <c r="BE145" s="371"/>
      <c r="BF145" s="266"/>
    </row>
    <row r="146" spans="1:58" s="381" customFormat="1" ht="42" customHeight="1" x14ac:dyDescent="0.25">
      <c r="A146" s="15"/>
      <c r="B146" s="118"/>
      <c r="C146" s="118"/>
      <c r="D146" s="119"/>
      <c r="E146" s="119"/>
      <c r="F146" s="251"/>
      <c r="G146" s="250"/>
      <c r="H146" s="250"/>
      <c r="I146" s="254"/>
      <c r="J146" s="252"/>
      <c r="K146" s="253"/>
      <c r="L146" s="253"/>
      <c r="M146" s="252"/>
      <c r="N146" s="335"/>
      <c r="O146" s="250"/>
      <c r="P146" s="250"/>
      <c r="Q146" s="336"/>
      <c r="R146" s="250"/>
      <c r="S146" s="250"/>
      <c r="T146" s="336"/>
      <c r="U146" s="337"/>
      <c r="V146" s="250"/>
      <c r="W146" s="250"/>
      <c r="X146" s="336"/>
      <c r="Y146" s="250"/>
      <c r="Z146" s="250"/>
      <c r="AA146" s="336"/>
      <c r="AB146" s="337"/>
      <c r="AC146" s="250"/>
      <c r="AD146" s="250"/>
      <c r="AE146" s="336"/>
      <c r="AF146" s="250"/>
      <c r="AG146" s="250"/>
      <c r="AH146" s="336"/>
      <c r="AI146" s="337"/>
      <c r="AJ146" s="250"/>
      <c r="AK146" s="250"/>
      <c r="AL146" s="338"/>
      <c r="AM146" s="118"/>
      <c r="AN146" s="118"/>
      <c r="AO146" s="338"/>
      <c r="AP146" s="338"/>
      <c r="AQ146" s="338"/>
      <c r="AR146" s="338"/>
      <c r="AS146" s="338"/>
      <c r="AT146" s="338"/>
      <c r="AU146" s="338"/>
      <c r="AV146" s="338"/>
      <c r="AW146" s="338"/>
      <c r="AX146" s="338"/>
      <c r="AY146" s="338"/>
      <c r="AZ146" s="338"/>
      <c r="BA146" s="338"/>
      <c r="BB146" s="338"/>
      <c r="BC146" s="338"/>
      <c r="BD146" s="338"/>
      <c r="BE146" s="118"/>
      <c r="BF146" s="80"/>
    </row>
    <row r="147" spans="1:58" s="381" customFormat="1" ht="42" customHeight="1" x14ac:dyDescent="0.25">
      <c r="B147" s="383"/>
      <c r="C147" s="383"/>
      <c r="E147" s="382"/>
      <c r="F147" s="384"/>
      <c r="G147" s="385"/>
      <c r="H147" s="385"/>
      <c r="I147" s="386"/>
      <c r="J147" s="387"/>
      <c r="K147" s="388"/>
      <c r="L147" s="388"/>
      <c r="M147" s="387"/>
      <c r="N147" s="389"/>
      <c r="O147" s="385"/>
      <c r="P147" s="385"/>
      <c r="Q147" s="390"/>
      <c r="R147" s="385"/>
      <c r="S147" s="385"/>
      <c r="T147" s="390"/>
      <c r="U147" s="391"/>
      <c r="V147" s="385"/>
      <c r="W147" s="385"/>
      <c r="X147" s="390"/>
      <c r="Y147" s="385"/>
      <c r="Z147" s="385"/>
      <c r="AA147" s="390"/>
      <c r="AB147" s="391"/>
      <c r="AC147" s="385"/>
      <c r="AD147" s="385"/>
      <c r="AE147" s="390"/>
      <c r="AF147" s="385"/>
      <c r="AG147" s="385"/>
      <c r="AH147" s="390"/>
      <c r="AI147" s="391"/>
      <c r="AJ147" s="385"/>
      <c r="AK147" s="385"/>
      <c r="AL147" s="392"/>
      <c r="AM147" s="383"/>
      <c r="AN147" s="383"/>
      <c r="AO147" s="392"/>
      <c r="AP147" s="392"/>
      <c r="AQ147" s="392"/>
      <c r="AR147" s="392"/>
      <c r="AS147" s="392"/>
      <c r="AT147" s="392"/>
      <c r="AU147" s="392"/>
      <c r="AV147" s="392"/>
      <c r="AW147" s="392"/>
      <c r="AX147" s="392"/>
      <c r="AY147" s="392"/>
      <c r="AZ147" s="392"/>
      <c r="BA147" s="392"/>
      <c r="BB147" s="392"/>
      <c r="BC147" s="392"/>
      <c r="BD147" s="392"/>
      <c r="BE147" s="383"/>
      <c r="BF147" s="437"/>
    </row>
    <row r="148" spans="1:58" s="381" customFormat="1" ht="42" customHeight="1" x14ac:dyDescent="0.25">
      <c r="B148" s="383"/>
      <c r="C148" s="383"/>
      <c r="D148" s="382"/>
      <c r="E148" s="382"/>
      <c r="F148" s="384"/>
      <c r="G148" s="385"/>
      <c r="H148" s="385"/>
      <c r="I148" s="386"/>
      <c r="J148" s="387"/>
      <c r="K148" s="388"/>
      <c r="L148" s="388"/>
      <c r="M148" s="387"/>
      <c r="N148" s="389"/>
      <c r="O148" s="385"/>
      <c r="P148" s="385"/>
      <c r="Q148" s="390"/>
      <c r="R148" s="385"/>
      <c r="S148" s="385"/>
      <c r="T148" s="390"/>
      <c r="U148" s="391"/>
      <c r="V148" s="385"/>
      <c r="W148" s="385"/>
      <c r="X148" s="390"/>
      <c r="Y148" s="385"/>
      <c r="Z148" s="385"/>
      <c r="AA148" s="390"/>
      <c r="AB148" s="391"/>
      <c r="AC148" s="385"/>
      <c r="AD148" s="385"/>
      <c r="AE148" s="390"/>
      <c r="AF148" s="385"/>
      <c r="AG148" s="385"/>
      <c r="AH148" s="390"/>
      <c r="AI148" s="391"/>
      <c r="AJ148" s="385"/>
      <c r="AK148" s="385"/>
      <c r="AL148" s="392"/>
      <c r="AM148" s="383"/>
      <c r="AN148" s="383"/>
      <c r="AO148" s="392"/>
      <c r="AP148" s="392"/>
      <c r="AQ148" s="392"/>
      <c r="AR148" s="392"/>
      <c r="AS148" s="392"/>
      <c r="AT148" s="392"/>
      <c r="AU148" s="392"/>
      <c r="AV148" s="392"/>
      <c r="AW148" s="392"/>
      <c r="AX148" s="392"/>
      <c r="AY148" s="392"/>
      <c r="AZ148" s="392"/>
      <c r="BA148" s="392"/>
      <c r="BB148" s="392"/>
      <c r="BC148" s="392"/>
      <c r="BD148" s="392"/>
      <c r="BE148" s="383"/>
      <c r="BF148" s="437"/>
    </row>
    <row r="149" spans="1:58" s="381" customFormat="1" ht="42" customHeight="1" x14ac:dyDescent="0.25">
      <c r="B149" s="383"/>
      <c r="C149" s="383"/>
      <c r="D149" s="382"/>
      <c r="E149" s="382"/>
      <c r="F149" s="384"/>
      <c r="G149" s="385"/>
      <c r="H149" s="385"/>
      <c r="I149" s="386"/>
      <c r="J149" s="387"/>
      <c r="K149" s="388"/>
      <c r="L149" s="388"/>
      <c r="M149" s="387"/>
      <c r="N149" s="389"/>
      <c r="O149" s="385"/>
      <c r="P149" s="385"/>
      <c r="Q149" s="390"/>
      <c r="R149" s="385"/>
      <c r="S149" s="385"/>
      <c r="T149" s="390"/>
      <c r="U149" s="391"/>
      <c r="V149" s="385"/>
      <c r="W149" s="385"/>
      <c r="X149" s="390"/>
      <c r="Y149" s="385"/>
      <c r="Z149" s="385"/>
      <c r="AA149" s="390"/>
      <c r="AB149" s="391"/>
      <c r="AC149" s="385"/>
      <c r="AD149" s="385"/>
      <c r="AE149" s="390"/>
      <c r="AF149" s="385"/>
      <c r="AG149" s="385"/>
      <c r="AH149" s="390"/>
      <c r="AI149" s="391"/>
      <c r="AJ149" s="385"/>
      <c r="AK149" s="385"/>
      <c r="AL149" s="392"/>
      <c r="AM149" s="383"/>
      <c r="AN149" s="383"/>
      <c r="AO149" s="392"/>
      <c r="AP149" s="392"/>
      <c r="AQ149" s="392"/>
      <c r="AR149" s="392"/>
      <c r="AS149" s="392"/>
      <c r="AT149" s="392"/>
      <c r="AU149" s="392"/>
      <c r="AV149" s="392"/>
      <c r="AW149" s="392"/>
      <c r="AX149" s="392"/>
      <c r="AY149" s="392"/>
      <c r="AZ149" s="392"/>
      <c r="BA149" s="392"/>
      <c r="BB149" s="392"/>
      <c r="BC149" s="392"/>
      <c r="BD149" s="392"/>
      <c r="BE149" s="383"/>
      <c r="BF149" s="437"/>
    </row>
    <row r="150" spans="1:58" s="381" customFormat="1" ht="42" customHeight="1" x14ac:dyDescent="0.25">
      <c r="B150" s="383"/>
      <c r="C150" s="383"/>
      <c r="D150" s="382"/>
      <c r="E150" s="382"/>
      <c r="F150" s="384"/>
      <c r="G150" s="385"/>
      <c r="H150" s="385"/>
      <c r="I150" s="386"/>
      <c r="J150" s="387"/>
      <c r="K150" s="388"/>
      <c r="L150" s="388"/>
      <c r="M150" s="387"/>
      <c r="N150" s="389"/>
      <c r="O150" s="385"/>
      <c r="P150" s="385"/>
      <c r="Q150" s="390"/>
      <c r="R150" s="385"/>
      <c r="S150" s="385"/>
      <c r="T150" s="390"/>
      <c r="U150" s="391"/>
      <c r="V150" s="385"/>
      <c r="W150" s="385"/>
      <c r="X150" s="390"/>
      <c r="Y150" s="385"/>
      <c r="Z150" s="385"/>
      <c r="AA150" s="390"/>
      <c r="AB150" s="391"/>
      <c r="AC150" s="385"/>
      <c r="AD150" s="385"/>
      <c r="AE150" s="390"/>
      <c r="AF150" s="385"/>
      <c r="AG150" s="385"/>
      <c r="AH150" s="390"/>
      <c r="AI150" s="391"/>
      <c r="AJ150" s="385"/>
      <c r="AK150" s="385"/>
      <c r="AL150" s="392"/>
      <c r="AM150" s="383"/>
      <c r="AN150" s="383"/>
      <c r="AO150" s="392"/>
      <c r="AP150" s="392"/>
      <c r="AQ150" s="392"/>
      <c r="AR150" s="392"/>
      <c r="AS150" s="392"/>
      <c r="AT150" s="392"/>
      <c r="AU150" s="392"/>
      <c r="AV150" s="392"/>
      <c r="AW150" s="392"/>
      <c r="AX150" s="392"/>
      <c r="AY150" s="392"/>
      <c r="AZ150" s="392"/>
      <c r="BA150" s="392"/>
      <c r="BB150" s="392"/>
      <c r="BC150" s="392"/>
      <c r="BD150" s="392"/>
      <c r="BE150" s="383"/>
      <c r="BF150" s="437"/>
    </row>
    <row r="151" spans="1:58" s="381" customFormat="1" ht="42" customHeight="1" x14ac:dyDescent="0.25">
      <c r="B151" s="383"/>
      <c r="C151" s="383"/>
      <c r="D151" s="382"/>
      <c r="E151" s="382"/>
      <c r="F151" s="384"/>
      <c r="G151" s="385"/>
      <c r="H151" s="385"/>
      <c r="I151" s="386"/>
      <c r="J151" s="387"/>
      <c r="K151" s="388"/>
      <c r="L151" s="388"/>
      <c r="M151" s="387"/>
      <c r="N151" s="389"/>
      <c r="O151" s="385"/>
      <c r="P151" s="385"/>
      <c r="Q151" s="390"/>
      <c r="R151" s="385"/>
      <c r="S151" s="385"/>
      <c r="T151" s="390"/>
      <c r="U151" s="391"/>
      <c r="V151" s="385"/>
      <c r="W151" s="385"/>
      <c r="X151" s="390"/>
      <c r="Y151" s="385"/>
      <c r="Z151" s="385"/>
      <c r="AA151" s="390"/>
      <c r="AB151" s="391"/>
      <c r="AC151" s="385"/>
      <c r="AD151" s="385"/>
      <c r="AE151" s="390"/>
      <c r="AF151" s="385"/>
      <c r="AG151" s="385"/>
      <c r="AH151" s="390"/>
      <c r="AI151" s="391"/>
      <c r="AJ151" s="385"/>
      <c r="AK151" s="385"/>
      <c r="AL151" s="392"/>
      <c r="AM151" s="383"/>
      <c r="AN151" s="383"/>
      <c r="AO151" s="392"/>
      <c r="AP151" s="392"/>
      <c r="AQ151" s="392"/>
      <c r="AR151" s="392"/>
      <c r="AS151" s="392"/>
      <c r="AT151" s="392"/>
      <c r="AU151" s="392"/>
      <c r="AV151" s="392"/>
      <c r="AW151" s="392"/>
      <c r="AX151" s="392"/>
      <c r="AY151" s="392"/>
      <c r="AZ151" s="392"/>
      <c r="BA151" s="392"/>
      <c r="BB151" s="392"/>
      <c r="BC151" s="392"/>
      <c r="BD151" s="392"/>
      <c r="BE151" s="383"/>
      <c r="BF151" s="437"/>
    </row>
    <row r="152" spans="1:58" s="381" customFormat="1" ht="42" customHeight="1" x14ac:dyDescent="0.25">
      <c r="B152" s="383"/>
      <c r="C152" s="383"/>
      <c r="D152" s="382"/>
      <c r="E152" s="382"/>
      <c r="F152" s="384"/>
      <c r="G152" s="385"/>
      <c r="H152" s="385"/>
      <c r="I152" s="386"/>
      <c r="J152" s="387"/>
      <c r="K152" s="388"/>
      <c r="L152" s="388"/>
      <c r="M152" s="387"/>
      <c r="N152" s="389"/>
      <c r="O152" s="385"/>
      <c r="P152" s="385"/>
      <c r="Q152" s="390"/>
      <c r="R152" s="385"/>
      <c r="S152" s="385"/>
      <c r="T152" s="390"/>
      <c r="U152" s="391"/>
      <c r="V152" s="385"/>
      <c r="W152" s="385"/>
      <c r="X152" s="390"/>
      <c r="Y152" s="385"/>
      <c r="Z152" s="385"/>
      <c r="AA152" s="390"/>
      <c r="AB152" s="391"/>
      <c r="AC152" s="385"/>
      <c r="AD152" s="385"/>
      <c r="AE152" s="390"/>
      <c r="AF152" s="385"/>
      <c r="AG152" s="385"/>
      <c r="AH152" s="390"/>
      <c r="AI152" s="391"/>
      <c r="AJ152" s="385"/>
      <c r="AK152" s="385"/>
      <c r="AL152" s="392"/>
      <c r="AM152" s="383"/>
      <c r="AN152" s="383"/>
      <c r="AO152" s="392"/>
      <c r="AP152" s="392"/>
      <c r="AQ152" s="392"/>
      <c r="AR152" s="392"/>
      <c r="AS152" s="392"/>
      <c r="AT152" s="392"/>
      <c r="AU152" s="392"/>
      <c r="AV152" s="392"/>
      <c r="AW152" s="392"/>
      <c r="AX152" s="392"/>
      <c r="AY152" s="392"/>
      <c r="AZ152" s="392"/>
      <c r="BA152" s="392"/>
      <c r="BB152" s="392"/>
      <c r="BC152" s="392"/>
      <c r="BD152" s="392"/>
      <c r="BE152" s="383"/>
      <c r="BF152" s="437"/>
    </row>
    <row r="153" spans="1:58" s="381" customFormat="1" ht="42" customHeight="1" x14ac:dyDescent="0.25">
      <c r="B153" s="383"/>
      <c r="C153" s="383"/>
      <c r="D153" s="382"/>
      <c r="E153" s="382"/>
      <c r="F153" s="384"/>
      <c r="G153" s="385"/>
      <c r="H153" s="385"/>
      <c r="I153" s="386"/>
      <c r="J153" s="387"/>
      <c r="K153" s="388"/>
      <c r="L153" s="388"/>
      <c r="M153" s="387"/>
      <c r="N153" s="389"/>
      <c r="O153" s="385"/>
      <c r="P153" s="385"/>
      <c r="Q153" s="390"/>
      <c r="R153" s="385"/>
      <c r="S153" s="385"/>
      <c r="T153" s="390"/>
      <c r="U153" s="391"/>
      <c r="V153" s="385"/>
      <c r="W153" s="385"/>
      <c r="X153" s="390"/>
      <c r="Y153" s="385"/>
      <c r="Z153" s="385"/>
      <c r="AA153" s="390"/>
      <c r="AB153" s="391"/>
      <c r="AC153" s="385"/>
      <c r="AD153" s="385"/>
      <c r="AE153" s="390"/>
      <c r="AF153" s="385"/>
      <c r="AG153" s="385"/>
      <c r="AH153" s="390"/>
      <c r="AI153" s="391"/>
      <c r="AJ153" s="385"/>
      <c r="AK153" s="385"/>
      <c r="AL153" s="392"/>
      <c r="AM153" s="383"/>
      <c r="AN153" s="383"/>
      <c r="AO153" s="392"/>
      <c r="AP153" s="392"/>
      <c r="AQ153" s="392"/>
      <c r="AR153" s="392"/>
      <c r="AS153" s="392"/>
      <c r="AT153" s="392"/>
      <c r="AU153" s="392"/>
      <c r="AV153" s="392"/>
      <c r="AW153" s="392"/>
      <c r="AX153" s="392"/>
      <c r="AY153" s="392"/>
      <c r="AZ153" s="392"/>
      <c r="BA153" s="392"/>
      <c r="BB153" s="392"/>
      <c r="BC153" s="392"/>
      <c r="BD153" s="392"/>
      <c r="BE153" s="383"/>
      <c r="BF153" s="437"/>
    </row>
    <row r="154" spans="1:58" s="381" customFormat="1" ht="42" customHeight="1" x14ac:dyDescent="0.25">
      <c r="B154" s="383"/>
      <c r="C154" s="383"/>
      <c r="D154" s="382"/>
      <c r="E154" s="382"/>
      <c r="F154" s="384"/>
      <c r="G154" s="385"/>
      <c r="H154" s="385"/>
      <c r="I154" s="386"/>
      <c r="J154" s="387"/>
      <c r="K154" s="388"/>
      <c r="L154" s="388"/>
      <c r="M154" s="387"/>
      <c r="N154" s="389"/>
      <c r="O154" s="385"/>
      <c r="P154" s="385"/>
      <c r="Q154" s="390"/>
      <c r="R154" s="385"/>
      <c r="S154" s="385"/>
      <c r="T154" s="390"/>
      <c r="U154" s="391"/>
      <c r="V154" s="385"/>
      <c r="W154" s="385"/>
      <c r="X154" s="390"/>
      <c r="Y154" s="385"/>
      <c r="Z154" s="385"/>
      <c r="AA154" s="390"/>
      <c r="AB154" s="391"/>
      <c r="AC154" s="385"/>
      <c r="AD154" s="385"/>
      <c r="AE154" s="390"/>
      <c r="AF154" s="385"/>
      <c r="AG154" s="385"/>
      <c r="AH154" s="390"/>
      <c r="AI154" s="391"/>
      <c r="AJ154" s="385"/>
      <c r="AK154" s="385"/>
      <c r="AL154" s="392"/>
      <c r="AM154" s="383"/>
      <c r="AN154" s="383"/>
      <c r="AO154" s="392"/>
      <c r="AP154" s="392"/>
      <c r="AQ154" s="392"/>
      <c r="AR154" s="392"/>
      <c r="AS154" s="392"/>
      <c r="AT154" s="392"/>
      <c r="AU154" s="392"/>
      <c r="AV154" s="392"/>
      <c r="AW154" s="392"/>
      <c r="AX154" s="392"/>
      <c r="AY154" s="392"/>
      <c r="AZ154" s="392"/>
      <c r="BA154" s="392"/>
      <c r="BB154" s="392"/>
      <c r="BC154" s="392"/>
      <c r="BD154" s="392"/>
      <c r="BE154" s="383"/>
      <c r="BF154" s="437"/>
    </row>
    <row r="155" spans="1:58" s="381" customFormat="1" ht="42" customHeight="1" x14ac:dyDescent="0.25">
      <c r="B155" s="383"/>
      <c r="C155" s="383"/>
      <c r="D155" s="382"/>
      <c r="E155" s="382"/>
      <c r="F155" s="384"/>
      <c r="G155" s="385"/>
      <c r="H155" s="385"/>
      <c r="I155" s="386"/>
      <c r="J155" s="387"/>
      <c r="K155" s="388"/>
      <c r="L155" s="388"/>
      <c r="M155" s="387"/>
      <c r="N155" s="389"/>
      <c r="O155" s="385"/>
      <c r="P155" s="385"/>
      <c r="Q155" s="390"/>
      <c r="R155" s="385"/>
      <c r="S155" s="385"/>
      <c r="T155" s="390"/>
      <c r="U155" s="391"/>
      <c r="V155" s="385"/>
      <c r="W155" s="385"/>
      <c r="X155" s="390"/>
      <c r="Y155" s="385"/>
      <c r="Z155" s="385"/>
      <c r="AA155" s="390"/>
      <c r="AB155" s="391"/>
      <c r="AC155" s="385"/>
      <c r="AD155" s="385"/>
      <c r="AE155" s="390"/>
      <c r="AF155" s="385"/>
      <c r="AG155" s="385"/>
      <c r="AH155" s="390"/>
      <c r="AI155" s="391"/>
      <c r="AJ155" s="385"/>
      <c r="AK155" s="385"/>
      <c r="AL155" s="392"/>
      <c r="AM155" s="383"/>
      <c r="AN155" s="383"/>
      <c r="AO155" s="392"/>
      <c r="AP155" s="392"/>
      <c r="AQ155" s="392"/>
      <c r="AR155" s="392"/>
      <c r="AS155" s="392"/>
      <c r="AT155" s="392"/>
      <c r="AU155" s="392"/>
      <c r="AV155" s="392"/>
      <c r="AW155" s="392"/>
      <c r="AX155" s="392"/>
      <c r="AY155" s="392"/>
      <c r="AZ155" s="392"/>
      <c r="BA155" s="392"/>
      <c r="BB155" s="392"/>
      <c r="BC155" s="392"/>
      <c r="BD155" s="392"/>
      <c r="BE155" s="383"/>
      <c r="BF155" s="437"/>
    </row>
    <row r="156" spans="1:58" s="381" customFormat="1" ht="42" customHeight="1" x14ac:dyDescent="0.25">
      <c r="B156" s="383"/>
      <c r="C156" s="383"/>
      <c r="D156" s="382"/>
      <c r="E156" s="382"/>
      <c r="F156" s="384"/>
      <c r="G156" s="385"/>
      <c r="H156" s="385"/>
      <c r="I156" s="386"/>
      <c r="J156" s="387"/>
      <c r="K156" s="388"/>
      <c r="L156" s="388"/>
      <c r="M156" s="387"/>
      <c r="N156" s="389"/>
      <c r="O156" s="385"/>
      <c r="P156" s="385"/>
      <c r="Q156" s="390"/>
      <c r="R156" s="385"/>
      <c r="S156" s="385"/>
      <c r="T156" s="390"/>
      <c r="U156" s="391"/>
      <c r="V156" s="385"/>
      <c r="W156" s="385"/>
      <c r="X156" s="390"/>
      <c r="Y156" s="385"/>
      <c r="Z156" s="385"/>
      <c r="AA156" s="390"/>
      <c r="AB156" s="391"/>
      <c r="AC156" s="385"/>
      <c r="AD156" s="385"/>
      <c r="AE156" s="390"/>
      <c r="AF156" s="385"/>
      <c r="AG156" s="385"/>
      <c r="AH156" s="390"/>
      <c r="AI156" s="391"/>
      <c r="AJ156" s="385"/>
      <c r="AK156" s="385"/>
      <c r="AL156" s="392"/>
      <c r="AM156" s="383"/>
      <c r="AN156" s="383"/>
      <c r="AO156" s="392"/>
      <c r="AP156" s="392"/>
      <c r="AQ156" s="392"/>
      <c r="AR156" s="392"/>
      <c r="AS156" s="392"/>
      <c r="AT156" s="392"/>
      <c r="AU156" s="392"/>
      <c r="AV156" s="392"/>
      <c r="AW156" s="392"/>
      <c r="AX156" s="392"/>
      <c r="AY156" s="392"/>
      <c r="AZ156" s="392"/>
      <c r="BA156" s="392"/>
      <c r="BB156" s="392"/>
      <c r="BC156" s="392"/>
      <c r="BD156" s="392"/>
      <c r="BE156" s="383"/>
      <c r="BF156" s="437"/>
    </row>
    <row r="157" spans="1:58" s="381" customFormat="1" ht="42" customHeight="1" x14ac:dyDescent="0.25">
      <c r="B157" s="383"/>
      <c r="C157" s="383"/>
      <c r="D157" s="382"/>
      <c r="E157" s="382"/>
      <c r="F157" s="384"/>
      <c r="G157" s="385"/>
      <c r="H157" s="385"/>
      <c r="I157" s="386"/>
      <c r="J157" s="387"/>
      <c r="K157" s="388"/>
      <c r="L157" s="388"/>
      <c r="M157" s="387"/>
      <c r="N157" s="389"/>
      <c r="O157" s="385"/>
      <c r="P157" s="385"/>
      <c r="Q157" s="390"/>
      <c r="R157" s="385"/>
      <c r="S157" s="385"/>
      <c r="T157" s="390"/>
      <c r="U157" s="391"/>
      <c r="V157" s="385"/>
      <c r="W157" s="385"/>
      <c r="X157" s="390"/>
      <c r="Y157" s="385"/>
      <c r="Z157" s="385"/>
      <c r="AA157" s="390"/>
      <c r="AB157" s="391"/>
      <c r="AC157" s="385"/>
      <c r="AD157" s="385"/>
      <c r="AE157" s="390"/>
      <c r="AF157" s="385"/>
      <c r="AG157" s="385"/>
      <c r="AH157" s="390"/>
      <c r="AI157" s="391"/>
      <c r="AJ157" s="385"/>
      <c r="AK157" s="385"/>
      <c r="AL157" s="392"/>
      <c r="AM157" s="383"/>
      <c r="AN157" s="383"/>
      <c r="AO157" s="392"/>
      <c r="AP157" s="392"/>
      <c r="AQ157" s="392"/>
      <c r="AR157" s="392"/>
      <c r="AS157" s="392"/>
      <c r="AT157" s="392"/>
      <c r="AU157" s="392"/>
      <c r="AV157" s="392"/>
      <c r="AW157" s="392"/>
      <c r="AX157" s="392"/>
      <c r="AY157" s="392"/>
      <c r="AZ157" s="392"/>
      <c r="BA157" s="392"/>
      <c r="BB157" s="392"/>
      <c r="BC157" s="392"/>
      <c r="BD157" s="392"/>
      <c r="BE157" s="383"/>
      <c r="BF157" s="437"/>
    </row>
    <row r="158" spans="1:58" s="381" customFormat="1" ht="42" customHeight="1" x14ac:dyDescent="0.25">
      <c r="B158" s="383"/>
      <c r="C158" s="383"/>
      <c r="D158" s="382"/>
      <c r="E158" s="382"/>
      <c r="F158" s="384"/>
      <c r="G158" s="385"/>
      <c r="H158" s="385"/>
      <c r="I158" s="386"/>
      <c r="J158" s="387"/>
      <c r="K158" s="388"/>
      <c r="L158" s="388"/>
      <c r="M158" s="387"/>
      <c r="N158" s="389"/>
      <c r="O158" s="385"/>
      <c r="P158" s="385"/>
      <c r="Q158" s="390"/>
      <c r="R158" s="385"/>
      <c r="S158" s="385"/>
      <c r="T158" s="390"/>
      <c r="U158" s="391"/>
      <c r="V158" s="385"/>
      <c r="W158" s="385"/>
      <c r="X158" s="390"/>
      <c r="Y158" s="385"/>
      <c r="Z158" s="385"/>
      <c r="AA158" s="390"/>
      <c r="AB158" s="391"/>
      <c r="AC158" s="385"/>
      <c r="AD158" s="385"/>
      <c r="AE158" s="390"/>
      <c r="AF158" s="385"/>
      <c r="AG158" s="385"/>
      <c r="AH158" s="390"/>
      <c r="AI158" s="391"/>
      <c r="AJ158" s="385"/>
      <c r="AK158" s="385"/>
      <c r="AL158" s="392"/>
      <c r="AM158" s="383"/>
      <c r="AN158" s="383"/>
      <c r="AO158" s="392"/>
      <c r="AP158" s="392"/>
      <c r="AQ158" s="392"/>
      <c r="AR158" s="392"/>
      <c r="AS158" s="392"/>
      <c r="AT158" s="392"/>
      <c r="AU158" s="392"/>
      <c r="AV158" s="392"/>
      <c r="AW158" s="392"/>
      <c r="AX158" s="392"/>
      <c r="AY158" s="392"/>
      <c r="AZ158" s="392"/>
      <c r="BA158" s="392"/>
      <c r="BB158" s="392"/>
      <c r="BC158" s="392"/>
      <c r="BD158" s="392"/>
      <c r="BE158" s="383"/>
      <c r="BF158" s="437"/>
    </row>
    <row r="159" spans="1:58" s="381" customFormat="1" ht="42" customHeight="1" x14ac:dyDescent="0.25">
      <c r="B159" s="383"/>
      <c r="C159" s="383"/>
      <c r="D159" s="382"/>
      <c r="E159" s="382"/>
      <c r="F159" s="384"/>
      <c r="G159" s="385"/>
      <c r="H159" s="385"/>
      <c r="I159" s="386"/>
      <c r="J159" s="387"/>
      <c r="K159" s="388"/>
      <c r="L159" s="388"/>
      <c r="M159" s="387"/>
      <c r="N159" s="389"/>
      <c r="O159" s="385"/>
      <c r="P159" s="385"/>
      <c r="Q159" s="390"/>
      <c r="R159" s="385"/>
      <c r="S159" s="385"/>
      <c r="T159" s="390"/>
      <c r="U159" s="391"/>
      <c r="V159" s="385"/>
      <c r="W159" s="385"/>
      <c r="X159" s="390"/>
      <c r="Y159" s="385"/>
      <c r="Z159" s="385"/>
      <c r="AA159" s="390"/>
      <c r="AB159" s="391"/>
      <c r="AC159" s="385"/>
      <c r="AD159" s="385"/>
      <c r="AE159" s="390"/>
      <c r="AF159" s="385"/>
      <c r="AG159" s="385"/>
      <c r="AH159" s="390"/>
      <c r="AI159" s="391"/>
      <c r="AJ159" s="385"/>
      <c r="AK159" s="385"/>
      <c r="AL159" s="392"/>
      <c r="AM159" s="383"/>
      <c r="AN159" s="383"/>
      <c r="AO159" s="392"/>
      <c r="AP159" s="392"/>
      <c r="AQ159" s="392"/>
      <c r="AR159" s="392"/>
      <c r="AS159" s="392"/>
      <c r="AT159" s="392"/>
      <c r="AU159" s="392"/>
      <c r="AV159" s="392"/>
      <c r="AW159" s="392"/>
      <c r="AX159" s="392"/>
      <c r="AY159" s="392"/>
      <c r="AZ159" s="392"/>
      <c r="BA159" s="392"/>
      <c r="BB159" s="392"/>
      <c r="BC159" s="392"/>
      <c r="BD159" s="392"/>
      <c r="BE159" s="383"/>
      <c r="BF159" s="437"/>
    </row>
    <row r="160" spans="1:58" s="381" customFormat="1" ht="42" customHeight="1" x14ac:dyDescent="0.25">
      <c r="B160" s="383"/>
      <c r="C160" s="383"/>
      <c r="D160" s="382"/>
      <c r="E160" s="382"/>
      <c r="F160" s="384"/>
      <c r="G160" s="385"/>
      <c r="H160" s="385"/>
      <c r="I160" s="386"/>
      <c r="J160" s="387"/>
      <c r="K160" s="388"/>
      <c r="L160" s="388"/>
      <c r="M160" s="387"/>
      <c r="N160" s="389"/>
      <c r="O160" s="385"/>
      <c r="P160" s="385"/>
      <c r="Q160" s="390"/>
      <c r="R160" s="385"/>
      <c r="S160" s="385"/>
      <c r="T160" s="390"/>
      <c r="U160" s="391"/>
      <c r="V160" s="385"/>
      <c r="W160" s="385"/>
      <c r="X160" s="390"/>
      <c r="Y160" s="385"/>
      <c r="Z160" s="385"/>
      <c r="AA160" s="390"/>
      <c r="AB160" s="391"/>
      <c r="AC160" s="385"/>
      <c r="AD160" s="385"/>
      <c r="AE160" s="390"/>
      <c r="AF160" s="385"/>
      <c r="AG160" s="385"/>
      <c r="AH160" s="390"/>
      <c r="AI160" s="391"/>
      <c r="AJ160" s="385"/>
      <c r="AK160" s="385"/>
      <c r="AL160" s="392"/>
      <c r="AM160" s="383"/>
      <c r="AN160" s="383"/>
      <c r="AO160" s="392"/>
      <c r="AP160" s="392"/>
      <c r="AQ160" s="392"/>
      <c r="AR160" s="392"/>
      <c r="AS160" s="392"/>
      <c r="AT160" s="392"/>
      <c r="AU160" s="392"/>
      <c r="AV160" s="392"/>
      <c r="AW160" s="392"/>
      <c r="AX160" s="392"/>
      <c r="AY160" s="392"/>
      <c r="AZ160" s="392"/>
      <c r="BA160" s="392"/>
      <c r="BB160" s="392"/>
      <c r="BC160" s="392"/>
      <c r="BD160" s="392"/>
      <c r="BE160" s="383"/>
      <c r="BF160" s="437"/>
    </row>
    <row r="161" spans="2:58" s="381" customFormat="1" ht="42" customHeight="1" x14ac:dyDescent="0.25">
      <c r="B161" s="383"/>
      <c r="C161" s="383"/>
      <c r="D161" s="382"/>
      <c r="E161" s="382"/>
      <c r="F161" s="384"/>
      <c r="G161" s="385"/>
      <c r="H161" s="385"/>
      <c r="I161" s="386"/>
      <c r="J161" s="387"/>
      <c r="K161" s="388"/>
      <c r="L161" s="388"/>
      <c r="M161" s="387"/>
      <c r="N161" s="389"/>
      <c r="O161" s="385"/>
      <c r="P161" s="385"/>
      <c r="Q161" s="390"/>
      <c r="R161" s="385"/>
      <c r="S161" s="385"/>
      <c r="T161" s="390"/>
      <c r="U161" s="391"/>
      <c r="V161" s="385"/>
      <c r="W161" s="385"/>
      <c r="X161" s="390"/>
      <c r="Y161" s="385"/>
      <c r="Z161" s="385"/>
      <c r="AA161" s="390"/>
      <c r="AB161" s="391"/>
      <c r="AC161" s="385"/>
      <c r="AD161" s="385"/>
      <c r="AE161" s="390"/>
      <c r="AF161" s="385"/>
      <c r="AG161" s="385"/>
      <c r="AH161" s="390"/>
      <c r="AI161" s="391"/>
      <c r="AJ161" s="385"/>
      <c r="AK161" s="385"/>
      <c r="AL161" s="392"/>
      <c r="AM161" s="383"/>
      <c r="AN161" s="383"/>
      <c r="AO161" s="392"/>
      <c r="AP161" s="392"/>
      <c r="AQ161" s="392"/>
      <c r="AR161" s="392"/>
      <c r="AS161" s="392"/>
      <c r="AT161" s="392"/>
      <c r="AU161" s="392"/>
      <c r="AV161" s="392"/>
      <c r="AW161" s="392"/>
      <c r="AX161" s="392"/>
      <c r="AY161" s="392"/>
      <c r="AZ161" s="392"/>
      <c r="BA161" s="392"/>
      <c r="BB161" s="392"/>
      <c r="BC161" s="392"/>
      <c r="BD161" s="392"/>
      <c r="BE161" s="383"/>
      <c r="BF161" s="437"/>
    </row>
    <row r="162" spans="2:58" s="381" customFormat="1" ht="42" customHeight="1" x14ac:dyDescent="0.25">
      <c r="B162" s="383"/>
      <c r="C162" s="383"/>
      <c r="D162" s="382"/>
      <c r="E162" s="382"/>
      <c r="F162" s="384"/>
      <c r="G162" s="385"/>
      <c r="H162" s="385"/>
      <c r="I162" s="386"/>
      <c r="J162" s="387"/>
      <c r="K162" s="388"/>
      <c r="L162" s="388"/>
      <c r="M162" s="387"/>
      <c r="N162" s="389"/>
      <c r="O162" s="385"/>
      <c r="P162" s="385"/>
      <c r="Q162" s="390"/>
      <c r="R162" s="385"/>
      <c r="S162" s="385"/>
      <c r="T162" s="390"/>
      <c r="U162" s="391"/>
      <c r="V162" s="385"/>
      <c r="W162" s="385"/>
      <c r="X162" s="390"/>
      <c r="Y162" s="385"/>
      <c r="Z162" s="385"/>
      <c r="AA162" s="390"/>
      <c r="AB162" s="391"/>
      <c r="AC162" s="385"/>
      <c r="AD162" s="385"/>
      <c r="AE162" s="390"/>
      <c r="AF162" s="385"/>
      <c r="AG162" s="385"/>
      <c r="AH162" s="390"/>
      <c r="AI162" s="391"/>
      <c r="AJ162" s="385"/>
      <c r="AK162" s="385"/>
      <c r="AL162" s="392"/>
      <c r="AM162" s="383"/>
      <c r="AN162" s="383"/>
      <c r="AO162" s="392"/>
      <c r="AP162" s="392"/>
      <c r="AQ162" s="392"/>
      <c r="AR162" s="392"/>
      <c r="AS162" s="392"/>
      <c r="AT162" s="392"/>
      <c r="AU162" s="392"/>
      <c r="AV162" s="392"/>
      <c r="AW162" s="392"/>
      <c r="AX162" s="392"/>
      <c r="AY162" s="392"/>
      <c r="AZ162" s="392"/>
      <c r="BA162" s="392"/>
      <c r="BB162" s="392"/>
      <c r="BC162" s="392"/>
      <c r="BD162" s="392"/>
      <c r="BE162" s="383"/>
      <c r="BF162" s="437"/>
    </row>
    <row r="163" spans="2:58" s="381" customFormat="1" ht="42" customHeight="1" x14ac:dyDescent="0.25">
      <c r="B163" s="383"/>
      <c r="C163" s="383"/>
      <c r="D163" s="382"/>
      <c r="E163" s="382"/>
      <c r="F163" s="384"/>
      <c r="G163" s="385"/>
      <c r="H163" s="385"/>
      <c r="I163" s="386"/>
      <c r="J163" s="387"/>
      <c r="K163" s="388"/>
      <c r="L163" s="388"/>
      <c r="M163" s="387"/>
      <c r="N163" s="389"/>
      <c r="O163" s="385"/>
      <c r="P163" s="385"/>
      <c r="Q163" s="390"/>
      <c r="R163" s="385"/>
      <c r="S163" s="385"/>
      <c r="T163" s="390"/>
      <c r="U163" s="391"/>
      <c r="V163" s="385"/>
      <c r="W163" s="385"/>
      <c r="X163" s="390"/>
      <c r="Y163" s="385"/>
      <c r="Z163" s="385"/>
      <c r="AA163" s="390"/>
      <c r="AB163" s="391"/>
      <c r="AC163" s="385"/>
      <c r="AD163" s="385"/>
      <c r="AE163" s="390"/>
      <c r="AF163" s="385"/>
      <c r="AG163" s="385"/>
      <c r="AH163" s="390"/>
      <c r="AI163" s="391"/>
      <c r="AJ163" s="385"/>
      <c r="AK163" s="385"/>
      <c r="AL163" s="392"/>
      <c r="AM163" s="383"/>
      <c r="AN163" s="383"/>
      <c r="AO163" s="392"/>
      <c r="AP163" s="392"/>
      <c r="AQ163" s="392"/>
      <c r="AR163" s="392"/>
      <c r="AS163" s="392"/>
      <c r="AT163" s="392"/>
      <c r="AU163" s="392"/>
      <c r="AV163" s="392"/>
      <c r="AW163" s="392"/>
      <c r="AX163" s="392"/>
      <c r="AY163" s="392"/>
      <c r="AZ163" s="392"/>
      <c r="BA163" s="392"/>
      <c r="BB163" s="392"/>
      <c r="BC163" s="392"/>
      <c r="BD163" s="392"/>
      <c r="BE163" s="383"/>
      <c r="BF163" s="437"/>
    </row>
    <row r="164" spans="2:58" s="381" customFormat="1" ht="42" customHeight="1" x14ac:dyDescent="0.25">
      <c r="B164" s="383"/>
      <c r="C164" s="383"/>
      <c r="D164" s="382"/>
      <c r="E164" s="382"/>
      <c r="F164" s="384"/>
      <c r="G164" s="385"/>
      <c r="H164" s="385"/>
      <c r="I164" s="386"/>
      <c r="J164" s="387"/>
      <c r="K164" s="388"/>
      <c r="L164" s="388"/>
      <c r="M164" s="387"/>
      <c r="N164" s="389"/>
      <c r="O164" s="385"/>
      <c r="P164" s="385"/>
      <c r="Q164" s="390"/>
      <c r="R164" s="385"/>
      <c r="S164" s="385"/>
      <c r="T164" s="390"/>
      <c r="U164" s="391"/>
      <c r="V164" s="385"/>
      <c r="W164" s="385"/>
      <c r="X164" s="390"/>
      <c r="Y164" s="385"/>
      <c r="Z164" s="385"/>
      <c r="AA164" s="390"/>
      <c r="AB164" s="391"/>
      <c r="AC164" s="385"/>
      <c r="AD164" s="385"/>
      <c r="AE164" s="390"/>
      <c r="AF164" s="385"/>
      <c r="AG164" s="385"/>
      <c r="AH164" s="390"/>
      <c r="AI164" s="391"/>
      <c r="AJ164" s="385"/>
      <c r="AK164" s="385"/>
      <c r="AL164" s="392"/>
      <c r="AM164" s="383"/>
      <c r="AN164" s="383"/>
      <c r="AO164" s="392"/>
      <c r="AP164" s="392"/>
      <c r="AQ164" s="392"/>
      <c r="AR164" s="392"/>
      <c r="AS164" s="392"/>
      <c r="AT164" s="392"/>
      <c r="AU164" s="392"/>
      <c r="AV164" s="392"/>
      <c r="AW164" s="392"/>
      <c r="AX164" s="392"/>
      <c r="AY164" s="392"/>
      <c r="AZ164" s="392"/>
      <c r="BA164" s="392"/>
      <c r="BB164" s="392"/>
      <c r="BC164" s="392"/>
      <c r="BD164" s="392"/>
      <c r="BE164" s="383"/>
      <c r="BF164" s="437"/>
    </row>
    <row r="165" spans="2:58" s="381" customFormat="1" ht="42" customHeight="1" x14ac:dyDescent="0.25">
      <c r="B165" s="383"/>
      <c r="C165" s="383"/>
      <c r="D165" s="382"/>
      <c r="E165" s="382"/>
      <c r="F165" s="384"/>
      <c r="G165" s="385"/>
      <c r="H165" s="385"/>
      <c r="I165" s="386"/>
      <c r="J165" s="387"/>
      <c r="K165" s="388"/>
      <c r="L165" s="388"/>
      <c r="M165" s="387"/>
      <c r="N165" s="389"/>
      <c r="O165" s="385"/>
      <c r="P165" s="385"/>
      <c r="Q165" s="390"/>
      <c r="R165" s="385"/>
      <c r="S165" s="385"/>
      <c r="T165" s="390"/>
      <c r="U165" s="391"/>
      <c r="V165" s="385"/>
      <c r="W165" s="385"/>
      <c r="X165" s="390"/>
      <c r="Y165" s="385"/>
      <c r="Z165" s="385"/>
      <c r="AA165" s="390"/>
      <c r="AB165" s="391"/>
      <c r="AC165" s="385"/>
      <c r="AD165" s="385"/>
      <c r="AE165" s="390"/>
      <c r="AF165" s="385"/>
      <c r="AG165" s="385"/>
      <c r="AH165" s="390"/>
      <c r="AI165" s="391"/>
      <c r="AJ165" s="385"/>
      <c r="AK165" s="385"/>
      <c r="AL165" s="392"/>
      <c r="AM165" s="383"/>
      <c r="AN165" s="383"/>
      <c r="AO165" s="392"/>
      <c r="AP165" s="392"/>
      <c r="AQ165" s="392"/>
      <c r="AR165" s="392"/>
      <c r="AS165" s="392"/>
      <c r="AT165" s="392"/>
      <c r="AU165" s="392"/>
      <c r="AV165" s="392"/>
      <c r="AW165" s="392"/>
      <c r="AX165" s="392"/>
      <c r="AY165" s="392"/>
      <c r="AZ165" s="392"/>
      <c r="BA165" s="392"/>
      <c r="BB165" s="392"/>
      <c r="BC165" s="392"/>
      <c r="BD165" s="392"/>
      <c r="BE165" s="383"/>
      <c r="BF165" s="437"/>
    </row>
    <row r="166" spans="2:58" s="381" customFormat="1" ht="42" customHeight="1" x14ac:dyDescent="0.25">
      <c r="B166" s="383"/>
      <c r="C166" s="383"/>
      <c r="D166" s="382"/>
      <c r="E166" s="382"/>
      <c r="F166" s="384"/>
      <c r="G166" s="385"/>
      <c r="H166" s="385"/>
      <c r="I166" s="386"/>
      <c r="J166" s="387"/>
      <c r="K166" s="388"/>
      <c r="L166" s="388"/>
      <c r="M166" s="387"/>
      <c r="N166" s="389"/>
      <c r="O166" s="385"/>
      <c r="P166" s="385"/>
      <c r="Q166" s="390"/>
      <c r="R166" s="385"/>
      <c r="S166" s="385"/>
      <c r="T166" s="390"/>
      <c r="U166" s="391"/>
      <c r="V166" s="385"/>
      <c r="W166" s="385"/>
      <c r="X166" s="390"/>
      <c r="Y166" s="385"/>
      <c r="Z166" s="385"/>
      <c r="AA166" s="390"/>
      <c r="AB166" s="391"/>
      <c r="AC166" s="385"/>
      <c r="AD166" s="385"/>
      <c r="AE166" s="390"/>
      <c r="AF166" s="385"/>
      <c r="AG166" s="385"/>
      <c r="AH166" s="390"/>
      <c r="AI166" s="391"/>
      <c r="AJ166" s="385"/>
      <c r="AK166" s="385"/>
      <c r="AL166" s="392"/>
      <c r="AM166" s="383"/>
      <c r="AN166" s="383"/>
      <c r="AO166" s="392"/>
      <c r="AP166" s="392"/>
      <c r="AQ166" s="392"/>
      <c r="AR166" s="392"/>
      <c r="AS166" s="392"/>
      <c r="AT166" s="392"/>
      <c r="AU166" s="392"/>
      <c r="AV166" s="392"/>
      <c r="AW166" s="392"/>
      <c r="AX166" s="392"/>
      <c r="AY166" s="392"/>
      <c r="AZ166" s="392"/>
      <c r="BA166" s="392"/>
      <c r="BB166" s="392"/>
      <c r="BC166" s="392"/>
      <c r="BD166" s="392"/>
      <c r="BE166" s="383"/>
      <c r="BF166" s="437"/>
    </row>
    <row r="167" spans="2:58" s="381" customFormat="1" ht="42" customHeight="1" x14ac:dyDescent="0.25">
      <c r="B167" s="383"/>
      <c r="C167" s="383"/>
      <c r="D167" s="382"/>
      <c r="E167" s="382"/>
      <c r="F167" s="384"/>
      <c r="G167" s="385"/>
      <c r="H167" s="385"/>
      <c r="I167" s="386"/>
      <c r="J167" s="387"/>
      <c r="K167" s="388"/>
      <c r="L167" s="388"/>
      <c r="M167" s="387"/>
      <c r="N167" s="389"/>
      <c r="O167" s="385"/>
      <c r="P167" s="385"/>
      <c r="Q167" s="390"/>
      <c r="R167" s="385"/>
      <c r="S167" s="385"/>
      <c r="T167" s="390"/>
      <c r="U167" s="391"/>
      <c r="V167" s="385"/>
      <c r="W167" s="385"/>
      <c r="X167" s="390"/>
      <c r="Y167" s="385"/>
      <c r="Z167" s="385"/>
      <c r="AA167" s="390"/>
      <c r="AB167" s="391"/>
      <c r="AC167" s="385"/>
      <c r="AD167" s="385"/>
      <c r="AE167" s="390"/>
      <c r="AF167" s="385"/>
      <c r="AG167" s="385"/>
      <c r="AH167" s="390"/>
      <c r="AI167" s="391"/>
      <c r="AJ167" s="385"/>
      <c r="AK167" s="385"/>
      <c r="AL167" s="392"/>
      <c r="AM167" s="383"/>
      <c r="AN167" s="383"/>
      <c r="AO167" s="392"/>
      <c r="AP167" s="392"/>
      <c r="AQ167" s="392"/>
      <c r="AR167" s="392"/>
      <c r="AS167" s="392"/>
      <c r="AT167" s="392"/>
      <c r="AU167" s="392"/>
      <c r="AV167" s="392"/>
      <c r="AW167" s="392"/>
      <c r="AX167" s="392"/>
      <c r="AY167" s="392"/>
      <c r="AZ167" s="392"/>
      <c r="BA167" s="392"/>
      <c r="BB167" s="392"/>
      <c r="BC167" s="392"/>
      <c r="BD167" s="392"/>
      <c r="BE167" s="383"/>
      <c r="BF167" s="437"/>
    </row>
    <row r="168" spans="2:58" s="381" customFormat="1" ht="42" customHeight="1" x14ac:dyDescent="0.25">
      <c r="B168" s="383"/>
      <c r="C168" s="383"/>
      <c r="D168" s="382"/>
      <c r="E168" s="382"/>
      <c r="F168" s="384"/>
      <c r="G168" s="385"/>
      <c r="H168" s="385"/>
      <c r="I168" s="386"/>
      <c r="J168" s="387"/>
      <c r="K168" s="388"/>
      <c r="L168" s="388"/>
      <c r="M168" s="387"/>
      <c r="N168" s="389"/>
      <c r="O168" s="385"/>
      <c r="P168" s="385"/>
      <c r="Q168" s="390"/>
      <c r="R168" s="385"/>
      <c r="S168" s="385"/>
      <c r="T168" s="390"/>
      <c r="U168" s="391"/>
      <c r="V168" s="385"/>
      <c r="W168" s="385"/>
      <c r="X168" s="390"/>
      <c r="Y168" s="385"/>
      <c r="Z168" s="385"/>
      <c r="AA168" s="390"/>
      <c r="AB168" s="391"/>
      <c r="AC168" s="385"/>
      <c r="AD168" s="385"/>
      <c r="AE168" s="390"/>
      <c r="AF168" s="385"/>
      <c r="AG168" s="385"/>
      <c r="AH168" s="390"/>
      <c r="AI168" s="391"/>
      <c r="AJ168" s="385"/>
      <c r="AK168" s="385"/>
      <c r="AL168" s="392"/>
      <c r="AM168" s="383"/>
      <c r="AN168" s="383"/>
      <c r="AO168" s="392"/>
      <c r="AP168" s="392"/>
      <c r="AQ168" s="392"/>
      <c r="AR168" s="392"/>
      <c r="AS168" s="392"/>
      <c r="AT168" s="392"/>
      <c r="AU168" s="392"/>
      <c r="AV168" s="392"/>
      <c r="AW168" s="392"/>
      <c r="AX168" s="392"/>
      <c r="AY168" s="392"/>
      <c r="AZ168" s="392"/>
      <c r="BA168" s="392"/>
      <c r="BB168" s="392"/>
      <c r="BC168" s="392"/>
      <c r="BD168" s="392"/>
      <c r="BE168" s="383"/>
      <c r="BF168" s="437"/>
    </row>
    <row r="169" spans="2:58" s="381" customFormat="1" ht="42" customHeight="1" x14ac:dyDescent="0.25">
      <c r="B169" s="383"/>
      <c r="C169" s="383"/>
      <c r="D169" s="382"/>
      <c r="E169" s="382"/>
      <c r="F169" s="384"/>
      <c r="G169" s="385"/>
      <c r="H169" s="385"/>
      <c r="I169" s="386"/>
      <c r="J169" s="387"/>
      <c r="K169" s="388"/>
      <c r="L169" s="388"/>
      <c r="M169" s="387"/>
      <c r="N169" s="389"/>
      <c r="O169" s="385"/>
      <c r="P169" s="385"/>
      <c r="Q169" s="390"/>
      <c r="R169" s="385"/>
      <c r="S169" s="385"/>
      <c r="T169" s="390"/>
      <c r="U169" s="391"/>
      <c r="V169" s="385"/>
      <c r="W169" s="385"/>
      <c r="X169" s="390"/>
      <c r="Y169" s="385"/>
      <c r="Z169" s="385"/>
      <c r="AA169" s="390"/>
      <c r="AB169" s="391"/>
      <c r="AC169" s="385"/>
      <c r="AD169" s="385"/>
      <c r="AE169" s="390"/>
      <c r="AF169" s="385"/>
      <c r="AG169" s="385"/>
      <c r="AH169" s="390"/>
      <c r="AI169" s="391"/>
      <c r="AJ169" s="385"/>
      <c r="AK169" s="385"/>
      <c r="AL169" s="392"/>
      <c r="AM169" s="383"/>
      <c r="AN169" s="383"/>
      <c r="AO169" s="392"/>
      <c r="AP169" s="392"/>
      <c r="AQ169" s="392"/>
      <c r="AR169" s="392"/>
      <c r="AS169" s="392"/>
      <c r="AT169" s="392"/>
      <c r="AU169" s="392"/>
      <c r="AV169" s="392"/>
      <c r="AW169" s="392"/>
      <c r="AX169" s="392"/>
      <c r="AY169" s="392"/>
      <c r="AZ169" s="392"/>
      <c r="BA169" s="392"/>
      <c r="BB169" s="392"/>
      <c r="BC169" s="392"/>
      <c r="BD169" s="392"/>
      <c r="BE169" s="383"/>
      <c r="BF169" s="437"/>
    </row>
    <row r="170" spans="2:58" s="381" customFormat="1" ht="42" customHeight="1" x14ac:dyDescent="0.25">
      <c r="B170" s="383"/>
      <c r="C170" s="383"/>
      <c r="D170" s="382"/>
      <c r="E170" s="382"/>
      <c r="F170" s="384"/>
      <c r="G170" s="385"/>
      <c r="H170" s="385"/>
      <c r="I170" s="386"/>
      <c r="J170" s="387"/>
      <c r="K170" s="388"/>
      <c r="L170" s="388"/>
      <c r="M170" s="387"/>
      <c r="N170" s="389"/>
      <c r="O170" s="385"/>
      <c r="P170" s="385"/>
      <c r="Q170" s="390"/>
      <c r="R170" s="385"/>
      <c r="S170" s="385"/>
      <c r="T170" s="390"/>
      <c r="U170" s="391"/>
      <c r="V170" s="385"/>
      <c r="W170" s="385"/>
      <c r="X170" s="390"/>
      <c r="Y170" s="385"/>
      <c r="Z170" s="385"/>
      <c r="AA170" s="390"/>
      <c r="AB170" s="391"/>
      <c r="AC170" s="385"/>
      <c r="AD170" s="385"/>
      <c r="AE170" s="390"/>
      <c r="AF170" s="385"/>
      <c r="AG170" s="385"/>
      <c r="AH170" s="390"/>
      <c r="AI170" s="391"/>
      <c r="AJ170" s="385"/>
      <c r="AK170" s="385"/>
      <c r="AL170" s="392"/>
      <c r="AM170" s="383"/>
      <c r="AN170" s="383"/>
      <c r="AO170" s="392"/>
      <c r="AP170" s="392"/>
      <c r="AQ170" s="392"/>
      <c r="AR170" s="392"/>
      <c r="AS170" s="392"/>
      <c r="AT170" s="392"/>
      <c r="AU170" s="392"/>
      <c r="AV170" s="392"/>
      <c r="AW170" s="392"/>
      <c r="AX170" s="392"/>
      <c r="AY170" s="392"/>
      <c r="AZ170" s="392"/>
      <c r="BA170" s="392"/>
      <c r="BB170" s="392"/>
      <c r="BC170" s="392"/>
      <c r="BD170" s="392"/>
      <c r="BE170" s="383"/>
      <c r="BF170" s="437"/>
    </row>
    <row r="171" spans="2:58" s="381" customFormat="1" ht="42" customHeight="1" x14ac:dyDescent="0.25">
      <c r="B171" s="383"/>
      <c r="C171" s="383"/>
      <c r="D171" s="382"/>
      <c r="E171" s="382"/>
      <c r="F171" s="384"/>
      <c r="G171" s="385"/>
      <c r="H171" s="385"/>
      <c r="I171" s="386"/>
      <c r="J171" s="387"/>
      <c r="K171" s="388"/>
      <c r="L171" s="388"/>
      <c r="M171" s="387"/>
      <c r="N171" s="389"/>
      <c r="O171" s="385"/>
      <c r="P171" s="385"/>
      <c r="Q171" s="390"/>
      <c r="R171" s="385"/>
      <c r="S171" s="385"/>
      <c r="T171" s="390"/>
      <c r="U171" s="391"/>
      <c r="V171" s="385"/>
      <c r="W171" s="385"/>
      <c r="X171" s="390"/>
      <c r="Y171" s="385"/>
      <c r="Z171" s="385"/>
      <c r="AA171" s="390"/>
      <c r="AB171" s="391"/>
      <c r="AC171" s="385"/>
      <c r="AD171" s="385"/>
      <c r="AE171" s="390"/>
      <c r="AF171" s="385"/>
      <c r="AG171" s="385"/>
      <c r="AH171" s="390"/>
      <c r="AI171" s="391"/>
      <c r="AJ171" s="385"/>
      <c r="AK171" s="385"/>
      <c r="AL171" s="392"/>
      <c r="AM171" s="383"/>
      <c r="AN171" s="383"/>
      <c r="AO171" s="392"/>
      <c r="AP171" s="392"/>
      <c r="AQ171" s="392"/>
      <c r="AR171" s="392"/>
      <c r="AS171" s="392"/>
      <c r="AT171" s="392"/>
      <c r="AU171" s="392"/>
      <c r="AV171" s="392"/>
      <c r="AW171" s="392"/>
      <c r="AX171" s="392"/>
      <c r="AY171" s="392"/>
      <c r="AZ171" s="392"/>
      <c r="BA171" s="392"/>
      <c r="BB171" s="392"/>
      <c r="BC171" s="392"/>
      <c r="BD171" s="392"/>
      <c r="BE171" s="383"/>
      <c r="BF171" s="437"/>
    </row>
    <row r="172" spans="2:58" s="381" customFormat="1" ht="42" customHeight="1" x14ac:dyDescent="0.25">
      <c r="B172" s="383"/>
      <c r="C172" s="383"/>
      <c r="D172" s="382"/>
      <c r="E172" s="382"/>
      <c r="F172" s="384"/>
      <c r="G172" s="385"/>
      <c r="H172" s="385"/>
      <c r="I172" s="386"/>
      <c r="J172" s="387"/>
      <c r="K172" s="388"/>
      <c r="L172" s="388"/>
      <c r="M172" s="387"/>
      <c r="N172" s="389"/>
      <c r="O172" s="385"/>
      <c r="P172" s="385"/>
      <c r="Q172" s="390"/>
      <c r="R172" s="385"/>
      <c r="S172" s="385"/>
      <c r="T172" s="390"/>
      <c r="U172" s="391"/>
      <c r="V172" s="385"/>
      <c r="W172" s="385"/>
      <c r="X172" s="390"/>
      <c r="Y172" s="385"/>
      <c r="Z172" s="385"/>
      <c r="AA172" s="390"/>
      <c r="AB172" s="391"/>
      <c r="AC172" s="385"/>
      <c r="AD172" s="385"/>
      <c r="AE172" s="390"/>
      <c r="AF172" s="385"/>
      <c r="AG172" s="385"/>
      <c r="AH172" s="390"/>
      <c r="AI172" s="391"/>
      <c r="AJ172" s="385"/>
      <c r="AK172" s="385"/>
      <c r="AL172" s="392"/>
      <c r="AM172" s="383"/>
      <c r="AN172" s="383"/>
      <c r="AO172" s="392"/>
      <c r="AP172" s="392"/>
      <c r="AQ172" s="392"/>
      <c r="AR172" s="392"/>
      <c r="AS172" s="392"/>
      <c r="AT172" s="392"/>
      <c r="AU172" s="392"/>
      <c r="AV172" s="392"/>
      <c r="AW172" s="392"/>
      <c r="AX172" s="392"/>
      <c r="AY172" s="392"/>
      <c r="AZ172" s="392"/>
      <c r="BA172" s="392"/>
      <c r="BB172" s="392"/>
      <c r="BC172" s="392"/>
      <c r="BD172" s="392"/>
      <c r="BE172" s="383"/>
      <c r="BF172" s="437"/>
    </row>
    <row r="173" spans="2:58" s="381" customFormat="1" ht="42" customHeight="1" x14ac:dyDescent="0.25">
      <c r="B173" s="383"/>
      <c r="C173" s="383"/>
      <c r="D173" s="382"/>
      <c r="E173" s="382"/>
      <c r="F173" s="384"/>
      <c r="G173" s="385"/>
      <c r="H173" s="385"/>
      <c r="I173" s="386"/>
      <c r="J173" s="387"/>
      <c r="K173" s="388"/>
      <c r="L173" s="388"/>
      <c r="M173" s="387"/>
      <c r="N173" s="389"/>
      <c r="O173" s="385"/>
      <c r="P173" s="385"/>
      <c r="Q173" s="390"/>
      <c r="R173" s="385"/>
      <c r="S173" s="385"/>
      <c r="T173" s="390"/>
      <c r="U173" s="391"/>
      <c r="V173" s="385"/>
      <c r="W173" s="385"/>
      <c r="X173" s="390"/>
      <c r="Y173" s="385"/>
      <c r="Z173" s="385"/>
      <c r="AA173" s="390"/>
      <c r="AB173" s="391"/>
      <c r="AC173" s="385"/>
      <c r="AD173" s="385"/>
      <c r="AE173" s="390"/>
      <c r="AF173" s="385"/>
      <c r="AG173" s="385"/>
      <c r="AH173" s="390"/>
      <c r="AI173" s="391"/>
      <c r="AJ173" s="385"/>
      <c r="AK173" s="385"/>
      <c r="AL173" s="392"/>
      <c r="AM173" s="383"/>
      <c r="AN173" s="383"/>
      <c r="AO173" s="392"/>
      <c r="AP173" s="392"/>
      <c r="AQ173" s="392"/>
      <c r="AR173" s="392"/>
      <c r="AS173" s="392"/>
      <c r="AT173" s="392"/>
      <c r="AU173" s="392"/>
      <c r="AV173" s="392"/>
      <c r="AW173" s="392"/>
      <c r="AX173" s="392"/>
      <c r="AY173" s="392"/>
      <c r="AZ173" s="392"/>
      <c r="BA173" s="392"/>
      <c r="BB173" s="392"/>
      <c r="BC173" s="392"/>
      <c r="BD173" s="392"/>
      <c r="BE173" s="383"/>
      <c r="BF173" s="437"/>
    </row>
    <row r="174" spans="2:58" s="381" customFormat="1" ht="42" customHeight="1" x14ac:dyDescent="0.25">
      <c r="B174" s="383"/>
      <c r="C174" s="383"/>
      <c r="D174" s="382"/>
      <c r="E174" s="382"/>
      <c r="F174" s="384"/>
      <c r="G174" s="385"/>
      <c r="H174" s="385"/>
      <c r="I174" s="386"/>
      <c r="J174" s="387"/>
      <c r="K174" s="388"/>
      <c r="L174" s="388"/>
      <c r="M174" s="387"/>
      <c r="N174" s="389"/>
      <c r="O174" s="385"/>
      <c r="P174" s="385"/>
      <c r="Q174" s="390"/>
      <c r="R174" s="385"/>
      <c r="S174" s="385"/>
      <c r="T174" s="390"/>
      <c r="U174" s="391"/>
      <c r="V174" s="385"/>
      <c r="W174" s="385"/>
      <c r="X174" s="390"/>
      <c r="Y174" s="385"/>
      <c r="Z174" s="385"/>
      <c r="AA174" s="390"/>
      <c r="AB174" s="391"/>
      <c r="AC174" s="385"/>
      <c r="AD174" s="385"/>
      <c r="AE174" s="390"/>
      <c r="AF174" s="385"/>
      <c r="AG174" s="385"/>
      <c r="AH174" s="390"/>
      <c r="AI174" s="391"/>
      <c r="AJ174" s="385"/>
      <c r="AK174" s="385"/>
      <c r="AL174" s="392"/>
      <c r="AM174" s="383"/>
      <c r="AN174" s="383"/>
      <c r="AO174" s="392"/>
      <c r="AP174" s="392"/>
      <c r="AQ174" s="392"/>
      <c r="AR174" s="392"/>
      <c r="AS174" s="392"/>
      <c r="AT174" s="392"/>
      <c r="AU174" s="392"/>
      <c r="AV174" s="392"/>
      <c r="AW174" s="392"/>
      <c r="AX174" s="392"/>
      <c r="AY174" s="392"/>
      <c r="AZ174" s="392"/>
      <c r="BA174" s="392"/>
      <c r="BB174" s="392"/>
      <c r="BC174" s="392"/>
      <c r="BD174" s="392"/>
      <c r="BE174" s="383"/>
      <c r="BF174" s="437"/>
    </row>
    <row r="175" spans="2:58" s="381" customFormat="1" ht="42" customHeight="1" x14ac:dyDescent="0.25">
      <c r="B175" s="383"/>
      <c r="C175" s="383"/>
      <c r="D175" s="382"/>
      <c r="E175" s="382"/>
      <c r="F175" s="384"/>
      <c r="G175" s="385"/>
      <c r="H175" s="385"/>
      <c r="I175" s="386"/>
      <c r="J175" s="387"/>
      <c r="K175" s="388"/>
      <c r="L175" s="388"/>
      <c r="M175" s="387"/>
      <c r="N175" s="389"/>
      <c r="O175" s="385"/>
      <c r="P175" s="385"/>
      <c r="Q175" s="390"/>
      <c r="R175" s="385"/>
      <c r="S175" s="385"/>
      <c r="T175" s="390"/>
      <c r="U175" s="391"/>
      <c r="V175" s="385"/>
      <c r="W175" s="385"/>
      <c r="X175" s="390"/>
      <c r="Y175" s="385"/>
      <c r="Z175" s="385"/>
      <c r="AA175" s="390"/>
      <c r="AB175" s="391"/>
      <c r="AC175" s="385"/>
      <c r="AD175" s="385"/>
      <c r="AE175" s="390"/>
      <c r="AF175" s="385"/>
      <c r="AG175" s="385"/>
      <c r="AH175" s="390"/>
      <c r="AI175" s="391"/>
      <c r="AJ175" s="385"/>
      <c r="AK175" s="385"/>
      <c r="AL175" s="392"/>
      <c r="AM175" s="383"/>
      <c r="AN175" s="383"/>
      <c r="AO175" s="392"/>
      <c r="AP175" s="392"/>
      <c r="AQ175" s="392"/>
      <c r="AR175" s="392"/>
      <c r="AS175" s="392"/>
      <c r="AT175" s="392"/>
      <c r="AU175" s="392"/>
      <c r="AV175" s="392"/>
      <c r="AW175" s="392"/>
      <c r="AX175" s="392"/>
      <c r="AY175" s="392"/>
      <c r="AZ175" s="392"/>
      <c r="BA175" s="392"/>
      <c r="BB175" s="392"/>
      <c r="BC175" s="392"/>
      <c r="BD175" s="392"/>
      <c r="BE175" s="383"/>
      <c r="BF175" s="437"/>
    </row>
    <row r="176" spans="2:58" s="381" customFormat="1" ht="42" customHeight="1" x14ac:dyDescent="0.25">
      <c r="B176" s="383"/>
      <c r="C176" s="383"/>
      <c r="D176" s="382"/>
      <c r="E176" s="382"/>
      <c r="F176" s="384"/>
      <c r="G176" s="385"/>
      <c r="H176" s="385"/>
      <c r="I176" s="386"/>
      <c r="J176" s="387"/>
      <c r="K176" s="388"/>
      <c r="L176" s="388"/>
      <c r="M176" s="387"/>
      <c r="N176" s="389"/>
      <c r="O176" s="385"/>
      <c r="P176" s="385"/>
      <c r="Q176" s="390"/>
      <c r="R176" s="385"/>
      <c r="S176" s="385"/>
      <c r="T176" s="390"/>
      <c r="U176" s="391"/>
      <c r="V176" s="385"/>
      <c r="W176" s="385"/>
      <c r="X176" s="390"/>
      <c r="Y176" s="385"/>
      <c r="Z176" s="385"/>
      <c r="AA176" s="390"/>
      <c r="AB176" s="391"/>
      <c r="AC176" s="385"/>
      <c r="AD176" s="385"/>
      <c r="AE176" s="390"/>
      <c r="AF176" s="385"/>
      <c r="AG176" s="385"/>
      <c r="AH176" s="390"/>
      <c r="AI176" s="391"/>
      <c r="AJ176" s="385"/>
      <c r="AK176" s="385"/>
      <c r="AL176" s="392"/>
      <c r="AM176" s="383"/>
      <c r="AN176" s="383"/>
      <c r="AO176" s="392"/>
      <c r="AP176" s="392"/>
      <c r="AQ176" s="392"/>
      <c r="AR176" s="392"/>
      <c r="AS176" s="392"/>
      <c r="AT176" s="392"/>
      <c r="AU176" s="392"/>
      <c r="AV176" s="392"/>
      <c r="AW176" s="392"/>
      <c r="AX176" s="392"/>
      <c r="AY176" s="392"/>
      <c r="AZ176" s="392"/>
      <c r="BA176" s="392"/>
      <c r="BB176" s="392"/>
      <c r="BC176" s="392"/>
      <c r="BD176" s="392"/>
      <c r="BE176" s="383"/>
      <c r="BF176" s="437"/>
    </row>
    <row r="177" spans="2:58" s="381" customFormat="1" ht="42" customHeight="1" x14ac:dyDescent="0.25">
      <c r="B177" s="383"/>
      <c r="C177" s="383"/>
      <c r="D177" s="382"/>
      <c r="E177" s="382"/>
      <c r="F177" s="384"/>
      <c r="G177" s="385"/>
      <c r="H177" s="385"/>
      <c r="I177" s="386"/>
      <c r="J177" s="387"/>
      <c r="K177" s="388"/>
      <c r="L177" s="388"/>
      <c r="M177" s="387"/>
      <c r="N177" s="389"/>
      <c r="O177" s="385"/>
      <c r="P177" s="385"/>
      <c r="Q177" s="390"/>
      <c r="R177" s="385"/>
      <c r="S177" s="385"/>
      <c r="T177" s="390"/>
      <c r="U177" s="391"/>
      <c r="V177" s="385"/>
      <c r="W177" s="385"/>
      <c r="X177" s="390"/>
      <c r="Y177" s="385"/>
      <c r="Z177" s="385"/>
      <c r="AA177" s="390"/>
      <c r="AB177" s="391"/>
      <c r="AC177" s="385"/>
      <c r="AD177" s="385"/>
      <c r="AE177" s="390"/>
      <c r="AF177" s="385"/>
      <c r="AG177" s="385"/>
      <c r="AH177" s="390"/>
      <c r="AI177" s="391"/>
      <c r="AJ177" s="385"/>
      <c r="AK177" s="385"/>
      <c r="AL177" s="392"/>
      <c r="AM177" s="383"/>
      <c r="AN177" s="383"/>
      <c r="AO177" s="392"/>
      <c r="AP177" s="392"/>
      <c r="AQ177" s="392"/>
      <c r="AR177" s="392"/>
      <c r="AS177" s="392"/>
      <c r="AT177" s="392"/>
      <c r="AU177" s="392"/>
      <c r="AV177" s="392"/>
      <c r="AW177" s="392"/>
      <c r="AX177" s="392"/>
      <c r="AY177" s="392"/>
      <c r="AZ177" s="392"/>
      <c r="BA177" s="392"/>
      <c r="BB177" s="392"/>
      <c r="BC177" s="392"/>
      <c r="BD177" s="392"/>
      <c r="BE177" s="383"/>
      <c r="BF177" s="437"/>
    </row>
    <row r="178" spans="2:58" s="381" customFormat="1" ht="42" customHeight="1" x14ac:dyDescent="0.25">
      <c r="B178" s="383"/>
      <c r="C178" s="383"/>
      <c r="D178" s="382"/>
      <c r="E178" s="382"/>
      <c r="F178" s="384"/>
      <c r="G178" s="385"/>
      <c r="H178" s="385"/>
      <c r="I178" s="386"/>
      <c r="J178" s="387"/>
      <c r="K178" s="388"/>
      <c r="L178" s="388"/>
      <c r="M178" s="387"/>
      <c r="N178" s="389"/>
      <c r="O178" s="385"/>
      <c r="P178" s="385"/>
      <c r="Q178" s="390"/>
      <c r="R178" s="385"/>
      <c r="S178" s="385"/>
      <c r="T178" s="390"/>
      <c r="U178" s="391"/>
      <c r="V178" s="385"/>
      <c r="W178" s="385"/>
      <c r="X178" s="390"/>
      <c r="Y178" s="385"/>
      <c r="Z178" s="385"/>
      <c r="AA178" s="390"/>
      <c r="AB178" s="391"/>
      <c r="AC178" s="385"/>
      <c r="AD178" s="385"/>
      <c r="AE178" s="390"/>
      <c r="AF178" s="385"/>
      <c r="AG178" s="385"/>
      <c r="AH178" s="390"/>
      <c r="AI178" s="391"/>
      <c r="AJ178" s="385"/>
      <c r="AK178" s="385"/>
      <c r="AL178" s="392"/>
      <c r="AM178" s="383"/>
      <c r="AN178" s="383"/>
      <c r="AO178" s="392"/>
      <c r="AP178" s="392"/>
      <c r="AQ178" s="392"/>
      <c r="AR178" s="392"/>
      <c r="AS178" s="392"/>
      <c r="AT178" s="392"/>
      <c r="AU178" s="392"/>
      <c r="AV178" s="392"/>
      <c r="AW178" s="392"/>
      <c r="AX178" s="392"/>
      <c r="AY178" s="392"/>
      <c r="AZ178" s="392"/>
      <c r="BA178" s="392"/>
      <c r="BB178" s="392"/>
      <c r="BC178" s="392"/>
      <c r="BD178" s="392"/>
      <c r="BE178" s="383"/>
      <c r="BF178" s="437"/>
    </row>
    <row r="179" spans="2:58" s="381" customFormat="1" ht="42" customHeight="1" x14ac:dyDescent="0.25">
      <c r="B179" s="383"/>
      <c r="C179" s="383"/>
      <c r="D179" s="382"/>
      <c r="E179" s="382"/>
      <c r="F179" s="384"/>
      <c r="G179" s="385"/>
      <c r="H179" s="385"/>
      <c r="I179" s="386"/>
      <c r="J179" s="387"/>
      <c r="K179" s="388"/>
      <c r="L179" s="388"/>
      <c r="M179" s="387"/>
      <c r="N179" s="389"/>
      <c r="O179" s="385"/>
      <c r="P179" s="385"/>
      <c r="Q179" s="390"/>
      <c r="R179" s="385"/>
      <c r="S179" s="385"/>
      <c r="T179" s="390"/>
      <c r="U179" s="391"/>
      <c r="V179" s="385"/>
      <c r="W179" s="385"/>
      <c r="X179" s="390"/>
      <c r="Y179" s="385"/>
      <c r="Z179" s="385"/>
      <c r="AA179" s="390"/>
      <c r="AB179" s="391"/>
      <c r="AC179" s="385"/>
      <c r="AD179" s="385"/>
      <c r="AE179" s="390"/>
      <c r="AF179" s="385"/>
      <c r="AG179" s="385"/>
      <c r="AH179" s="390"/>
      <c r="AI179" s="391"/>
      <c r="AJ179" s="385"/>
      <c r="AK179" s="385"/>
      <c r="AL179" s="392"/>
      <c r="AM179" s="383"/>
      <c r="AN179" s="383"/>
      <c r="AO179" s="392"/>
      <c r="AP179" s="392"/>
      <c r="AQ179" s="392"/>
      <c r="AR179" s="392"/>
      <c r="AS179" s="392"/>
      <c r="AT179" s="392"/>
      <c r="AU179" s="392"/>
      <c r="AV179" s="392"/>
      <c r="AW179" s="392"/>
      <c r="AX179" s="392"/>
      <c r="AY179" s="392"/>
      <c r="AZ179" s="392"/>
      <c r="BA179" s="392"/>
      <c r="BB179" s="392"/>
      <c r="BC179" s="392"/>
      <c r="BD179" s="392"/>
      <c r="BE179" s="383"/>
      <c r="BF179" s="437"/>
    </row>
    <row r="180" spans="2:58" s="381" customFormat="1" ht="42" customHeight="1" x14ac:dyDescent="0.25">
      <c r="B180" s="383"/>
      <c r="C180" s="383"/>
      <c r="D180" s="382"/>
      <c r="E180" s="382"/>
      <c r="F180" s="384"/>
      <c r="G180" s="385"/>
      <c r="H180" s="385"/>
      <c r="I180" s="386"/>
      <c r="J180" s="387"/>
      <c r="K180" s="388"/>
      <c r="L180" s="388"/>
      <c r="M180" s="387"/>
      <c r="N180" s="389"/>
      <c r="O180" s="385"/>
      <c r="P180" s="385"/>
      <c r="Q180" s="390"/>
      <c r="R180" s="385"/>
      <c r="S180" s="385"/>
      <c r="T180" s="390"/>
      <c r="U180" s="391"/>
      <c r="V180" s="385"/>
      <c r="W180" s="385"/>
      <c r="X180" s="390"/>
      <c r="Y180" s="385"/>
      <c r="Z180" s="385"/>
      <c r="AA180" s="390"/>
      <c r="AB180" s="391"/>
      <c r="AC180" s="385"/>
      <c r="AD180" s="385"/>
      <c r="AE180" s="390"/>
      <c r="AF180" s="385"/>
      <c r="AG180" s="385"/>
      <c r="AH180" s="390"/>
      <c r="AI180" s="391"/>
      <c r="AJ180" s="385"/>
      <c r="AK180" s="385"/>
      <c r="AL180" s="392"/>
      <c r="AM180" s="383"/>
      <c r="AN180" s="383"/>
      <c r="AO180" s="392"/>
      <c r="AP180" s="392"/>
      <c r="AQ180" s="392"/>
      <c r="AR180" s="392"/>
      <c r="AS180" s="392"/>
      <c r="AT180" s="392"/>
      <c r="AU180" s="392"/>
      <c r="AV180" s="392"/>
      <c r="AW180" s="392"/>
      <c r="AX180" s="392"/>
      <c r="AY180" s="392"/>
      <c r="AZ180" s="392"/>
      <c r="BA180" s="392"/>
      <c r="BB180" s="392"/>
      <c r="BC180" s="392"/>
      <c r="BD180" s="392"/>
      <c r="BE180" s="383"/>
      <c r="BF180" s="437"/>
    </row>
    <row r="181" spans="2:58" s="381" customFormat="1" ht="42" customHeight="1" x14ac:dyDescent="0.25">
      <c r="B181" s="383"/>
      <c r="C181" s="383"/>
      <c r="D181" s="382"/>
      <c r="E181" s="382"/>
      <c r="F181" s="384"/>
      <c r="G181" s="385"/>
      <c r="H181" s="385"/>
      <c r="I181" s="386"/>
      <c r="J181" s="387"/>
      <c r="K181" s="388"/>
      <c r="L181" s="388"/>
      <c r="M181" s="387"/>
      <c r="N181" s="389"/>
      <c r="O181" s="385"/>
      <c r="P181" s="385"/>
      <c r="Q181" s="390"/>
      <c r="R181" s="385"/>
      <c r="S181" s="385"/>
      <c r="T181" s="390"/>
      <c r="U181" s="391"/>
      <c r="V181" s="385"/>
      <c r="W181" s="385"/>
      <c r="X181" s="390"/>
      <c r="Y181" s="385"/>
      <c r="Z181" s="385"/>
      <c r="AA181" s="390"/>
      <c r="AB181" s="391"/>
      <c r="AC181" s="385"/>
      <c r="AD181" s="385"/>
      <c r="AE181" s="390"/>
      <c r="AF181" s="385"/>
      <c r="AG181" s="385"/>
      <c r="AH181" s="390"/>
      <c r="AI181" s="391"/>
      <c r="AJ181" s="385"/>
      <c r="AK181" s="385"/>
      <c r="AL181" s="392"/>
      <c r="AM181" s="383"/>
      <c r="AN181" s="383"/>
      <c r="AO181" s="392"/>
      <c r="AP181" s="392"/>
      <c r="AQ181" s="392"/>
      <c r="AR181" s="392"/>
      <c r="AS181" s="392"/>
      <c r="AT181" s="392"/>
      <c r="AU181" s="392"/>
      <c r="AV181" s="392"/>
      <c r="AW181" s="392"/>
      <c r="AX181" s="392"/>
      <c r="AY181" s="392"/>
      <c r="AZ181" s="392"/>
      <c r="BA181" s="392"/>
      <c r="BB181" s="392"/>
      <c r="BC181" s="392"/>
      <c r="BD181" s="392"/>
      <c r="BE181" s="383"/>
      <c r="BF181" s="437"/>
    </row>
    <row r="182" spans="2:58" s="381" customFormat="1" ht="42" customHeight="1" x14ac:dyDescent="0.25">
      <c r="B182" s="383"/>
      <c r="C182" s="383"/>
      <c r="D182" s="382"/>
      <c r="E182" s="382"/>
      <c r="F182" s="384"/>
      <c r="G182" s="385"/>
      <c r="H182" s="385"/>
      <c r="I182" s="386"/>
      <c r="J182" s="387"/>
      <c r="K182" s="388"/>
      <c r="L182" s="388"/>
      <c r="M182" s="387"/>
      <c r="N182" s="389"/>
      <c r="O182" s="385"/>
      <c r="P182" s="385"/>
      <c r="Q182" s="390"/>
      <c r="R182" s="385"/>
      <c r="S182" s="385"/>
      <c r="T182" s="390"/>
      <c r="U182" s="391"/>
      <c r="V182" s="385"/>
      <c r="W182" s="385"/>
      <c r="X182" s="390"/>
      <c r="Y182" s="385"/>
      <c r="Z182" s="385"/>
      <c r="AA182" s="390"/>
      <c r="AB182" s="391"/>
      <c r="AC182" s="385"/>
      <c r="AD182" s="385"/>
      <c r="AE182" s="390"/>
      <c r="AF182" s="385"/>
      <c r="AG182" s="385"/>
      <c r="AH182" s="390"/>
      <c r="AI182" s="391"/>
      <c r="AJ182" s="385"/>
      <c r="AK182" s="385"/>
      <c r="AL182" s="392"/>
      <c r="AM182" s="383"/>
      <c r="AN182" s="383"/>
      <c r="AO182" s="392"/>
      <c r="AP182" s="392"/>
      <c r="AQ182" s="392"/>
      <c r="AR182" s="392"/>
      <c r="AS182" s="392"/>
      <c r="AT182" s="392"/>
      <c r="AU182" s="392"/>
      <c r="AV182" s="392"/>
      <c r="AW182" s="392"/>
      <c r="AX182" s="392"/>
      <c r="AY182" s="392"/>
      <c r="AZ182" s="392"/>
      <c r="BA182" s="392"/>
      <c r="BB182" s="392"/>
      <c r="BC182" s="392"/>
      <c r="BD182" s="392"/>
      <c r="BE182" s="383"/>
      <c r="BF182" s="437"/>
    </row>
    <row r="183" spans="2:58" s="381" customFormat="1" ht="42" customHeight="1" x14ac:dyDescent="0.25">
      <c r="B183" s="383"/>
      <c r="C183" s="383"/>
      <c r="D183" s="382"/>
      <c r="E183" s="382"/>
      <c r="F183" s="384"/>
      <c r="G183" s="385"/>
      <c r="H183" s="385"/>
      <c r="I183" s="386"/>
      <c r="J183" s="387"/>
      <c r="K183" s="388"/>
      <c r="L183" s="388"/>
      <c r="M183" s="387"/>
      <c r="N183" s="389"/>
      <c r="O183" s="385"/>
      <c r="P183" s="385"/>
      <c r="Q183" s="390"/>
      <c r="R183" s="385"/>
      <c r="S183" s="385"/>
      <c r="T183" s="390"/>
      <c r="U183" s="391"/>
      <c r="V183" s="385"/>
      <c r="W183" s="385"/>
      <c r="X183" s="390"/>
      <c r="Y183" s="385"/>
      <c r="Z183" s="385"/>
      <c r="AA183" s="390"/>
      <c r="AB183" s="391"/>
      <c r="AC183" s="385"/>
      <c r="AD183" s="385"/>
      <c r="AE183" s="390"/>
      <c r="AF183" s="385"/>
      <c r="AG183" s="385"/>
      <c r="AH183" s="390"/>
      <c r="AI183" s="391"/>
      <c r="AJ183" s="385"/>
      <c r="AK183" s="385"/>
      <c r="AL183" s="392"/>
      <c r="AM183" s="383"/>
      <c r="AN183" s="383"/>
      <c r="AO183" s="392"/>
      <c r="AP183" s="392"/>
      <c r="AQ183" s="392"/>
      <c r="AR183" s="392"/>
      <c r="AS183" s="392"/>
      <c r="AT183" s="392"/>
      <c r="AU183" s="392"/>
      <c r="AV183" s="392"/>
      <c r="AW183" s="392"/>
      <c r="AX183" s="392"/>
      <c r="AY183" s="392"/>
      <c r="AZ183" s="392"/>
      <c r="BA183" s="392"/>
      <c r="BB183" s="392"/>
      <c r="BC183" s="392"/>
      <c r="BD183" s="392"/>
      <c r="BE183" s="383"/>
      <c r="BF183" s="437"/>
    </row>
    <row r="184" spans="2:58" s="381" customFormat="1" ht="42" customHeight="1" x14ac:dyDescent="0.25">
      <c r="B184" s="383"/>
      <c r="C184" s="383"/>
      <c r="D184" s="382"/>
      <c r="E184" s="382"/>
      <c r="F184" s="384"/>
      <c r="G184" s="385"/>
      <c r="H184" s="385"/>
      <c r="I184" s="386"/>
      <c r="J184" s="387"/>
      <c r="K184" s="388"/>
      <c r="L184" s="388"/>
      <c r="M184" s="387"/>
      <c r="N184" s="389"/>
      <c r="O184" s="385"/>
      <c r="P184" s="385"/>
      <c r="Q184" s="390"/>
      <c r="R184" s="385"/>
      <c r="S184" s="385"/>
      <c r="T184" s="390"/>
      <c r="U184" s="391"/>
      <c r="V184" s="385"/>
      <c r="W184" s="385"/>
      <c r="X184" s="390"/>
      <c r="Y184" s="385"/>
      <c r="Z184" s="385"/>
      <c r="AA184" s="390"/>
      <c r="AB184" s="391"/>
      <c r="AC184" s="385"/>
      <c r="AD184" s="385"/>
      <c r="AE184" s="390"/>
      <c r="AF184" s="385"/>
      <c r="AG184" s="385"/>
      <c r="AH184" s="390"/>
      <c r="AI184" s="391"/>
      <c r="AJ184" s="385"/>
      <c r="AK184" s="385"/>
      <c r="AL184" s="392"/>
      <c r="AM184" s="383"/>
      <c r="AN184" s="383"/>
      <c r="AO184" s="392"/>
      <c r="AP184" s="392"/>
      <c r="AQ184" s="392"/>
      <c r="AR184" s="392"/>
      <c r="AS184" s="392"/>
      <c r="AT184" s="392"/>
      <c r="AU184" s="392"/>
      <c r="AV184" s="392"/>
      <c r="AW184" s="392"/>
      <c r="AX184" s="392"/>
      <c r="AY184" s="392"/>
      <c r="AZ184" s="392"/>
      <c r="BA184" s="392"/>
      <c r="BB184" s="392"/>
      <c r="BC184" s="392"/>
      <c r="BD184" s="392"/>
      <c r="BE184" s="383"/>
      <c r="BF184" s="437"/>
    </row>
  </sheetData>
  <autoFilter ref="A11:BF140" xr:uid="{00000000-0009-0000-0000-000007000000}"/>
  <mergeCells count="18">
    <mergeCell ref="A10:A11"/>
    <mergeCell ref="G10:G11"/>
    <mergeCell ref="B10:B11"/>
    <mergeCell ref="C10:C11"/>
    <mergeCell ref="D10:D11"/>
    <mergeCell ref="E10:E11"/>
    <mergeCell ref="F10:F11"/>
    <mergeCell ref="AD10:AJ10"/>
    <mergeCell ref="AK10:AQ10"/>
    <mergeCell ref="BF10:BF11"/>
    <mergeCell ref="H1:H2"/>
    <mergeCell ref="I1:I2"/>
    <mergeCell ref="AR10:AX10"/>
    <mergeCell ref="AY10:BE10"/>
    <mergeCell ref="H10:H11"/>
    <mergeCell ref="I10:O10"/>
    <mergeCell ref="P10:V10"/>
    <mergeCell ref="W10:AC10"/>
  </mergeCells>
  <phoneticPr fontId="5" type="noConversion"/>
  <conditionalFormatting sqref="A10:BF10 B133:BF146 B147:C147 E147:BF147 B148:BF1048576">
    <cfRule type="cellIs" dxfId="5774" priority="11" operator="equal">
      <formula>"E - Review not Required - Proceed"</formula>
    </cfRule>
    <cfRule type="cellIs" dxfId="5773" priority="12" operator="equal">
      <formula>"D - Rejected"</formula>
    </cfRule>
    <cfRule type="cellIs" dxfId="5772" priority="13" operator="equal">
      <formula>"B- Incorporate Comments - Proceed"</formula>
    </cfRule>
    <cfRule type="cellIs" dxfId="5771" priority="14" operator="equal">
      <formula>"C - Revise and Resubmit - Do Not Proceed"</formula>
    </cfRule>
    <cfRule type="cellIs" dxfId="5770" priority="15" operator="equal">
      <formula>"A - Work May Proceed"</formula>
    </cfRule>
  </conditionalFormatting>
  <conditionalFormatting sqref="B44:B45">
    <cfRule type="cellIs" dxfId="5769" priority="456" stopIfTrue="1" operator="equal">
      <formula>"A - Work May Proceed"</formula>
    </cfRule>
  </conditionalFormatting>
  <conditionalFormatting sqref="B76">
    <cfRule type="cellIs" dxfId="5768" priority="366" stopIfTrue="1" operator="equal">
      <formula>"A - Work May Proceed"</formula>
    </cfRule>
  </conditionalFormatting>
  <conditionalFormatting sqref="B82">
    <cfRule type="cellIs" dxfId="5767" priority="376" stopIfTrue="1" operator="equal">
      <formula>"A - Work May Proceed"</formula>
    </cfRule>
  </conditionalFormatting>
  <conditionalFormatting sqref="B83">
    <cfRule type="cellIs" dxfId="5766" priority="401" operator="equal">
      <formula>"A - Work May Proceed"</formula>
    </cfRule>
  </conditionalFormatting>
  <conditionalFormatting sqref="B91:C91">
    <cfRule type="cellIs" dxfId="5765" priority="146" operator="equal">
      <formula>"A - Work May Proceed"</formula>
    </cfRule>
  </conditionalFormatting>
  <conditionalFormatting sqref="B77:G80 I80:J80 P80:U80">
    <cfRule type="cellIs" dxfId="5764" priority="486" operator="equal">
      <formula>"A - Work May Proceed"</formula>
    </cfRule>
  </conditionalFormatting>
  <conditionalFormatting sqref="B84:G91 C92:E113 G92:G145 C114:C115">
    <cfRule type="cellIs" dxfId="5763" priority="331" operator="equal">
      <formula>"A - Work May Proceed"</formula>
    </cfRule>
  </conditionalFormatting>
  <conditionalFormatting sqref="B75:N76 P76:Q79">
    <cfRule type="cellIs" dxfId="5762" priority="359" operator="equal">
      <formula>"B- Incorporate Comments - Proceed"</formula>
    </cfRule>
    <cfRule type="cellIs" dxfId="5761" priority="360" operator="equal">
      <formula>"C - Revise and Resubmit - Do Not Proceed"</formula>
    </cfRule>
    <cfRule type="cellIs" dxfId="5760" priority="357" operator="equal">
      <formula>"E - Review not Required - Proceed"</formula>
    </cfRule>
    <cfRule type="cellIs" dxfId="5759" priority="358" operator="equal">
      <formula>"D - Rejected"</formula>
    </cfRule>
  </conditionalFormatting>
  <conditionalFormatting sqref="B39:Q39">
    <cfRule type="cellIs" dxfId="5758" priority="118" operator="equal">
      <formula>"B- Incorporate Comments - Proceed"</formula>
    </cfRule>
    <cfRule type="cellIs" dxfId="5757" priority="117" operator="equal">
      <formula>"D - Rejected"</formula>
    </cfRule>
    <cfRule type="cellIs" dxfId="5756" priority="116" operator="equal">
      <formula>"E - Review not Required - Proceed"</formula>
    </cfRule>
    <cfRule type="cellIs" dxfId="5755" priority="120" operator="equal">
      <formula>"A - Work May Proceed"</formula>
    </cfRule>
    <cfRule type="cellIs" dxfId="5754" priority="119" operator="equal">
      <formula>"C - Revise and Resubmit - Do Not Proceed"</formula>
    </cfRule>
  </conditionalFormatting>
  <conditionalFormatting sqref="B44:Q45">
    <cfRule type="cellIs" dxfId="5753" priority="454" operator="equal">
      <formula>"B- Incorporate Comments - Proceed"</formula>
    </cfRule>
    <cfRule type="cellIs" dxfId="5752" priority="452" operator="equal">
      <formula>"E - Review not Required - Proceed"</formula>
    </cfRule>
    <cfRule type="cellIs" dxfId="5751" priority="453" operator="equal">
      <formula>"D - Rejected"</formula>
    </cfRule>
    <cfRule type="cellIs" dxfId="5750" priority="455" operator="equal">
      <formula>"C - Revise and Resubmit - Do Not Proceed"</formula>
    </cfRule>
  </conditionalFormatting>
  <conditionalFormatting sqref="B109:Q109 S109:BF109 O111:O115 B112:N113 P112:BF113 B114:BF117 B118:AS118 AU118:AW118 AY118:BF118 B119:BF131 B132:Q132 S132:BF132">
    <cfRule type="cellIs" dxfId="5749" priority="200" operator="equal">
      <formula>"C - Revise and Resubmit - Do Not Proceed"</formula>
    </cfRule>
    <cfRule type="cellIs" dxfId="5748" priority="198" operator="equal">
      <formula>"D - Rejected"</formula>
    </cfRule>
    <cfRule type="cellIs" dxfId="5747" priority="199" operator="equal">
      <formula>"B- Incorporate Comments - Proceed"</formula>
    </cfRule>
    <cfRule type="cellIs" dxfId="5746" priority="197" operator="equal">
      <formula>"E - Review not Required - Proceed"</formula>
    </cfRule>
    <cfRule type="cellIs" dxfId="5745" priority="201" operator="equal">
      <formula>"A - Work May Proceed"</formula>
    </cfRule>
  </conditionalFormatting>
  <conditionalFormatting sqref="B21:V21">
    <cfRule type="cellIs" dxfId="5744" priority="142" operator="equal">
      <formula>"D - Rejected"</formula>
    </cfRule>
    <cfRule type="cellIs" dxfId="5743" priority="141" operator="equal">
      <formula>"E - Review not Required - Proceed"</formula>
    </cfRule>
    <cfRule type="cellIs" dxfId="5742" priority="145" operator="equal">
      <formula>"A - Work May Proceed"</formula>
    </cfRule>
    <cfRule type="cellIs" dxfId="5741" priority="144" operator="equal">
      <formula>"C - Revise and Resubmit - Do Not Proceed"</formula>
    </cfRule>
    <cfRule type="cellIs" dxfId="5740" priority="143" operator="equal">
      <formula>"B- Incorporate Comments - Proceed"</formula>
    </cfRule>
  </conditionalFormatting>
  <conditionalFormatting sqref="B23:V23">
    <cfRule type="cellIs" dxfId="5739" priority="140" operator="equal">
      <formula>"A - Work May Proceed"</formula>
    </cfRule>
    <cfRule type="cellIs" dxfId="5738" priority="136" operator="equal">
      <formula>"E - Review not Required - Proceed"</formula>
    </cfRule>
    <cfRule type="cellIs" dxfId="5737" priority="137" operator="equal">
      <formula>"D - Rejected"</formula>
    </cfRule>
    <cfRule type="cellIs" dxfId="5736" priority="138" operator="equal">
      <formula>"B- Incorporate Comments - Proceed"</formula>
    </cfRule>
    <cfRule type="cellIs" dxfId="5735" priority="139" operator="equal">
      <formula>"C - Revise and Resubmit - Do Not Proceed"</formula>
    </cfRule>
  </conditionalFormatting>
  <conditionalFormatting sqref="B72:AB72 AD72:BF72 AC72:AC80">
    <cfRule type="cellIs" dxfId="5734" priority="209" operator="equal">
      <formula>"B- Incorporate Comments - Proceed"</formula>
    </cfRule>
    <cfRule type="cellIs" dxfId="5733" priority="208" operator="equal">
      <formula>"D - Rejected"</formula>
    </cfRule>
    <cfRule type="cellIs" dxfId="5732" priority="207" operator="equal">
      <formula>"E - Review not Required - Proceed"</formula>
    </cfRule>
    <cfRule type="cellIs" dxfId="5731" priority="210" operator="equal">
      <formula>"C - Revise and Resubmit - Do Not Proceed"</formula>
    </cfRule>
    <cfRule type="cellIs" dxfId="5730" priority="211" operator="equal">
      <formula>"A - Work May Proceed"</formula>
    </cfRule>
  </conditionalFormatting>
  <conditionalFormatting sqref="B65:AM65">
    <cfRule type="cellIs" dxfId="5729" priority="28" operator="equal">
      <formula>"B- Incorporate Comments - Proceed"</formula>
    </cfRule>
    <cfRule type="cellIs" dxfId="5728" priority="29" operator="equal">
      <formula>"C - Revise and Resubmit - Do Not Proceed"</formula>
    </cfRule>
    <cfRule type="cellIs" dxfId="5727" priority="30" operator="equal">
      <formula>"A - Work May Proceed"</formula>
    </cfRule>
    <cfRule type="cellIs" dxfId="5726" priority="26" operator="equal">
      <formula>"E - Review not Required - Proceed"</formula>
    </cfRule>
    <cfRule type="cellIs" dxfId="5725" priority="27" operator="equal">
      <formula>"D - Rejected"</formula>
    </cfRule>
  </conditionalFormatting>
  <conditionalFormatting sqref="B13:BF16">
    <cfRule type="cellIs" dxfId="5724" priority="53" operator="equal">
      <formula>"B- Incorporate Comments - Proceed"</formula>
    </cfRule>
    <cfRule type="cellIs" dxfId="5723" priority="55" operator="equal">
      <formula>"A - Work May Proceed"</formula>
    </cfRule>
    <cfRule type="cellIs" dxfId="5722" priority="54" operator="equal">
      <formula>"C - Revise and Resubmit - Do Not Proceed"</formula>
    </cfRule>
    <cfRule type="cellIs" dxfId="5721" priority="51" operator="equal">
      <formula>"E - Review not Required - Proceed"</formula>
    </cfRule>
    <cfRule type="cellIs" dxfId="5720" priority="52" operator="equal">
      <formula>"D - Rejected"</formula>
    </cfRule>
  </conditionalFormatting>
  <conditionalFormatting sqref="B24:BF24">
    <cfRule type="cellIs" dxfId="5719" priority="133" operator="equal">
      <formula>"B- Incorporate Comments - Proceed"</formula>
    </cfRule>
    <cfRule type="cellIs" dxfId="5718" priority="131" operator="equal">
      <formula>"E - Review not Required - Proceed"</formula>
    </cfRule>
    <cfRule type="cellIs" dxfId="5717" priority="135" operator="equal">
      <formula>"A - Work May Proceed"</formula>
    </cfRule>
    <cfRule type="cellIs" dxfId="5716" priority="134" operator="equal">
      <formula>"C - Revise and Resubmit - Do Not Proceed"</formula>
    </cfRule>
    <cfRule type="cellIs" dxfId="5715" priority="132" operator="equal">
      <formula>"D - Rejected"</formula>
    </cfRule>
  </conditionalFormatting>
  <conditionalFormatting sqref="B26:BF38">
    <cfRule type="cellIs" dxfId="5714" priority="124" operator="equal">
      <formula>"C - Revise and Resubmit - Do Not Proceed"</formula>
    </cfRule>
    <cfRule type="cellIs" dxfId="5713" priority="122" operator="equal">
      <formula>"D - Rejected"</formula>
    </cfRule>
    <cfRule type="cellIs" dxfId="5712" priority="123" operator="equal">
      <formula>"B- Incorporate Comments - Proceed"</formula>
    </cfRule>
    <cfRule type="cellIs" dxfId="5711" priority="125" operator="equal">
      <formula>"A - Work May Proceed"</formula>
    </cfRule>
    <cfRule type="cellIs" dxfId="5710" priority="121" operator="equal">
      <formula>"E - Review not Required - Proceed"</formula>
    </cfRule>
  </conditionalFormatting>
  <conditionalFormatting sqref="B48:BF48">
    <cfRule type="cellIs" dxfId="5709" priority="103" operator="equal">
      <formula>"B- Incorporate Comments - Proceed"</formula>
    </cfRule>
    <cfRule type="cellIs" dxfId="5708" priority="105" operator="equal">
      <formula>"A - Work May Proceed"</formula>
    </cfRule>
    <cfRule type="cellIs" dxfId="5707" priority="104" operator="equal">
      <formula>"C - Revise and Resubmit - Do Not Proceed"</formula>
    </cfRule>
    <cfRule type="cellIs" dxfId="5706" priority="102" operator="equal">
      <formula>"D - Rejected"</formula>
    </cfRule>
    <cfRule type="cellIs" dxfId="5705" priority="101" operator="equal">
      <formula>"E - Review not Required - Proceed"</formula>
    </cfRule>
  </conditionalFormatting>
  <conditionalFormatting sqref="B68:BF71">
    <cfRule type="cellIs" dxfId="5704" priority="48" operator="equal">
      <formula>"B- Incorporate Comments - Proceed"</formula>
    </cfRule>
    <cfRule type="cellIs" dxfId="5703" priority="50" operator="equal">
      <formula>"A - Work May Proceed"</formula>
    </cfRule>
    <cfRule type="cellIs" dxfId="5702" priority="49" operator="equal">
      <formula>"C - Revise and Resubmit - Do Not Proceed"</formula>
    </cfRule>
    <cfRule type="cellIs" dxfId="5701" priority="47" operator="equal">
      <formula>"D - Rejected"</formula>
    </cfRule>
    <cfRule type="cellIs" dxfId="5700" priority="46" operator="equal">
      <formula>"E - Review not Required - Proceed"</formula>
    </cfRule>
  </conditionalFormatting>
  <conditionalFormatting sqref="B100:BF108">
    <cfRule type="cellIs" dxfId="5699" priority="24" operator="equal">
      <formula>"C - Revise and Resubmit - Do Not Proceed"</formula>
    </cfRule>
    <cfRule type="cellIs" dxfId="5698" priority="25" operator="equal">
      <formula>"A - Work May Proceed"</formula>
    </cfRule>
    <cfRule type="cellIs" dxfId="5697" priority="23" operator="equal">
      <formula>"B- Incorporate Comments - Proceed"</formula>
    </cfRule>
    <cfRule type="cellIs" dxfId="5696" priority="21" operator="equal">
      <formula>"E - Review not Required - Proceed"</formula>
    </cfRule>
    <cfRule type="cellIs" dxfId="5695" priority="22" operator="equal">
      <formula>"D - Rejected"</formula>
    </cfRule>
  </conditionalFormatting>
  <conditionalFormatting sqref="B110:BF111">
    <cfRule type="cellIs" dxfId="5694" priority="8" operator="equal">
      <formula>"B- Incorporate Comments - Proceed"</formula>
    </cfRule>
    <cfRule type="cellIs" dxfId="5693" priority="9" operator="equal">
      <formula>"C - Revise and Resubmit - Do Not Proceed"</formula>
    </cfRule>
    <cfRule type="cellIs" dxfId="5692" priority="10" operator="equal">
      <formula>"A - Work May Proceed"</formula>
    </cfRule>
    <cfRule type="cellIs" dxfId="5691" priority="6" operator="equal">
      <formula>"E - Review not Required - Proceed"</formula>
    </cfRule>
    <cfRule type="cellIs" dxfId="5690" priority="7" operator="equal">
      <formula>"D - Rejected"</formula>
    </cfRule>
  </conditionalFormatting>
  <conditionalFormatting sqref="D11:BE11 B1:G2 B3:H4 B9:H9 B12:AE12 AG12:AI12 AK12:BF12 B17:Q17 S17:U17 W17:X17 Z17:AB17 AD17:BF17 B18:BF20 W21:BF23 B22:Q22 S22:U22 B25:Q25 S25:BF25 S39:U39 B40:AE40 V42:V47 W43:AF43 W44:AE44 S44:U45 Z44:AB45 W45:X45 AD45:AE45 AC45:AC46 W46:AB46 AD46:AI46 B46:U47 W47:AI47 B49:AB50 B51:X51 Z51:AB51 B52:AB52 B53:BF55 B56:X56 Z56:AB56 AD56:BF56 B57:BF61 B62:Q62 S62:U62 W62:BF62 B63:BF63 B64:AL64 AN64:AP64 AR64:BF64 B66:K67 M67:BF67">
    <cfRule type="cellIs" dxfId="5689" priority="575" operator="equal">
      <formula>"C - Revise and Resubmit - Do Not Proceed"</formula>
    </cfRule>
    <cfRule type="cellIs" dxfId="5688" priority="574" operator="equal">
      <formula>"B- Incorporate Comments - Proceed"</formula>
    </cfRule>
    <cfRule type="cellIs" dxfId="5687" priority="573" operator="equal">
      <formula>"D - Rejected"</formula>
    </cfRule>
    <cfRule type="cellIs" dxfId="5686" priority="572" operator="equal">
      <formula>"E - Review not Required - Proceed"</formula>
    </cfRule>
  </conditionalFormatting>
  <conditionalFormatting sqref="D11:BE11 B1:G2 B3:H4 B9:H9 B12:AE12 AG12:AI12 AK12:BF12 B17:Q17 S17:U17 W17:X17 Z17:AB17 AD17:BF17 B18:BF20 W21:BF23 B22:Q22 S22:U22 B25:Q25 S25:BF25 S39:U39 B40:AE40 X42 B42:U43 V42:V47 W43:AF43 W44:AE44 C44:Q45 S44:U45 Z44:AB45 W45:X45 AD45:AE45 AC45:AC46 W46:AB46 AD46:AI46 B46:U47 W47:AI47 B49:AB50 B51:X51 Z51:AB51 B52:AB52 B53:BF55 B56:X56 Z56:AB56 AD56:BF56 B57:BF61 B62:Q62 S62:U62 W62:BF62 B63:BF63 B64:AL64 AN64:AP64 AR64:BF64 B66:K67 M67:BF67">
    <cfRule type="cellIs" dxfId="5685" priority="576" operator="equal">
      <formula>"A - Work May Proceed"</formula>
    </cfRule>
  </conditionalFormatting>
  <conditionalFormatting sqref="H77:H145">
    <cfRule type="cellIs" dxfId="5684" priority="481" operator="equal">
      <formula>"A - Work May Proceed"</formula>
    </cfRule>
  </conditionalFormatting>
  <conditionalFormatting sqref="I11">
    <cfRule type="cellIs" dxfId="5683" priority="644" operator="equal">
      <formula>"E - Review Not Required - Proceed"</formula>
    </cfRule>
    <cfRule type="cellIs" dxfId="5682" priority="645" operator="between">
      <formula>"E - Review not Required - Proceed"</formula>
      <formula>"E - Review not Required - Proceed"</formula>
    </cfRule>
    <cfRule type="cellIs" dxfId="5681" priority="646" operator="between">
      <formula>"'D - Rejected "</formula>
      <formula>"'D - Rejected "</formula>
    </cfRule>
    <cfRule type="cellIs" dxfId="5680" priority="647" operator="between">
      <formula>"C - Revise and Resubmit - Do Not Proceed"</formula>
      <formula>"C - Revise and Resubmit - Do Not Proceed"</formula>
    </cfRule>
    <cfRule type="cellIs" dxfId="5679" priority="648" operator="between">
      <formula>"B - Incorporate Comments - Proceed"</formula>
      <formula>"B - Incorporate Comments - Proceed"</formula>
    </cfRule>
    <cfRule type="cellIs" dxfId="5678" priority="649" operator="between">
      <formula>"A - Work May Proceed"</formula>
      <formula>"A - Work May Proceed"</formula>
    </cfRule>
    <cfRule type="cellIs" dxfId="5677" priority="650" operator="between">
      <formula>"B - Incorporate Comments - Proceed"</formula>
      <formula>"B - Incorporate Comments - Proceed"</formula>
    </cfRule>
    <cfRule type="cellIs" dxfId="5676" priority="651" operator="between">
      <formula>"E - Review not Required - Proceed"</formula>
      <formula>"E - Review not Required - Proceed"</formula>
    </cfRule>
    <cfRule type="cellIs" dxfId="5675" priority="652" operator="between">
      <formula>"D - Rejected "</formula>
      <formula>"D - Rejected "</formula>
    </cfRule>
    <cfRule type="cellIs" dxfId="5674" priority="653" operator="between">
      <formula>"CANCELLED"</formula>
      <formula>"CANCELLED"</formula>
    </cfRule>
    <cfRule type="cellIs" dxfId="5673" priority="654" operator="between">
      <formula>"A - Work May Proceed"</formula>
      <formula>"A - Work May Proceed"</formula>
    </cfRule>
    <cfRule type="cellIs" dxfId="5672" priority="655" operator="between">
      <formula>"C - Revise and Resubmit - Do Not Proceed"</formula>
      <formula>"C - Revise and Resubmit - Do Not Proceed"</formula>
    </cfRule>
    <cfRule type="cellIs" dxfId="5671" priority="656" stopIfTrue="1" operator="between">
      <formula>"B - Incorporate Comments - Proceed "</formula>
      <formula>"B - Incorporate Comments - Proceed "</formula>
    </cfRule>
    <cfRule type="cellIs" dxfId="5670" priority="641" operator="equal">
      <formula>"B - Incorporate Comments - Proceed"</formula>
    </cfRule>
    <cfRule type="cellIs" dxfId="5669" priority="642" operator="equal">
      <formula>"For Information"</formula>
    </cfRule>
    <cfRule type="cellIs" dxfId="5668" priority="643" operator="equal">
      <formula>"B - Incorporate Comments - Proceed "</formula>
    </cfRule>
  </conditionalFormatting>
  <conditionalFormatting sqref="I81">
    <cfRule type="cellIs" dxfId="5667" priority="461" operator="equal">
      <formula>"A - Work May Proceed"</formula>
    </cfRule>
  </conditionalFormatting>
  <conditionalFormatting sqref="I82">
    <cfRule type="cellIs" dxfId="5666" priority="371" stopIfTrue="1" operator="equal">
      <formula>"A - Work May Proceed"</formula>
    </cfRule>
  </conditionalFormatting>
  <conditionalFormatting sqref="I83:I90">
    <cfRule type="cellIs" dxfId="5665" priority="336" operator="equal">
      <formula>"A - Work May Proceed"</formula>
    </cfRule>
  </conditionalFormatting>
  <conditionalFormatting sqref="I80:J90 L80:N90">
    <cfRule type="cellIs" dxfId="5664" priority="334" operator="equal">
      <formula>"B- Incorporate Comments - Proceed"</formula>
    </cfRule>
    <cfRule type="cellIs" dxfId="5663" priority="335" operator="equal">
      <formula>"C - Revise and Resubmit - Do Not Proceed"</formula>
    </cfRule>
    <cfRule type="cellIs" dxfId="5662" priority="332" operator="equal">
      <formula>"E - Review not Required - Proceed"</formula>
    </cfRule>
    <cfRule type="cellIs" dxfId="5661" priority="333" operator="equal">
      <formula>"D - Rejected"</formula>
    </cfRule>
  </conditionalFormatting>
  <conditionalFormatting sqref="I91:BF91">
    <cfRule type="cellIs" dxfId="5660" priority="161" operator="equal">
      <formula>"A - Work May Proceed"</formula>
    </cfRule>
  </conditionalFormatting>
  <conditionalFormatting sqref="J5:J6 B5:I7 B8:J8">
    <cfRule type="cellIs" dxfId="5659" priority="523" operator="equal">
      <formula>"D - Rejected"</formula>
    </cfRule>
    <cfRule type="cellIs" dxfId="5658" priority="522" operator="equal">
      <formula>"E - Review not Required - Proceed"</formula>
    </cfRule>
    <cfRule type="cellIs" dxfId="5657" priority="525" operator="equal">
      <formula>"C - Revise and Resubmit - Do Not Proceed"</formula>
    </cfRule>
    <cfRule type="cellIs" dxfId="5656" priority="526" stopIfTrue="1" operator="equal">
      <formula>"A - Work May Proceed"</formula>
    </cfRule>
    <cfRule type="cellIs" dxfId="5655" priority="524" operator="equal">
      <formula>"B- Incorporate Comments - Proceed"</formula>
    </cfRule>
  </conditionalFormatting>
  <conditionalFormatting sqref="L80:N90 N92:N95">
    <cfRule type="cellIs" dxfId="5654" priority="411" operator="equal">
      <formula>"A - Work May Proceed"</formula>
    </cfRule>
  </conditionalFormatting>
  <conditionalFormatting sqref="L66:BF66">
    <cfRule type="cellIs" dxfId="5653" priority="95" operator="equal">
      <formula>"A - Work May Proceed"</formula>
    </cfRule>
    <cfRule type="cellIs" dxfId="5652" priority="91" operator="equal">
      <formula>"E - Review not Required - Proceed"</formula>
    </cfRule>
    <cfRule type="cellIs" dxfId="5651" priority="92" operator="equal">
      <formula>"D - Rejected"</formula>
    </cfRule>
    <cfRule type="cellIs" dxfId="5650" priority="93" operator="equal">
      <formula>"B- Incorporate Comments - Proceed"</formula>
    </cfRule>
    <cfRule type="cellIs" dxfId="5649" priority="94" operator="equal">
      <formula>"C - Revise and Resubmit - Do Not Proceed"</formula>
    </cfRule>
  </conditionalFormatting>
  <conditionalFormatting sqref="P11">
    <cfRule type="cellIs" dxfId="5648" priority="639" operator="between">
      <formula>"C - Revise and Resubmit - Do Not Proceed"</formula>
      <formula>"C - Revise and Resubmit - Do Not Proceed"</formula>
    </cfRule>
    <cfRule type="cellIs" dxfId="5647" priority="628" operator="equal">
      <formula>"E - Review Not Required - Proceed"</formula>
    </cfRule>
    <cfRule type="cellIs" dxfId="5646" priority="631" operator="between">
      <formula>"C - Revise and Resubmit - Do Not Proceed"</formula>
      <formula>"C - Revise and Resubmit - Do Not Proceed"</formula>
    </cfRule>
    <cfRule type="cellIs" dxfId="5645" priority="632" operator="between">
      <formula>"B - Incorporate Comments - Proceed"</formula>
      <formula>"B - Incorporate Comments - Proceed"</formula>
    </cfRule>
    <cfRule type="cellIs" dxfId="5644" priority="633" operator="between">
      <formula>"A - Work May Proceed"</formula>
      <formula>"A - Work May Proceed"</formula>
    </cfRule>
    <cfRule type="cellIs" dxfId="5643" priority="634" operator="between">
      <formula>"B - Incorporate Comments - Proceed"</formula>
      <formula>"B - Incorporate Comments - Proceed"</formula>
    </cfRule>
    <cfRule type="cellIs" dxfId="5642" priority="630" operator="between">
      <formula>"'D - Rejected "</formula>
      <formula>"'D - Rejected "</formula>
    </cfRule>
    <cfRule type="cellIs" dxfId="5641" priority="629" operator="between">
      <formula>"E - Review not Required - Proceed"</formula>
      <formula>"E - Review not Required - Proceed"</formula>
    </cfRule>
    <cfRule type="cellIs" dxfId="5640" priority="627" operator="equal">
      <formula>"B - Incorporate Comments - Proceed "</formula>
    </cfRule>
    <cfRule type="cellIs" dxfId="5639" priority="626" operator="equal">
      <formula>"For Information"</formula>
    </cfRule>
    <cfRule type="cellIs" dxfId="5638" priority="635" operator="between">
      <formula>"E - Review not Required - Proceed"</formula>
      <formula>"E - Review not Required - Proceed"</formula>
    </cfRule>
    <cfRule type="cellIs" dxfId="5637" priority="625" operator="equal">
      <formula>"B - Incorporate Comments - Proceed"</formula>
    </cfRule>
    <cfRule type="cellIs" dxfId="5636" priority="636" operator="between">
      <formula>"D - Rejected "</formula>
      <formula>"D - Rejected "</formula>
    </cfRule>
    <cfRule type="cellIs" dxfId="5635" priority="637" operator="between">
      <formula>"CANCELLED"</formula>
      <formula>"CANCELLED"</formula>
    </cfRule>
    <cfRule type="cellIs" dxfId="5634" priority="640" stopIfTrue="1" operator="between">
      <formula>"B - Incorporate Comments - Proceed "</formula>
      <formula>"B - Incorporate Comments - Proceed "</formula>
    </cfRule>
    <cfRule type="cellIs" dxfId="5633" priority="638" operator="between">
      <formula>"A - Work May Proceed"</formula>
      <formula>"A - Work May Proceed"</formula>
    </cfRule>
  </conditionalFormatting>
  <conditionalFormatting sqref="P76">
    <cfRule type="cellIs" dxfId="5632" priority="361" stopIfTrue="1" operator="equal">
      <formula>"A - Work May Proceed"</formula>
    </cfRule>
  </conditionalFormatting>
  <conditionalFormatting sqref="P81:Q81 C81:G83 J81:J90 W83:X83 C84">
    <cfRule type="cellIs" dxfId="5631" priority="471" operator="equal">
      <formula>"A - Work May Proceed"</formula>
    </cfRule>
  </conditionalFormatting>
  <conditionalFormatting sqref="P81:Q81 W83:X83">
    <cfRule type="cellIs" dxfId="5630" priority="469" operator="equal">
      <formula>"B- Incorporate Comments - Proceed"</formula>
    </cfRule>
    <cfRule type="cellIs" dxfId="5629" priority="468" operator="equal">
      <formula>"D - Rejected"</formula>
    </cfRule>
    <cfRule type="cellIs" dxfId="5628" priority="467" operator="equal">
      <formula>"E - Review not Required - Proceed"</formula>
    </cfRule>
    <cfRule type="cellIs" dxfId="5627" priority="470" operator="equal">
      <formula>"C - Revise and Resubmit - Do Not Proceed"</formula>
    </cfRule>
  </conditionalFormatting>
  <conditionalFormatting sqref="P80:U80">
    <cfRule type="cellIs" dxfId="5626" priority="482" operator="equal">
      <formula>"E - Review not Required - Proceed"</formula>
    </cfRule>
    <cfRule type="cellIs" dxfId="5625" priority="483" operator="equal">
      <formula>"D - Rejected"</formula>
    </cfRule>
    <cfRule type="cellIs" dxfId="5624" priority="484" operator="equal">
      <formula>"B- Incorporate Comments - Proceed"</formula>
    </cfRule>
    <cfRule type="cellIs" dxfId="5623" priority="485" operator="equal">
      <formula>"C - Revise and Resubmit - Do Not Proceed"</formula>
    </cfRule>
  </conditionalFormatting>
  <conditionalFormatting sqref="P82:U87">
    <cfRule type="cellIs" dxfId="5622" priority="295" operator="equal">
      <formula>"C - Revise and Resubmit - Do Not Proceed"</formula>
    </cfRule>
    <cfRule type="cellIs" dxfId="5621" priority="292" operator="equal">
      <formula>"E - Review not Required - Proceed"</formula>
    </cfRule>
    <cfRule type="cellIs" dxfId="5620" priority="296" operator="equal">
      <formula>"A - Work May Proceed"</formula>
    </cfRule>
    <cfRule type="cellIs" dxfId="5619" priority="293" operator="equal">
      <formula>"D - Rejected"</formula>
    </cfRule>
    <cfRule type="cellIs" dxfId="5618" priority="294" operator="equal">
      <formula>"B- Incorporate Comments - Proceed"</formula>
    </cfRule>
  </conditionalFormatting>
  <conditionalFormatting sqref="P88:BF90">
    <cfRule type="cellIs" dxfId="5617" priority="182" operator="equal">
      <formula>"E - Review not Required - Proceed"</formula>
    </cfRule>
    <cfRule type="cellIs" dxfId="5616" priority="185" operator="equal">
      <formula>"C - Revise and Resubmit - Do Not Proceed"</formula>
    </cfRule>
    <cfRule type="cellIs" dxfId="5615" priority="186" operator="equal">
      <formula>"A - Work May Proceed"</formula>
    </cfRule>
    <cfRule type="cellIs" dxfId="5614" priority="184" operator="equal">
      <formula>"B- Incorporate Comments - Proceed"</formula>
    </cfRule>
    <cfRule type="cellIs" dxfId="5613" priority="183" operator="equal">
      <formula>"D - Rejected"</formula>
    </cfRule>
  </conditionalFormatting>
  <conditionalFormatting sqref="S81:U81">
    <cfRule type="cellIs" dxfId="5612" priority="379" operator="equal">
      <formula>"B- Incorporate Comments - Proceed"</formula>
    </cfRule>
    <cfRule type="cellIs" dxfId="5611" priority="378" operator="equal">
      <formula>"D - Rejected"</formula>
    </cfRule>
    <cfRule type="cellIs" dxfId="5610" priority="377" operator="equal">
      <formula>"E - Review not Required - Proceed"</formula>
    </cfRule>
    <cfRule type="cellIs" dxfId="5609" priority="380" operator="equal">
      <formula>"C - Revise and Resubmit - Do Not Proceed"</formula>
    </cfRule>
    <cfRule type="cellIs" dxfId="5608" priority="381" operator="equal">
      <formula>"A - Work May Proceed"</formula>
    </cfRule>
  </conditionalFormatting>
  <conditionalFormatting sqref="V73:V87">
    <cfRule type="cellIs" dxfId="5607" priority="289" operator="equal">
      <formula>"B- Incorporate Comments - Proceed"</formula>
    </cfRule>
    <cfRule type="cellIs" dxfId="5606" priority="291" operator="equal">
      <formula>"A - Work May Proceed"</formula>
    </cfRule>
    <cfRule type="cellIs" dxfId="5605" priority="290" operator="equal">
      <formula>"C - Revise and Resubmit - Do Not Proceed"</formula>
    </cfRule>
    <cfRule type="cellIs" dxfId="5604" priority="288" operator="equal">
      <formula>"D - Rejected"</formula>
    </cfRule>
    <cfRule type="cellIs" dxfId="5603" priority="287" operator="equal">
      <formula>"E - Review not Required - Proceed"</formula>
    </cfRule>
  </conditionalFormatting>
  <conditionalFormatting sqref="V1:BF9">
    <cfRule type="cellIs" dxfId="5602" priority="519" operator="equal">
      <formula>"B- Incorporate Comments - Proceed"</formula>
    </cfRule>
    <cfRule type="cellIs" dxfId="5601" priority="520" operator="equal">
      <formula>"C - Revise and Resubmit - Do Not Proceed"</formula>
    </cfRule>
    <cfRule type="cellIs" dxfId="5600" priority="517" operator="equal">
      <formula>"E - Review not Required - Proceed"</formula>
    </cfRule>
    <cfRule type="cellIs" dxfId="5599" priority="521" operator="equal">
      <formula>"A - Work May Proceed"</formula>
    </cfRule>
    <cfRule type="cellIs" dxfId="5598" priority="518" operator="equal">
      <formula>"D - Rejected"</formula>
    </cfRule>
  </conditionalFormatting>
  <conditionalFormatting sqref="W11">
    <cfRule type="cellIs" dxfId="5597" priority="610" operator="equal">
      <formula>"For Information"</formula>
    </cfRule>
    <cfRule type="cellIs" dxfId="5596" priority="614" operator="between">
      <formula>"'D - Rejected "</formula>
      <formula>"'D - Rejected "</formula>
    </cfRule>
    <cfRule type="cellIs" dxfId="5595" priority="624" stopIfTrue="1" operator="between">
      <formula>"B - Incorporate Comments - Proceed "</formula>
      <formula>"B - Incorporate Comments - Proceed "</formula>
    </cfRule>
    <cfRule type="cellIs" dxfId="5594" priority="618" operator="between">
      <formula>"B - Incorporate Comments - Proceed"</formula>
      <formula>"B - Incorporate Comments - Proceed"</formula>
    </cfRule>
    <cfRule type="cellIs" dxfId="5593" priority="617" operator="between">
      <formula>"A - Work May Proceed"</formula>
      <formula>"A - Work May Proceed"</formula>
    </cfRule>
    <cfRule type="cellIs" dxfId="5592" priority="616" operator="between">
      <formula>"B - Incorporate Comments - Proceed"</formula>
      <formula>"B - Incorporate Comments - Proceed"</formula>
    </cfRule>
    <cfRule type="cellIs" dxfId="5591" priority="619" operator="between">
      <formula>"E - Review not Required - Proceed"</formula>
      <formula>"E - Review not Required - Proceed"</formula>
    </cfRule>
    <cfRule type="cellIs" dxfId="5590" priority="623" operator="between">
      <formula>"C - Revise and Resubmit - Do Not Proceed"</formula>
      <formula>"C - Revise and Resubmit - Do Not Proceed"</formula>
    </cfRule>
    <cfRule type="cellIs" dxfId="5589" priority="622" operator="between">
      <formula>"A - Work May Proceed"</formula>
      <formula>"A - Work May Proceed"</formula>
    </cfRule>
    <cfRule type="cellIs" dxfId="5588" priority="621" operator="between">
      <formula>"CANCELLED"</formula>
      <formula>"CANCELLED"</formula>
    </cfRule>
    <cfRule type="cellIs" dxfId="5587" priority="615" operator="between">
      <formula>"C - Revise and Resubmit - Do Not Proceed"</formula>
      <formula>"C - Revise and Resubmit - Do Not Proceed"</formula>
    </cfRule>
    <cfRule type="cellIs" dxfId="5586" priority="620" operator="between">
      <formula>"D - Rejected "</formula>
      <formula>"D - Rejected "</formula>
    </cfRule>
    <cfRule type="cellIs" dxfId="5585" priority="609" operator="equal">
      <formula>"B - Incorporate Comments - Proceed"</formula>
    </cfRule>
    <cfRule type="cellIs" dxfId="5584" priority="613" operator="between">
      <formula>"E - Review not Required - Proceed"</formula>
      <formula>"E - Review not Required - Proceed"</formula>
    </cfRule>
    <cfRule type="cellIs" dxfId="5583" priority="612" operator="equal">
      <formula>"E - Review Not Required - Proceed"</formula>
    </cfRule>
    <cfRule type="cellIs" dxfId="5582" priority="611" operator="equal">
      <formula>"B - Incorporate Comments - Proceed "</formula>
    </cfRule>
  </conditionalFormatting>
  <conditionalFormatting sqref="W42">
    <cfRule type="cellIs" dxfId="5581" priority="346" stopIfTrue="1" operator="equal">
      <formula>"A - Work May Proceed"</formula>
    </cfRule>
  </conditionalFormatting>
  <conditionalFormatting sqref="W42:X42 B42:U43">
    <cfRule type="cellIs" dxfId="5580" priority="343" operator="equal">
      <formula>"D - Rejected"</formula>
    </cfRule>
    <cfRule type="cellIs" dxfId="5579" priority="344" operator="equal">
      <formula>"B- Incorporate Comments - Proceed"</formula>
    </cfRule>
    <cfRule type="cellIs" dxfId="5578" priority="345" operator="equal">
      <formula>"C - Revise and Resubmit - Do Not Proceed"</formula>
    </cfRule>
    <cfRule type="cellIs" dxfId="5577" priority="342" operator="equal">
      <formula>"E - Review not Required - Proceed"</formula>
    </cfRule>
  </conditionalFormatting>
  <conditionalFormatting sqref="W73:X73 Z73:AB73 AD73:AE73 B73:U74 W74:AB74 B75:N75 P75:U75 W75:X75 O75:O90 C76:N76 Q76 S76:U79 I77:N79 P77:Q79 W78:X78 Z78:AB78">
    <cfRule type="cellIs" dxfId="5576" priority="501" operator="equal">
      <formula>"A - Work May Proceed"</formula>
    </cfRule>
  </conditionalFormatting>
  <conditionalFormatting sqref="W73:X73 Z73:AB73 AD73:AE73 B73:U74 W74:AB74 P75:U75 W75:X75 O75:O90 S76:U79 I77:N79 W78:X78 Z78:AB78">
    <cfRule type="cellIs" dxfId="5575" priority="499" operator="equal">
      <formula>"B- Incorporate Comments - Proceed"</formula>
    </cfRule>
    <cfRule type="cellIs" dxfId="5574" priority="500" operator="equal">
      <formula>"C - Revise and Resubmit - Do Not Proceed"</formula>
    </cfRule>
    <cfRule type="cellIs" dxfId="5573" priority="497" operator="equal">
      <formula>"E - Review not Required - Proceed"</formula>
    </cfRule>
    <cfRule type="cellIs" dxfId="5572" priority="498" operator="equal">
      <formula>"D - Rejected"</formula>
    </cfRule>
  </conditionalFormatting>
  <conditionalFormatting sqref="W79:AB80 W81:BF82">
    <cfRule type="cellIs" dxfId="5571" priority="219" operator="equal">
      <formula>"B- Incorporate Comments - Proceed"</formula>
    </cfRule>
    <cfRule type="cellIs" dxfId="5570" priority="220" operator="equal">
      <formula>"C - Revise and Resubmit - Do Not Proceed"</formula>
    </cfRule>
    <cfRule type="cellIs" dxfId="5569" priority="221" operator="equal">
      <formula>"A - Work May Proceed"</formula>
    </cfRule>
    <cfRule type="cellIs" dxfId="5568" priority="218" operator="equal">
      <formula>"D - Rejected"</formula>
    </cfRule>
    <cfRule type="cellIs" dxfId="5567" priority="217" operator="equal">
      <formula>"E - Review not Required - Proceed"</formula>
    </cfRule>
  </conditionalFormatting>
  <conditionalFormatting sqref="W39:BF39">
    <cfRule type="cellIs" dxfId="5566" priority="115" operator="equal">
      <formula>"A - Work May Proceed"</formula>
    </cfRule>
    <cfRule type="cellIs" dxfId="5565" priority="114" operator="equal">
      <formula>"C - Revise and Resubmit - Do Not Proceed"</formula>
    </cfRule>
    <cfRule type="cellIs" dxfId="5564" priority="113" operator="equal">
      <formula>"B- Incorporate Comments - Proceed"</formula>
    </cfRule>
    <cfRule type="cellIs" dxfId="5563" priority="112" operator="equal">
      <formula>"D - Rejected"</formula>
    </cfRule>
    <cfRule type="cellIs" dxfId="5562" priority="111" operator="equal">
      <formula>"E - Review not Required - Proceed"</formula>
    </cfRule>
  </conditionalFormatting>
  <conditionalFormatting sqref="W84:BF87">
    <cfRule type="cellIs" dxfId="5561" priority="189" operator="equal">
      <formula>"B- Incorporate Comments - Proceed"</formula>
    </cfRule>
    <cfRule type="cellIs" dxfId="5560" priority="191" operator="equal">
      <formula>"A - Work May Proceed"</formula>
    </cfRule>
    <cfRule type="cellIs" dxfId="5559" priority="190" operator="equal">
      <formula>"C - Revise and Resubmit - Do Not Proceed"</formula>
    </cfRule>
    <cfRule type="cellIs" dxfId="5558" priority="188" operator="equal">
      <formula>"D - Rejected"</formula>
    </cfRule>
    <cfRule type="cellIs" dxfId="5557" priority="187" operator="equal">
      <formula>"E - Review not Required - Proceed"</formula>
    </cfRule>
  </conditionalFormatting>
  <conditionalFormatting sqref="Z75:AB75 W76:AB77">
    <cfRule type="cellIs" dxfId="5556" priority="451" operator="equal">
      <formula>"A - Work May Proceed"</formula>
    </cfRule>
    <cfRule type="cellIs" dxfId="5555" priority="450" operator="equal">
      <formula>"C - Revise and Resubmit - Do Not Proceed"</formula>
    </cfRule>
    <cfRule type="cellIs" dxfId="5554" priority="449" operator="equal">
      <formula>"B- Incorporate Comments - Proceed"</formula>
    </cfRule>
    <cfRule type="cellIs" dxfId="5553" priority="448" operator="equal">
      <formula>"D - Rejected"</formula>
    </cfRule>
    <cfRule type="cellIs" dxfId="5552" priority="447" operator="equal">
      <formula>"E - Review not Required - Proceed"</formula>
    </cfRule>
  </conditionalFormatting>
  <conditionalFormatting sqref="Z42:BF42 AG43:AI45">
    <cfRule type="cellIs" dxfId="5551" priority="269" operator="equal">
      <formula>"B- Incorporate Comments - Proceed"</formula>
    </cfRule>
    <cfRule type="cellIs" dxfId="5550" priority="270" operator="equal">
      <formula>"C - Revise and Resubmit - Do Not Proceed"</formula>
    </cfRule>
    <cfRule type="cellIs" dxfId="5549" priority="271" operator="equal">
      <formula>"A - Work May Proceed"</formula>
    </cfRule>
    <cfRule type="cellIs" dxfId="5548" priority="267" operator="equal">
      <formula>"E - Review not Required - Proceed"</formula>
    </cfRule>
    <cfRule type="cellIs" dxfId="5547" priority="268" operator="equal">
      <formula>"D - Rejected"</formula>
    </cfRule>
  </conditionalFormatting>
  <conditionalFormatting sqref="Z83:BF83">
    <cfRule type="cellIs" dxfId="5546" priority="214" operator="equal">
      <formula>"B- Incorporate Comments - Proceed"</formula>
    </cfRule>
    <cfRule type="cellIs" dxfId="5545" priority="213" operator="equal">
      <formula>"D - Rejected"</formula>
    </cfRule>
    <cfRule type="cellIs" dxfId="5544" priority="212" operator="equal">
      <formula>"E - Review not Required - Proceed"</formula>
    </cfRule>
    <cfRule type="cellIs" dxfId="5543" priority="216" operator="equal">
      <formula>"A - Work May Proceed"</formula>
    </cfRule>
    <cfRule type="cellIs" dxfId="5542" priority="215" operator="equal">
      <formula>"C - Revise and Resubmit - Do Not Proceed"</formula>
    </cfRule>
  </conditionalFormatting>
  <conditionalFormatting sqref="AC49:BF52">
    <cfRule type="cellIs" dxfId="5541" priority="85" operator="equal">
      <formula>"A - Work May Proceed"</formula>
    </cfRule>
    <cfRule type="cellIs" dxfId="5540" priority="82" operator="equal">
      <formula>"D - Rejected"</formula>
    </cfRule>
    <cfRule type="cellIs" dxfId="5539" priority="81" operator="equal">
      <formula>"E - Review not Required - Proceed"</formula>
    </cfRule>
    <cfRule type="cellIs" dxfId="5538" priority="83" operator="equal">
      <formula>"B- Incorporate Comments - Proceed"</formula>
    </cfRule>
    <cfRule type="cellIs" dxfId="5537" priority="84" operator="equal">
      <formula>"C - Revise and Resubmit - Do Not Proceed"</formula>
    </cfRule>
  </conditionalFormatting>
  <conditionalFormatting sqref="AD11">
    <cfRule type="cellIs" dxfId="5536" priority="606" operator="between">
      <formula>"A - Work May Proceed"</formula>
      <formula>"A - Work May Proceed"</formula>
    </cfRule>
    <cfRule type="cellIs" dxfId="5535" priority="607" operator="between">
      <formula>"C - Revise and Resubmit - Do Not Proceed"</formula>
      <formula>"C - Revise and Resubmit - Do Not Proceed"</formula>
    </cfRule>
    <cfRule type="cellIs" dxfId="5534" priority="608" stopIfTrue="1" operator="between">
      <formula>"B - Incorporate Comments - Proceed "</formula>
      <formula>"B - Incorporate Comments - Proceed "</formula>
    </cfRule>
    <cfRule type="cellIs" dxfId="5533" priority="593" operator="equal">
      <formula>"B - Incorporate Comments - Proceed"</formula>
    </cfRule>
    <cfRule type="cellIs" dxfId="5532" priority="594" operator="equal">
      <formula>"For Information"</formula>
    </cfRule>
    <cfRule type="cellIs" dxfId="5531" priority="601" operator="between">
      <formula>"A - Work May Proceed"</formula>
      <formula>"A - Work May Proceed"</formula>
    </cfRule>
    <cfRule type="cellIs" dxfId="5530" priority="603" operator="between">
      <formula>"E - Review not Required - Proceed"</formula>
      <formula>"E - Review not Required - Proceed"</formula>
    </cfRule>
    <cfRule type="cellIs" dxfId="5529" priority="595" operator="equal">
      <formula>"B - Incorporate Comments - Proceed "</formula>
    </cfRule>
    <cfRule type="cellIs" dxfId="5528" priority="596" operator="equal">
      <formula>"E - Review Not Required - Proceed"</formula>
    </cfRule>
    <cfRule type="cellIs" dxfId="5527" priority="597" operator="between">
      <formula>"E - Review not Required - Proceed"</formula>
      <formula>"E - Review not Required - Proceed"</formula>
    </cfRule>
    <cfRule type="cellIs" dxfId="5526" priority="598" operator="between">
      <formula>"'D - Rejected "</formula>
      <formula>"'D - Rejected "</formula>
    </cfRule>
    <cfRule type="cellIs" dxfId="5525" priority="599" operator="between">
      <formula>"C - Revise and Resubmit - Do Not Proceed"</formula>
      <formula>"C - Revise and Resubmit - Do Not Proceed"</formula>
    </cfRule>
    <cfRule type="cellIs" dxfId="5524" priority="604" operator="between">
      <formula>"D - Rejected "</formula>
      <formula>"D - Rejected "</formula>
    </cfRule>
    <cfRule type="cellIs" dxfId="5523" priority="602" operator="between">
      <formula>"B - Incorporate Comments - Proceed"</formula>
      <formula>"B - Incorporate Comments - Proceed"</formula>
    </cfRule>
    <cfRule type="cellIs" dxfId="5522" priority="605" operator="between">
      <formula>"CANCELLED"</formula>
      <formula>"CANCELLED"</formula>
    </cfRule>
    <cfRule type="cellIs" dxfId="5521" priority="600" operator="between">
      <formula>"B - Incorporate Comments - Proceed"</formula>
      <formula>"B - Incorporate Comments - Proceed"</formula>
    </cfRule>
  </conditionalFormatting>
  <conditionalFormatting sqref="AD74:BF80">
    <cfRule type="cellIs" dxfId="5520" priority="64" operator="equal">
      <formula>"C - Revise and Resubmit - Do Not Proceed"</formula>
    </cfRule>
    <cfRule type="cellIs" dxfId="5519" priority="65" operator="equal">
      <formula>"A - Work May Proceed"</formula>
    </cfRule>
    <cfRule type="cellIs" dxfId="5518" priority="61" operator="equal">
      <formula>"E - Review not Required - Proceed"</formula>
    </cfRule>
    <cfRule type="cellIs" dxfId="5517" priority="62" operator="equal">
      <formula>"D - Rejected"</formula>
    </cfRule>
    <cfRule type="cellIs" dxfId="5516" priority="63" operator="equal">
      <formula>"B- Incorporate Comments - Proceed"</formula>
    </cfRule>
  </conditionalFormatting>
  <conditionalFormatting sqref="AG40:BF40 B41:BF41">
    <cfRule type="cellIs" dxfId="5515" priority="162" operator="equal">
      <formula>"E - Review not Required - Proceed"</formula>
    </cfRule>
    <cfRule type="cellIs" dxfId="5514" priority="164" operator="equal">
      <formula>"B- Incorporate Comments - Proceed"</formula>
    </cfRule>
    <cfRule type="cellIs" dxfId="5513" priority="166" operator="equal">
      <formula>"A - Work May Proceed"</formula>
    </cfRule>
    <cfRule type="cellIs" dxfId="5512" priority="165" operator="equal">
      <formula>"C - Revise and Resubmit - Do Not Proceed"</formula>
    </cfRule>
    <cfRule type="cellIs" dxfId="5511" priority="163" operator="equal">
      <formula>"D - Rejected"</formula>
    </cfRule>
  </conditionalFormatting>
  <conditionalFormatting sqref="AG73:BF73">
    <cfRule type="cellIs" dxfId="5510" priority="80" operator="equal">
      <formula>"A - Work May Proceed"</formula>
    </cfRule>
    <cfRule type="cellIs" dxfId="5509" priority="79" operator="equal">
      <formula>"C - Revise and Resubmit - Do Not Proceed"</formula>
    </cfRule>
    <cfRule type="cellIs" dxfId="5508" priority="78" operator="equal">
      <formula>"B- Incorporate Comments - Proceed"</formula>
    </cfRule>
    <cfRule type="cellIs" dxfId="5507" priority="77" operator="equal">
      <formula>"D - Rejected"</formula>
    </cfRule>
    <cfRule type="cellIs" dxfId="5506" priority="76" operator="equal">
      <formula>"E - Review not Required - Proceed"</formula>
    </cfRule>
  </conditionalFormatting>
  <conditionalFormatting sqref="AJ43:BF43 AK44:BF44 AJ45:BF47">
    <cfRule type="cellIs" dxfId="5505" priority="266" operator="equal">
      <formula>"A - Work May Proceed"</formula>
    </cfRule>
    <cfRule type="cellIs" dxfId="5504" priority="265" operator="equal">
      <formula>"C - Revise and Resubmit - Do Not Proceed"</formula>
    </cfRule>
    <cfRule type="cellIs" dxfId="5503" priority="264" operator="equal">
      <formula>"B- Incorporate Comments - Proceed"</formula>
    </cfRule>
    <cfRule type="cellIs" dxfId="5502" priority="263" operator="equal">
      <formula>"D - Rejected"</formula>
    </cfRule>
    <cfRule type="cellIs" dxfId="5501" priority="262" operator="equal">
      <formula>"E - Review not Required - Proceed"</formula>
    </cfRule>
  </conditionalFormatting>
  <conditionalFormatting sqref="AK11">
    <cfRule type="cellIs" dxfId="5500" priority="581" operator="between">
      <formula>"E - Review not Required - Proceed"</formula>
      <formula>"E - Review not Required - Proceed"</formula>
    </cfRule>
    <cfRule type="cellIs" dxfId="5499" priority="591" operator="between">
      <formula>"C - Revise and Resubmit - Do Not Proceed"</formula>
      <formula>"C - Revise and Resubmit - Do Not Proceed"</formula>
    </cfRule>
    <cfRule type="cellIs" dxfId="5498" priority="592" stopIfTrue="1" operator="between">
      <formula>"B - Incorporate Comments - Proceed "</formula>
      <formula>"B - Incorporate Comments - Proceed "</formula>
    </cfRule>
    <cfRule type="cellIs" dxfId="5497" priority="590" operator="between">
      <formula>"A - Work May Proceed"</formula>
      <formula>"A - Work May Proceed"</formula>
    </cfRule>
    <cfRule type="cellIs" dxfId="5496" priority="582" operator="between">
      <formula>"'D - Rejected "</formula>
      <formula>"'D - Rejected "</formula>
    </cfRule>
    <cfRule type="cellIs" dxfId="5495" priority="583" operator="between">
      <formula>"C - Revise and Resubmit - Do Not Proceed"</formula>
      <formula>"C - Revise and Resubmit - Do Not Proceed"</formula>
    </cfRule>
    <cfRule type="cellIs" dxfId="5494" priority="584" operator="between">
      <formula>"B - Incorporate Comments - Proceed"</formula>
      <formula>"B - Incorporate Comments - Proceed"</formula>
    </cfRule>
    <cfRule type="cellIs" dxfId="5493" priority="585" operator="between">
      <formula>"A - Work May Proceed"</formula>
      <formula>"A - Work May Proceed"</formula>
    </cfRule>
    <cfRule type="cellIs" dxfId="5492" priority="586" operator="between">
      <formula>"B - Incorporate Comments - Proceed"</formula>
      <formula>"B - Incorporate Comments - Proceed"</formula>
    </cfRule>
    <cfRule type="cellIs" dxfId="5491" priority="587" operator="between">
      <formula>"E - Review not Required - Proceed"</formula>
      <formula>"E - Review not Required - Proceed"</formula>
    </cfRule>
    <cfRule type="cellIs" dxfId="5490" priority="588" operator="between">
      <formula>"D - Rejected "</formula>
      <formula>"D - Rejected "</formula>
    </cfRule>
    <cfRule type="cellIs" dxfId="5489" priority="589" operator="between">
      <formula>"CANCELLED"</formula>
      <formula>"CANCELLED"</formula>
    </cfRule>
    <cfRule type="cellIs" dxfId="5488" priority="580" operator="equal">
      <formula>"E - Review Not Required - Proceed"</formula>
    </cfRule>
    <cfRule type="cellIs" dxfId="5487" priority="577" operator="equal">
      <formula>"B - Incorporate Comments - Proceed"</formula>
    </cfRule>
    <cfRule type="cellIs" dxfId="5486" priority="578" operator="equal">
      <formula>"For Information"</formula>
    </cfRule>
    <cfRule type="cellIs" dxfId="5485" priority="579" operator="equal">
      <formula>"B - Incorporate Comments - Proceed "</formula>
    </cfRule>
  </conditionalFormatting>
  <conditionalFormatting sqref="AO65:BF65 B81 B92:BF98 B99:AL99 AN99:BF99">
    <cfRule type="cellIs" dxfId="5484" priority="466" operator="equal">
      <formula>"A - Work May Proceed"</formula>
    </cfRule>
  </conditionalFormatting>
  <conditionalFormatting sqref="AO65:BF65 B77:H90 B91:BF98 B99:AL99 AN99:BF99">
    <cfRule type="cellIs" dxfId="5483" priority="329" operator="equal">
      <formula>"B- Incorporate Comments - Proceed"</formula>
    </cfRule>
    <cfRule type="cellIs" dxfId="5482" priority="328" operator="equal">
      <formula>"D - Rejected"</formula>
    </cfRule>
    <cfRule type="cellIs" dxfId="5481" priority="327" operator="equal">
      <formula>"E - Review not Required - Proceed"</formula>
    </cfRule>
    <cfRule type="cellIs" dxfId="5480" priority="330" operator="equal">
      <formula>"C - Revise and Resubmit - Do Not Proceed"</formula>
    </cfRule>
  </conditionalFormatting>
  <conditionalFormatting sqref="AR11">
    <cfRule type="cellIs" dxfId="5479" priority="533" operator="equal">
      <formula>"D - Rejected"</formula>
    </cfRule>
    <cfRule type="cellIs" dxfId="5478" priority="532" operator="equal">
      <formula>"E - Review not Required - Proceed"</formula>
    </cfRule>
    <cfRule type="cellIs" dxfId="5477" priority="544" operator="between">
      <formula>"A - Work May Proceed"</formula>
      <formula>"A - Work May Proceed"</formula>
    </cfRule>
    <cfRule type="cellIs" dxfId="5476" priority="545" operator="between">
      <formula>"B - Incorporate Comments - Proceed"</formula>
      <formula>"B - Incorporate Comments - Proceed"</formula>
    </cfRule>
    <cfRule type="cellIs" dxfId="5475" priority="546" operator="between">
      <formula>"E - Review not Required - Proceed"</formula>
      <formula>"E - Review not Required - Proceed"</formula>
    </cfRule>
    <cfRule type="cellIs" dxfId="5474" priority="547" operator="between">
      <formula>"D - Rejected "</formula>
      <formula>"D - Rejected "</formula>
    </cfRule>
    <cfRule type="cellIs" dxfId="5473" priority="548" operator="between">
      <formula>"CANCELLED"</formula>
      <formula>"CANCELLED"</formula>
    </cfRule>
    <cfRule type="cellIs" dxfId="5472" priority="549" operator="between">
      <formula>"A - Work May Proceed"</formula>
      <formula>"A - Work May Proceed"</formula>
    </cfRule>
    <cfRule type="cellIs" dxfId="5471" priority="550" operator="between">
      <formula>"C - Revise and Resubmit - Do Not Proceed"</formula>
      <formula>"C - Revise and Resubmit - Do Not Proceed"</formula>
    </cfRule>
    <cfRule type="cellIs" dxfId="5470" priority="551" stopIfTrue="1" operator="between">
      <formula>"B - Incorporate Comments - Proceed "</formula>
      <formula>"B - Incorporate Comments - Proceed "</formula>
    </cfRule>
    <cfRule type="cellIs" dxfId="5469" priority="543" operator="between">
      <formula>"B - Incorporate Comments - Proceed"</formula>
      <formula>"B - Incorporate Comments - Proceed"</formula>
    </cfRule>
    <cfRule type="cellIs" dxfId="5468" priority="537" operator="equal">
      <formula>"For Information"</formula>
    </cfRule>
    <cfRule type="cellIs" dxfId="5467" priority="542" operator="between">
      <formula>"C - Revise and Resubmit - Do Not Proceed"</formula>
      <formula>"C - Revise and Resubmit - Do Not Proceed"</formula>
    </cfRule>
    <cfRule type="cellIs" dxfId="5466" priority="541" operator="between">
      <formula>"'D - Rejected "</formula>
      <formula>"'D - Rejected "</formula>
    </cfRule>
    <cfRule type="cellIs" dxfId="5465" priority="540" operator="between">
      <formula>"E - Review not Required - Proceed"</formula>
      <formula>"E - Review not Required - Proceed"</formula>
    </cfRule>
    <cfRule type="cellIs" dxfId="5464" priority="539" operator="equal">
      <formula>"E - Review Not Required - Proceed"</formula>
    </cfRule>
    <cfRule type="cellIs" dxfId="5463" priority="538" operator="equal">
      <formula>"B - Incorporate Comments - Proceed "</formula>
    </cfRule>
    <cfRule type="cellIs" dxfId="5462" priority="536" operator="equal">
      <formula>"A - Work May Proceed"</formula>
    </cfRule>
    <cfRule type="cellIs" dxfId="5461" priority="535" operator="equal">
      <formula>"C - Revise and Resubmit - Do Not Proceed"</formula>
    </cfRule>
    <cfRule type="cellIs" dxfId="5460" priority="534" operator="equal">
      <formula>"B - Incorporate Comments - Proceed"</formula>
    </cfRule>
  </conditionalFormatting>
  <conditionalFormatting sqref="AY11">
    <cfRule type="cellIs" dxfId="5459" priority="561" operator="between">
      <formula>"'D - Rejected "</formula>
      <formula>"'D - Rejected "</formula>
    </cfRule>
    <cfRule type="cellIs" dxfId="5458" priority="552" operator="equal">
      <formula>"E - Review not Required - Proceed"</formula>
    </cfRule>
    <cfRule type="cellIs" dxfId="5457" priority="563" operator="between">
      <formula>"B - Incorporate Comments - Proceed"</formula>
      <formula>"B - Incorporate Comments - Proceed"</formula>
    </cfRule>
    <cfRule type="cellIs" dxfId="5456" priority="564" operator="between">
      <formula>"A - Work May Proceed"</formula>
      <formula>"A - Work May Proceed"</formula>
    </cfRule>
    <cfRule type="cellIs" dxfId="5455" priority="565" operator="between">
      <formula>"B - Incorporate Comments - Proceed"</formula>
      <formula>"B - Incorporate Comments - Proceed"</formula>
    </cfRule>
    <cfRule type="cellIs" dxfId="5454" priority="566" operator="between">
      <formula>"E - Review not Required - Proceed"</formula>
      <formula>"E - Review not Required - Proceed"</formula>
    </cfRule>
    <cfRule type="cellIs" dxfId="5453" priority="567" operator="between">
      <formula>"D - Rejected "</formula>
      <formula>"D - Rejected "</formula>
    </cfRule>
    <cfRule type="cellIs" dxfId="5452" priority="568" operator="between">
      <formula>"CANCELLED"</formula>
      <formula>"CANCELLED"</formula>
    </cfRule>
    <cfRule type="cellIs" dxfId="5451" priority="569" operator="between">
      <formula>"A - Work May Proceed"</formula>
      <formula>"A - Work May Proceed"</formula>
    </cfRule>
    <cfRule type="cellIs" dxfId="5450" priority="570" operator="between">
      <formula>"C - Revise and Resubmit - Do Not Proceed"</formula>
      <formula>"C - Revise and Resubmit - Do Not Proceed"</formula>
    </cfRule>
    <cfRule type="cellIs" dxfId="5449" priority="562" operator="between">
      <formula>"C - Revise and Resubmit - Do Not Proceed"</formula>
      <formula>"C - Revise and Resubmit - Do Not Proceed"</formula>
    </cfRule>
    <cfRule type="cellIs" dxfId="5448" priority="553" operator="equal">
      <formula>"D - Rejected"</formula>
    </cfRule>
    <cfRule type="cellIs" dxfId="5447" priority="554" operator="equal">
      <formula>"B - Incorporate Comments - Proceed"</formula>
    </cfRule>
    <cfRule type="cellIs" dxfId="5446" priority="555" operator="equal">
      <formula>"C - Revise and Resubmit - Do Not Proceed"</formula>
    </cfRule>
    <cfRule type="cellIs" dxfId="5445" priority="556" operator="equal">
      <formula>"A - Work May Proceed"</formula>
    </cfRule>
    <cfRule type="cellIs" dxfId="5444" priority="557" operator="equal">
      <formula>"For Information"</formula>
    </cfRule>
    <cfRule type="cellIs" dxfId="5443" priority="558" operator="equal">
      <formula>"B - Incorporate Comments - Proceed "</formula>
    </cfRule>
    <cfRule type="cellIs" dxfId="5442" priority="559" operator="equal">
      <formula>"E - Review Not Required - Proceed"</formula>
    </cfRule>
    <cfRule type="cellIs" dxfId="5441" priority="560" operator="between">
      <formula>"E - Review not Required - Proceed"</formula>
      <formula>"E - Review not Required - Proceed"</formula>
    </cfRule>
    <cfRule type="cellIs" dxfId="5440" priority="571" stopIfTrue="1" operator="between">
      <formula>"B - Incorporate Comments - Proceed "</formula>
      <formula>"B - Incorporate Comments - Proceed "</formula>
    </cfRule>
  </conditionalFormatting>
  <pageMargins left="0.7" right="0.7" top="0.75" bottom="0.75" header="0.3" footer="0.3"/>
  <pageSetup paperSize="8" scale="1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theme="4"/>
    <pageSetUpPr fitToPage="1"/>
  </sheetPr>
  <dimension ref="A1:CA148"/>
  <sheetViews>
    <sheetView zoomScale="55" zoomScaleNormal="55" zoomScaleSheetLayoutView="55" workbookViewId="0">
      <pane ySplit="11" topLeftCell="A133" activePane="bottomLeft" state="frozen"/>
      <selection activeCell="A14" sqref="A14"/>
      <selection pane="bottomLeft" activeCell="F146" sqref="F146"/>
    </sheetView>
  </sheetViews>
  <sheetFormatPr defaultColWidth="9.140625" defaultRowHeight="15" x14ac:dyDescent="0.25"/>
  <cols>
    <col min="1" max="1" width="26.7109375" style="393" customWidth="1"/>
    <col min="2" max="2" width="32" style="393" customWidth="1"/>
    <col min="3" max="3" width="24.5703125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19.7109375" style="393" customWidth="1"/>
    <col min="9" max="9" width="33.7109375" style="394" customWidth="1"/>
    <col min="10" max="10" width="30.140625" style="395" customWidth="1"/>
    <col min="11" max="12" width="30.140625" style="394" customWidth="1"/>
    <col min="13" max="13" width="30.140625" style="395" customWidth="1"/>
    <col min="14" max="14" width="30.140625" style="396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0.140625" style="398" customWidth="1"/>
    <col min="22" max="23" width="30.140625" style="393" customWidth="1"/>
    <col min="24" max="24" width="30.140625" style="397" customWidth="1"/>
    <col min="25" max="26" width="30.140625" style="393" customWidth="1"/>
    <col min="27" max="27" width="30.140625" style="397" customWidth="1"/>
    <col min="28" max="28" width="30.140625" style="398" customWidth="1"/>
    <col min="29" max="30" width="30.140625" style="393" customWidth="1"/>
    <col min="31" max="31" width="30.140625" style="397" customWidth="1"/>
    <col min="32" max="33" width="30.140625" style="393" customWidth="1"/>
    <col min="34" max="34" width="30.140625" style="397" customWidth="1"/>
    <col min="35" max="35" width="30.140625" style="398" customWidth="1"/>
    <col min="36" max="37" width="30.140625" style="393" customWidth="1"/>
    <col min="38" max="38" width="30.140625" style="397" customWidth="1"/>
    <col min="39" max="40" width="36.85546875" style="399" customWidth="1"/>
    <col min="41" max="41" width="30.140625" style="397" customWidth="1"/>
    <col min="42" max="42" width="30.140625" style="398" customWidth="1"/>
    <col min="43" max="48" width="30.140625" style="397" customWidth="1"/>
    <col min="49" max="49" width="30.140625" style="398" customWidth="1"/>
    <col min="50" max="56" width="30.140625" style="397" customWidth="1"/>
    <col min="57" max="78" width="32.85546875" style="393" customWidth="1"/>
    <col min="79" max="79" width="48.140625" style="400" customWidth="1"/>
    <col min="80" max="16384" width="9.140625" style="393"/>
  </cols>
  <sheetData>
    <row r="1" spans="1:79" s="379" customFormat="1" ht="24" customHeight="1" x14ac:dyDescent="0.35">
      <c r="A1" s="135"/>
      <c r="B1" s="136" t="s">
        <v>27</v>
      </c>
      <c r="C1" s="137" t="s">
        <v>26</v>
      </c>
      <c r="D1" s="137"/>
      <c r="E1" s="137"/>
      <c r="F1" s="137"/>
      <c r="G1" s="135"/>
      <c r="H1" s="548" t="s">
        <v>5496</v>
      </c>
      <c r="I1" s="549">
        <f ca="1">TODAY()</f>
        <v>46266</v>
      </c>
      <c r="J1" s="61"/>
      <c r="K1" s="61"/>
      <c r="L1" s="61"/>
      <c r="M1" s="61"/>
      <c r="N1" s="138"/>
      <c r="O1" s="61"/>
      <c r="P1" s="61"/>
      <c r="Q1" s="61"/>
      <c r="R1" s="61"/>
      <c r="S1" s="61"/>
      <c r="T1" s="61"/>
      <c r="U1" s="138"/>
      <c r="V1" s="140"/>
      <c r="W1" s="140"/>
      <c r="X1" s="139"/>
      <c r="Y1" s="140"/>
      <c r="Z1" s="140"/>
      <c r="AA1" s="139"/>
      <c r="AB1" s="141"/>
      <c r="AC1" s="140"/>
      <c r="AD1" s="140"/>
      <c r="AE1" s="139"/>
      <c r="AF1" s="140"/>
      <c r="AG1" s="140"/>
      <c r="AH1" s="139"/>
      <c r="AI1" s="141"/>
      <c r="AJ1" s="140"/>
      <c r="AK1" s="140"/>
      <c r="AL1" s="139"/>
      <c r="AM1" s="140"/>
      <c r="AN1" s="140"/>
      <c r="AO1" s="139"/>
      <c r="AP1" s="141"/>
      <c r="AQ1" s="139"/>
      <c r="AR1" s="139"/>
      <c r="AS1" s="139"/>
      <c r="AT1" s="139"/>
      <c r="AU1" s="139"/>
      <c r="AV1" s="139"/>
      <c r="AW1" s="141"/>
      <c r="AX1" s="139"/>
      <c r="AY1" s="139"/>
      <c r="AZ1" s="139"/>
      <c r="BA1" s="139"/>
      <c r="BB1" s="139"/>
      <c r="BC1" s="139"/>
      <c r="BD1" s="139"/>
      <c r="BE1" s="140"/>
      <c r="BF1" s="140"/>
      <c r="BG1" s="140"/>
      <c r="BH1" s="140"/>
      <c r="BI1" s="140"/>
      <c r="BJ1" s="140"/>
      <c r="BK1" s="140"/>
      <c r="BL1" s="140"/>
      <c r="BM1" s="140"/>
      <c r="BN1" s="140"/>
      <c r="BO1" s="140"/>
      <c r="BP1" s="140"/>
      <c r="BQ1" s="140"/>
      <c r="BR1" s="140"/>
      <c r="BS1" s="140"/>
      <c r="BT1" s="140"/>
      <c r="BU1" s="140"/>
      <c r="BV1" s="140"/>
      <c r="BW1" s="140"/>
      <c r="BX1" s="140"/>
      <c r="BY1" s="140"/>
      <c r="BZ1" s="140"/>
      <c r="CA1" s="380"/>
    </row>
    <row r="2" spans="1:79" s="379" customFormat="1" ht="24" customHeight="1" x14ac:dyDescent="0.35">
      <c r="A2" s="135"/>
      <c r="B2" s="137" t="s">
        <v>28</v>
      </c>
      <c r="C2" s="137" t="s">
        <v>31</v>
      </c>
      <c r="D2" s="137"/>
      <c r="E2" s="137"/>
      <c r="F2" s="137"/>
      <c r="G2" s="135"/>
      <c r="H2" s="548"/>
      <c r="I2" s="558"/>
      <c r="J2" s="61"/>
      <c r="K2" s="61"/>
      <c r="L2" s="61"/>
      <c r="M2" s="61"/>
      <c r="N2" s="138"/>
      <c r="O2" s="61"/>
      <c r="P2" s="61"/>
      <c r="Q2" s="61"/>
      <c r="R2" s="61"/>
      <c r="S2" s="61"/>
      <c r="T2" s="61"/>
      <c r="U2" s="138"/>
      <c r="V2" s="140"/>
      <c r="W2" s="140"/>
      <c r="X2" s="139"/>
      <c r="Y2" s="140"/>
      <c r="Z2" s="140"/>
      <c r="AA2" s="139"/>
      <c r="AB2" s="141"/>
      <c r="AC2" s="140"/>
      <c r="AD2" s="140"/>
      <c r="AE2" s="139"/>
      <c r="AF2" s="140"/>
      <c r="AG2" s="140"/>
      <c r="AH2" s="139"/>
      <c r="AI2" s="141"/>
      <c r="AJ2" s="140"/>
      <c r="AK2" s="140"/>
      <c r="AL2" s="139"/>
      <c r="AM2" s="140"/>
      <c r="AN2" s="140"/>
      <c r="AO2" s="139"/>
      <c r="AP2" s="141"/>
      <c r="AQ2" s="139"/>
      <c r="AR2" s="139"/>
      <c r="AS2" s="139"/>
      <c r="AT2" s="139"/>
      <c r="AU2" s="139"/>
      <c r="AV2" s="139"/>
      <c r="AW2" s="141"/>
      <c r="AX2" s="139"/>
      <c r="AY2" s="139"/>
      <c r="AZ2" s="139"/>
      <c r="BA2" s="139"/>
      <c r="BB2" s="139"/>
      <c r="BC2" s="139"/>
      <c r="BD2" s="139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380"/>
    </row>
    <row r="3" spans="1:79" s="379" customFormat="1" ht="24" customHeight="1" x14ac:dyDescent="0.35">
      <c r="A3" s="135"/>
      <c r="B3" s="137" t="s">
        <v>507</v>
      </c>
      <c r="C3" s="137" t="s">
        <v>145</v>
      </c>
      <c r="D3" s="137"/>
      <c r="E3" s="137"/>
      <c r="F3" s="137"/>
      <c r="G3" s="135"/>
      <c r="H3" s="135"/>
      <c r="I3" s="61"/>
      <c r="J3" s="61"/>
      <c r="K3" s="61"/>
      <c r="L3" s="61"/>
      <c r="M3" s="61"/>
      <c r="N3" s="138"/>
      <c r="O3" s="61"/>
      <c r="P3" s="61"/>
      <c r="Q3" s="61"/>
      <c r="R3" s="61"/>
      <c r="S3" s="61"/>
      <c r="T3" s="61"/>
      <c r="U3" s="138"/>
      <c r="V3" s="140"/>
      <c r="W3" s="140"/>
      <c r="X3" s="139"/>
      <c r="Y3" s="140"/>
      <c r="Z3" s="140"/>
      <c r="AA3" s="139"/>
      <c r="AB3" s="141"/>
      <c r="AC3" s="140"/>
      <c r="AD3" s="140"/>
      <c r="AE3" s="139"/>
      <c r="AF3" s="140"/>
      <c r="AG3" s="140"/>
      <c r="AH3" s="139"/>
      <c r="AI3" s="141"/>
      <c r="AJ3" s="140"/>
      <c r="AK3" s="140"/>
      <c r="AL3" s="139"/>
      <c r="AM3" s="140"/>
      <c r="AN3" s="140"/>
      <c r="AO3" s="139"/>
      <c r="AP3" s="141"/>
      <c r="AQ3" s="139"/>
      <c r="AR3" s="139"/>
      <c r="AS3" s="139"/>
      <c r="AT3" s="139"/>
      <c r="AU3" s="139"/>
      <c r="AV3" s="139"/>
      <c r="AW3" s="141"/>
      <c r="AX3" s="139"/>
      <c r="AY3" s="139"/>
      <c r="AZ3" s="139"/>
      <c r="BA3" s="139"/>
      <c r="BB3" s="139"/>
      <c r="BC3" s="139"/>
      <c r="BD3" s="139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380"/>
    </row>
    <row r="4" spans="1:79" s="379" customFormat="1" ht="24" customHeight="1" x14ac:dyDescent="0.35">
      <c r="A4" s="135"/>
      <c r="B4" s="137"/>
      <c r="C4" s="137"/>
      <c r="D4" s="137"/>
      <c r="E4" s="137"/>
      <c r="F4" s="137"/>
      <c r="G4" s="135"/>
      <c r="H4" s="135"/>
      <c r="I4" s="61"/>
      <c r="J4" s="61"/>
      <c r="K4" s="61"/>
      <c r="L4" s="61"/>
      <c r="M4" s="61"/>
      <c r="N4" s="138"/>
      <c r="O4" s="61"/>
      <c r="P4" s="61"/>
      <c r="Q4" s="61"/>
      <c r="R4" s="61"/>
      <c r="S4" s="61"/>
      <c r="T4" s="61"/>
      <c r="U4" s="138"/>
      <c r="V4" s="140"/>
      <c r="W4" s="140"/>
      <c r="X4" s="139"/>
      <c r="Y4" s="140"/>
      <c r="Z4" s="140"/>
      <c r="AA4" s="139"/>
      <c r="AB4" s="141"/>
      <c r="AC4" s="140"/>
      <c r="AD4" s="140"/>
      <c r="AE4" s="139"/>
      <c r="AF4" s="140"/>
      <c r="AG4" s="140"/>
      <c r="AH4" s="139"/>
      <c r="AI4" s="141"/>
      <c r="AJ4" s="140"/>
      <c r="AK4" s="140"/>
      <c r="AL4" s="139"/>
      <c r="AM4" s="140"/>
      <c r="AN4" s="140"/>
      <c r="AO4" s="139"/>
      <c r="AP4" s="141"/>
      <c r="AQ4" s="139"/>
      <c r="AR4" s="139"/>
      <c r="AS4" s="139"/>
      <c r="AT4" s="139"/>
      <c r="AU4" s="139"/>
      <c r="AV4" s="139"/>
      <c r="AW4" s="141"/>
      <c r="AX4" s="139"/>
      <c r="AY4" s="139"/>
      <c r="AZ4" s="139"/>
      <c r="BA4" s="139"/>
      <c r="BB4" s="139"/>
      <c r="BC4" s="139"/>
      <c r="BD4" s="139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0"/>
      <c r="BY4" s="140"/>
      <c r="BZ4" s="140"/>
      <c r="CA4" s="380"/>
    </row>
    <row r="5" spans="1:79" s="379" customFormat="1" ht="29.25" customHeight="1" x14ac:dyDescent="0.35">
      <c r="A5" s="135"/>
      <c r="B5" s="84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 s="61"/>
      <c r="L5" s="61"/>
      <c r="M5" s="61"/>
      <c r="N5" s="138"/>
      <c r="O5" s="61"/>
      <c r="P5" s="61"/>
      <c r="Q5" s="61"/>
      <c r="R5" s="61"/>
      <c r="S5" s="61"/>
      <c r="T5" s="61"/>
      <c r="U5" s="138"/>
      <c r="V5" s="140"/>
      <c r="W5" s="140"/>
      <c r="X5" s="139"/>
      <c r="Y5" s="140"/>
      <c r="Z5" s="140"/>
      <c r="AA5" s="139"/>
      <c r="AB5" s="141"/>
      <c r="AC5" s="140"/>
      <c r="AD5" s="140"/>
      <c r="AE5" s="139"/>
      <c r="AF5" s="140"/>
      <c r="AG5" s="140"/>
      <c r="AH5" s="139"/>
      <c r="AI5" s="141"/>
      <c r="AJ5" s="140"/>
      <c r="AK5" s="140"/>
      <c r="AL5" s="139"/>
      <c r="AM5" s="140"/>
      <c r="AN5" s="140"/>
      <c r="AO5" s="139"/>
      <c r="AP5" s="141"/>
      <c r="AQ5" s="139"/>
      <c r="AR5" s="139"/>
      <c r="AS5" s="139"/>
      <c r="AT5" s="139"/>
      <c r="AU5" s="139"/>
      <c r="AV5" s="139"/>
      <c r="AW5" s="141"/>
      <c r="AX5" s="139"/>
      <c r="AY5" s="139"/>
      <c r="AZ5" s="139"/>
      <c r="BA5" s="139"/>
      <c r="BB5" s="139"/>
      <c r="BC5" s="139"/>
      <c r="BD5" s="139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0"/>
      <c r="BR5" s="140"/>
      <c r="BS5" s="140"/>
      <c r="BT5" s="140"/>
      <c r="BU5" s="140"/>
      <c r="BV5" s="140"/>
      <c r="BW5" s="140"/>
      <c r="BX5" s="140"/>
      <c r="BY5" s="140"/>
      <c r="BZ5" s="140"/>
      <c r="CA5" s="380"/>
    </row>
    <row r="6" spans="1:79" s="379" customFormat="1" ht="24" customHeight="1" x14ac:dyDescent="0.35">
      <c r="A6" s="135"/>
      <c r="B6" s="85">
        <f>COUNTIF(B11:B148,"A - Work May Proceed")</f>
        <v>86</v>
      </c>
      <c r="C6" s="65">
        <f>COUNTIF(B11:B148,"B- Incorporate Comments - Proceed")</f>
        <v>13</v>
      </c>
      <c r="D6" s="65">
        <f>COUNTIF(B11:B148,"C - Revise and Resubmit - Do Not Proceed")</f>
        <v>5</v>
      </c>
      <c r="E6" s="65">
        <f>COUNTIF(B11:B148,"D - Rejected")</f>
        <v>0</v>
      </c>
      <c r="F6" s="65">
        <f>COUNTIF(B11:B148,"E - Review not Required - Proceed")</f>
        <v>0</v>
      </c>
      <c r="G6" s="66">
        <f>COUNTIF(B11:B148,"UR")</f>
        <v>10</v>
      </c>
      <c r="H6" s="66">
        <f>COUNTIF(B11:B148,"FA")</f>
        <v>0</v>
      </c>
      <c r="I6" s="66">
        <f>COUNTIF(B11:B148,"Terminated")</f>
        <v>0</v>
      </c>
      <c r="J6" s="66">
        <f>COUNTIF(B11:B148,"Cancelled")</f>
        <v>21</v>
      </c>
      <c r="K6" s="61"/>
      <c r="L6" s="61"/>
      <c r="M6" s="61"/>
      <c r="N6" s="138"/>
      <c r="O6" s="61"/>
      <c r="P6" s="61"/>
      <c r="Q6" s="61"/>
      <c r="R6" s="61"/>
      <c r="S6" s="61"/>
      <c r="T6" s="61"/>
      <c r="U6" s="138"/>
      <c r="V6" s="140"/>
      <c r="W6" s="140"/>
      <c r="X6" s="139"/>
      <c r="Y6" s="140"/>
      <c r="Z6" s="140"/>
      <c r="AA6" s="139"/>
      <c r="AB6" s="141"/>
      <c r="AC6" s="140"/>
      <c r="AD6" s="140"/>
      <c r="AE6" s="139"/>
      <c r="AF6" s="140"/>
      <c r="AG6" s="140"/>
      <c r="AH6" s="139"/>
      <c r="AI6" s="141"/>
      <c r="AJ6" s="140"/>
      <c r="AK6" s="140"/>
      <c r="AL6" s="139"/>
      <c r="AM6" s="140"/>
      <c r="AN6" s="140"/>
      <c r="AO6" s="139"/>
      <c r="AP6" s="141"/>
      <c r="AQ6" s="139"/>
      <c r="AR6" s="139"/>
      <c r="AS6" s="139"/>
      <c r="AT6" s="139"/>
      <c r="AU6" s="139"/>
      <c r="AV6" s="139"/>
      <c r="AW6" s="141"/>
      <c r="AX6" s="139"/>
      <c r="AY6" s="139"/>
      <c r="AZ6" s="139"/>
      <c r="BA6" s="139"/>
      <c r="BB6" s="139"/>
      <c r="BC6" s="139"/>
      <c r="BD6" s="139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0"/>
      <c r="BY6" s="140"/>
      <c r="BZ6" s="140"/>
      <c r="CA6" s="380"/>
    </row>
    <row r="7" spans="1:79" s="379" customFormat="1" ht="24" customHeight="1" x14ac:dyDescent="0.35">
      <c r="A7" s="135"/>
      <c r="B7" s="163"/>
      <c r="C7" s="143"/>
      <c r="D7" s="144"/>
      <c r="E7" s="143"/>
      <c r="F7" s="143"/>
      <c r="G7" s="142"/>
      <c r="H7" s="143"/>
      <c r="I7" s="140"/>
      <c r="J7" s="61"/>
      <c r="K7" s="61"/>
      <c r="L7" s="61"/>
      <c r="M7" s="61"/>
      <c r="N7" s="138"/>
      <c r="O7" s="61"/>
      <c r="P7" s="61"/>
      <c r="Q7" s="61"/>
      <c r="R7" s="61"/>
      <c r="S7" s="61"/>
      <c r="T7" s="61"/>
      <c r="U7" s="138"/>
      <c r="V7" s="140"/>
      <c r="W7" s="140"/>
      <c r="X7" s="139"/>
      <c r="Y7" s="140"/>
      <c r="Z7" s="140"/>
      <c r="AA7" s="139"/>
      <c r="AB7" s="141"/>
      <c r="AC7" s="140"/>
      <c r="AD7" s="140"/>
      <c r="AE7" s="139"/>
      <c r="AF7" s="140"/>
      <c r="AG7" s="140"/>
      <c r="AH7" s="139"/>
      <c r="AI7" s="141"/>
      <c r="AJ7" s="140"/>
      <c r="AK7" s="140"/>
      <c r="AL7" s="139"/>
      <c r="AM7" s="140"/>
      <c r="AN7" s="140"/>
      <c r="AO7" s="139"/>
      <c r="AP7" s="141"/>
      <c r="AQ7" s="139"/>
      <c r="AR7" s="139"/>
      <c r="AS7" s="139"/>
      <c r="AT7" s="139"/>
      <c r="AU7" s="139"/>
      <c r="AV7" s="139"/>
      <c r="AW7" s="141"/>
      <c r="AX7" s="139"/>
      <c r="AY7" s="139"/>
      <c r="AZ7" s="139"/>
      <c r="BA7" s="139"/>
      <c r="BB7" s="139"/>
      <c r="BC7" s="139"/>
      <c r="BD7" s="139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380"/>
    </row>
    <row r="8" spans="1:79" s="379" customFormat="1" ht="24" customHeight="1" x14ac:dyDescent="0.35">
      <c r="A8" s="135"/>
      <c r="B8" s="87" t="s">
        <v>509</v>
      </c>
      <c r="C8" s="73">
        <f>SUM(B6:J6)</f>
        <v>135</v>
      </c>
      <c r="D8" s="144"/>
      <c r="E8" s="143"/>
      <c r="F8" s="143"/>
      <c r="G8" s="145"/>
      <c r="H8" s="146"/>
      <c r="I8" s="147"/>
      <c r="J8" s="146"/>
      <c r="K8" s="61"/>
      <c r="L8" s="61"/>
      <c r="M8" s="61"/>
      <c r="N8" s="138"/>
      <c r="O8" s="61"/>
      <c r="P8" s="61"/>
      <c r="Q8" s="61"/>
      <c r="R8" s="61"/>
      <c r="S8" s="61"/>
      <c r="T8" s="61"/>
      <c r="U8" s="138"/>
      <c r="V8" s="140"/>
      <c r="W8" s="140"/>
      <c r="X8" s="139"/>
      <c r="Y8" s="140"/>
      <c r="Z8" s="140"/>
      <c r="AA8" s="139"/>
      <c r="AB8" s="141"/>
      <c r="AC8" s="140"/>
      <c r="AD8" s="140"/>
      <c r="AE8" s="139"/>
      <c r="AF8" s="140"/>
      <c r="AG8" s="140"/>
      <c r="AH8" s="139"/>
      <c r="AI8" s="141"/>
      <c r="AJ8" s="140"/>
      <c r="AK8" s="140"/>
      <c r="AL8" s="139"/>
      <c r="AM8" s="140"/>
      <c r="AN8" s="140"/>
      <c r="AO8" s="139"/>
      <c r="AP8" s="141"/>
      <c r="AQ8" s="139"/>
      <c r="AR8" s="139"/>
      <c r="AS8" s="139"/>
      <c r="AT8" s="139"/>
      <c r="AU8" s="139"/>
      <c r="AV8" s="139"/>
      <c r="AW8" s="141"/>
      <c r="AX8" s="139"/>
      <c r="AY8" s="139"/>
      <c r="AZ8" s="139"/>
      <c r="BA8" s="139"/>
      <c r="BB8" s="139"/>
      <c r="BC8" s="139"/>
      <c r="BD8" s="139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0"/>
      <c r="BU8" s="140"/>
      <c r="BV8" s="140"/>
      <c r="BW8" s="140"/>
      <c r="BX8" s="140"/>
      <c r="BY8" s="140"/>
      <c r="BZ8" s="140"/>
      <c r="CA8" s="380"/>
    </row>
    <row r="9" spans="1:79" s="379" customFormat="1" ht="24" customHeight="1" thickBot="1" x14ac:dyDescent="0.4">
      <c r="A9" s="410"/>
      <c r="B9" s="411"/>
      <c r="C9" s="411"/>
      <c r="D9" s="411"/>
      <c r="E9" s="411"/>
      <c r="F9" s="411"/>
      <c r="G9" s="410"/>
      <c r="H9" s="410"/>
      <c r="I9" s="412"/>
      <c r="J9" s="412"/>
      <c r="K9" s="412"/>
      <c r="L9" s="412"/>
      <c r="M9" s="412"/>
      <c r="N9" s="413"/>
      <c r="O9" s="412"/>
      <c r="P9" s="412"/>
      <c r="Q9" s="412"/>
      <c r="R9" s="412"/>
      <c r="S9" s="412"/>
      <c r="T9" s="412"/>
      <c r="U9" s="413"/>
      <c r="V9" s="414"/>
      <c r="W9" s="414"/>
      <c r="X9" s="415"/>
      <c r="Y9" s="414"/>
      <c r="Z9" s="414"/>
      <c r="AA9" s="415"/>
      <c r="AB9" s="416"/>
      <c r="AC9" s="414"/>
      <c r="AD9" s="414"/>
      <c r="AE9" s="415"/>
      <c r="AF9" s="414"/>
      <c r="AG9" s="414"/>
      <c r="AH9" s="415"/>
      <c r="AI9" s="416"/>
      <c r="AJ9" s="414"/>
      <c r="AK9" s="414"/>
      <c r="AL9" s="415"/>
      <c r="AM9" s="414"/>
      <c r="AN9" s="414"/>
      <c r="AO9" s="415"/>
      <c r="AP9" s="416"/>
      <c r="AQ9" s="415"/>
      <c r="AR9" s="415"/>
      <c r="AS9" s="415"/>
      <c r="AT9" s="415"/>
      <c r="AU9" s="415"/>
      <c r="AV9" s="415"/>
      <c r="AW9" s="416"/>
      <c r="AX9" s="415"/>
      <c r="AY9" s="415"/>
      <c r="AZ9" s="415"/>
      <c r="BA9" s="415"/>
      <c r="BB9" s="415"/>
      <c r="BC9" s="415"/>
      <c r="BD9" s="415"/>
      <c r="BE9" s="414"/>
      <c r="BF9" s="414"/>
      <c r="BG9" s="414"/>
      <c r="BH9" s="414"/>
      <c r="BI9" s="414"/>
      <c r="BJ9" s="414"/>
      <c r="BK9" s="414"/>
      <c r="BL9" s="414"/>
      <c r="BM9" s="414"/>
      <c r="BN9" s="414"/>
      <c r="BO9" s="414"/>
      <c r="BP9" s="414"/>
      <c r="BQ9" s="414"/>
      <c r="BR9" s="414"/>
      <c r="BS9" s="414"/>
      <c r="BT9" s="414"/>
      <c r="BU9" s="414"/>
      <c r="BV9" s="414"/>
      <c r="BW9" s="414"/>
      <c r="BX9" s="414"/>
      <c r="BY9" s="414"/>
      <c r="BZ9" s="414"/>
      <c r="CA9" s="417"/>
    </row>
    <row r="10" spans="1:79" s="405" customFormat="1" ht="36.75" customHeight="1" x14ac:dyDescent="0.2">
      <c r="A10" s="559" t="s">
        <v>3259</v>
      </c>
      <c r="B10" s="556" t="s">
        <v>17</v>
      </c>
      <c r="C10" s="556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46" t="s">
        <v>4957</v>
      </c>
      <c r="BG10" s="546"/>
      <c r="BH10" s="546"/>
      <c r="BI10" s="546"/>
      <c r="BJ10" s="546"/>
      <c r="BK10" s="546"/>
      <c r="BL10" s="546"/>
      <c r="BM10" s="561" t="s">
        <v>5710</v>
      </c>
      <c r="BN10" s="561"/>
      <c r="BO10" s="561"/>
      <c r="BP10" s="561"/>
      <c r="BQ10" s="561"/>
      <c r="BR10" s="561"/>
      <c r="BS10" s="561"/>
      <c r="BT10" s="544" t="s">
        <v>6026</v>
      </c>
      <c r="BU10" s="544"/>
      <c r="BV10" s="544"/>
      <c r="BW10" s="544"/>
      <c r="BX10" s="544"/>
      <c r="BY10" s="544"/>
      <c r="BZ10" s="544"/>
      <c r="CA10" s="525" t="s">
        <v>126</v>
      </c>
    </row>
    <row r="11" spans="1:79" s="406" customFormat="1" ht="36.75" customHeight="1" x14ac:dyDescent="0.25">
      <c r="A11" s="560"/>
      <c r="B11" s="557"/>
      <c r="C11" s="557"/>
      <c r="D11" s="557"/>
      <c r="E11" s="557"/>
      <c r="F11" s="557"/>
      <c r="G11" s="553"/>
      <c r="H11" s="540"/>
      <c r="I11" s="46" t="s">
        <v>0</v>
      </c>
      <c r="J11" s="52" t="s">
        <v>9</v>
      </c>
      <c r="K11" s="46" t="s">
        <v>11</v>
      </c>
      <c r="L11" s="89" t="s">
        <v>939</v>
      </c>
      <c r="M11" s="52" t="s">
        <v>6</v>
      </c>
      <c r="N11" s="112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113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120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24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125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22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241" t="s">
        <v>0</v>
      </c>
      <c r="BG11" s="242" t="s">
        <v>9</v>
      </c>
      <c r="BH11" s="241" t="s">
        <v>11</v>
      </c>
      <c r="BI11" s="243" t="s">
        <v>939</v>
      </c>
      <c r="BJ11" s="242" t="s">
        <v>6</v>
      </c>
      <c r="BK11" s="244" t="s">
        <v>940</v>
      </c>
      <c r="BL11" s="241" t="s">
        <v>98</v>
      </c>
      <c r="BM11" s="323" t="s">
        <v>0</v>
      </c>
      <c r="BN11" s="324" t="s">
        <v>9</v>
      </c>
      <c r="BO11" s="323" t="s">
        <v>11</v>
      </c>
      <c r="BP11" s="325" t="s">
        <v>939</v>
      </c>
      <c r="BQ11" s="324" t="s">
        <v>6</v>
      </c>
      <c r="BR11" s="326" t="s">
        <v>940</v>
      </c>
      <c r="BS11" s="323" t="s">
        <v>98</v>
      </c>
      <c r="BT11" s="34" t="s">
        <v>0</v>
      </c>
      <c r="BU11" s="402" t="s">
        <v>9</v>
      </c>
      <c r="BV11" s="34" t="s">
        <v>11</v>
      </c>
      <c r="BW11" s="403" t="s">
        <v>939</v>
      </c>
      <c r="BX11" s="402" t="s">
        <v>6</v>
      </c>
      <c r="BY11" s="404" t="s">
        <v>940</v>
      </c>
      <c r="BZ11" s="34" t="s">
        <v>98</v>
      </c>
      <c r="CA11" s="526"/>
    </row>
    <row r="12" spans="1:79" s="381" customFormat="1" ht="42" customHeight="1" x14ac:dyDescent="0.25">
      <c r="A12" s="367">
        <v>730007</v>
      </c>
      <c r="B12" s="13" t="s">
        <v>5</v>
      </c>
      <c r="C12" s="56" t="s">
        <v>588</v>
      </c>
      <c r="D12" s="10" t="s">
        <v>502</v>
      </c>
      <c r="E12" s="12" t="s">
        <v>503</v>
      </c>
      <c r="F12" s="16" t="s">
        <v>504</v>
      </c>
      <c r="G12" s="10" t="s">
        <v>30</v>
      </c>
      <c r="H12" s="10" t="s">
        <v>145</v>
      </c>
      <c r="I12" s="55" t="s">
        <v>18</v>
      </c>
      <c r="J12" s="53">
        <v>45588</v>
      </c>
      <c r="K12" s="13" t="s">
        <v>505</v>
      </c>
      <c r="L12" s="53">
        <f>J12+7</f>
        <v>45595</v>
      </c>
      <c r="M12" s="53">
        <v>45592</v>
      </c>
      <c r="N12" s="92">
        <f>M12-L12</f>
        <v>-3</v>
      </c>
      <c r="O12" s="10" t="s">
        <v>506</v>
      </c>
      <c r="P12" s="16" t="s">
        <v>18</v>
      </c>
      <c r="Q12" s="21">
        <v>45722</v>
      </c>
      <c r="R12" s="10" t="s">
        <v>2684</v>
      </c>
      <c r="S12" s="21">
        <f>Q12+7</f>
        <v>45729</v>
      </c>
      <c r="T12" s="21">
        <v>45727</v>
      </c>
      <c r="U12" s="95">
        <f>T12-S12</f>
        <v>-2</v>
      </c>
      <c r="V12" s="10" t="s">
        <v>2689</v>
      </c>
      <c r="W12" s="10" t="s">
        <v>5</v>
      </c>
      <c r="X12" s="21">
        <v>45731</v>
      </c>
      <c r="Y12" s="10" t="s">
        <v>2801</v>
      </c>
      <c r="Z12" s="21">
        <f>X12+7</f>
        <v>45738</v>
      </c>
      <c r="AA12" s="21">
        <v>45739</v>
      </c>
      <c r="AB12" s="95">
        <f>AA12-Z12</f>
        <v>1</v>
      </c>
      <c r="AC12" s="10" t="s">
        <v>2810</v>
      </c>
      <c r="AD12" s="10"/>
      <c r="AE12" s="21"/>
      <c r="AF12" s="10"/>
      <c r="AG12" s="10"/>
      <c r="AH12" s="21"/>
      <c r="AI12" s="95"/>
      <c r="AJ12" s="10"/>
      <c r="AK12" s="10"/>
      <c r="AL12" s="17"/>
      <c r="AM12" s="11"/>
      <c r="AN12" s="11"/>
      <c r="AO12" s="17"/>
      <c r="AP12" s="123"/>
      <c r="AQ12" s="17"/>
      <c r="AR12" s="17"/>
      <c r="AS12" s="17"/>
      <c r="AT12" s="17"/>
      <c r="AU12" s="17"/>
      <c r="AV12" s="17"/>
      <c r="AW12" s="123"/>
      <c r="AX12" s="17"/>
      <c r="AY12" s="17"/>
      <c r="AZ12" s="17"/>
      <c r="BA12" s="17"/>
      <c r="BB12" s="17"/>
      <c r="BC12" s="17"/>
      <c r="BD12" s="17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259" t="s">
        <v>2882</v>
      </c>
    </row>
    <row r="13" spans="1:79" s="381" customFormat="1" ht="42" customHeight="1" x14ac:dyDescent="0.25">
      <c r="A13" s="367">
        <v>730007</v>
      </c>
      <c r="B13" s="13" t="s">
        <v>5</v>
      </c>
      <c r="C13" s="56" t="s">
        <v>54</v>
      </c>
      <c r="D13" s="10" t="s">
        <v>679</v>
      </c>
      <c r="E13" s="12" t="s">
        <v>680</v>
      </c>
      <c r="F13" s="16" t="s">
        <v>681</v>
      </c>
      <c r="G13" s="10" t="s">
        <v>30</v>
      </c>
      <c r="H13" s="10" t="s">
        <v>145</v>
      </c>
      <c r="I13" s="83" t="s">
        <v>5</v>
      </c>
      <c r="J13" s="53">
        <v>45600</v>
      </c>
      <c r="K13" s="13" t="s">
        <v>683</v>
      </c>
      <c r="L13" s="53">
        <f t="shared" ref="L13:L49" si="0">J13+7</f>
        <v>45607</v>
      </c>
      <c r="M13" s="53">
        <v>45606</v>
      </c>
      <c r="N13" s="92">
        <f t="shared" ref="N13:N26" si="1">M13-L13</f>
        <v>-1</v>
      </c>
      <c r="O13" s="10" t="s">
        <v>692</v>
      </c>
      <c r="P13" s="16"/>
      <c r="Q13" s="21"/>
      <c r="R13" s="10"/>
      <c r="S13" s="10"/>
      <c r="T13" s="21"/>
      <c r="U13" s="95"/>
      <c r="V13" s="10"/>
      <c r="W13" s="10"/>
      <c r="X13" s="21"/>
      <c r="Y13" s="10"/>
      <c r="Z13" s="10"/>
      <c r="AA13" s="21"/>
      <c r="AB13" s="95"/>
      <c r="AC13" s="10"/>
      <c r="AD13" s="10"/>
      <c r="AE13" s="21"/>
      <c r="AF13" s="10"/>
      <c r="AG13" s="10"/>
      <c r="AH13" s="21"/>
      <c r="AI13" s="95"/>
      <c r="AJ13" s="10"/>
      <c r="AK13" s="10"/>
      <c r="AL13" s="17"/>
      <c r="AM13" s="11"/>
      <c r="AN13" s="11"/>
      <c r="AO13" s="17"/>
      <c r="AP13" s="123"/>
      <c r="AQ13" s="17"/>
      <c r="AR13" s="17"/>
      <c r="AS13" s="17"/>
      <c r="AT13" s="17"/>
      <c r="AU13" s="17"/>
      <c r="AV13" s="17"/>
      <c r="AW13" s="123"/>
      <c r="AX13" s="17"/>
      <c r="AY13" s="17"/>
      <c r="AZ13" s="17"/>
      <c r="BA13" s="17"/>
      <c r="BB13" s="17"/>
      <c r="BC13" s="17"/>
      <c r="BD13" s="17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368"/>
    </row>
    <row r="14" spans="1:79" s="381" customFormat="1" ht="42" customHeight="1" x14ac:dyDescent="0.25">
      <c r="A14" s="367">
        <v>730007</v>
      </c>
      <c r="B14" s="13" t="s">
        <v>5</v>
      </c>
      <c r="C14" s="56" t="s">
        <v>208</v>
      </c>
      <c r="D14" s="10" t="s">
        <v>768</v>
      </c>
      <c r="E14" s="12" t="s">
        <v>770</v>
      </c>
      <c r="F14" s="16" t="s">
        <v>772</v>
      </c>
      <c r="G14" s="10" t="s">
        <v>30</v>
      </c>
      <c r="H14" s="10" t="s">
        <v>145</v>
      </c>
      <c r="I14" s="55" t="s">
        <v>18</v>
      </c>
      <c r="J14" s="53">
        <v>45603</v>
      </c>
      <c r="K14" s="13" t="s">
        <v>787</v>
      </c>
      <c r="L14" s="53">
        <f t="shared" si="0"/>
        <v>45610</v>
      </c>
      <c r="M14" s="53">
        <v>45617</v>
      </c>
      <c r="N14" s="92">
        <f t="shared" si="1"/>
        <v>7</v>
      </c>
      <c r="O14" s="10" t="s">
        <v>814</v>
      </c>
      <c r="P14" s="10" t="s">
        <v>5</v>
      </c>
      <c r="Q14" s="21">
        <v>45637</v>
      </c>
      <c r="R14" s="10" t="s">
        <v>1370</v>
      </c>
      <c r="S14" s="21">
        <f>Q14+7</f>
        <v>45644</v>
      </c>
      <c r="T14" s="21">
        <v>45649</v>
      </c>
      <c r="U14" s="95">
        <f>T14-S14</f>
        <v>5</v>
      </c>
      <c r="V14" s="10" t="s">
        <v>1394</v>
      </c>
      <c r="W14" s="10"/>
      <c r="X14" s="21"/>
      <c r="Y14" s="10"/>
      <c r="Z14" s="10"/>
      <c r="AA14" s="21"/>
      <c r="AB14" s="95"/>
      <c r="AC14" s="10"/>
      <c r="AD14" s="10"/>
      <c r="AE14" s="21"/>
      <c r="AF14" s="10"/>
      <c r="AG14" s="10"/>
      <c r="AH14" s="21"/>
      <c r="AI14" s="95"/>
      <c r="AJ14" s="10"/>
      <c r="AK14" s="10"/>
      <c r="AL14" s="17"/>
      <c r="AM14" s="11"/>
      <c r="AN14" s="11"/>
      <c r="AO14" s="17"/>
      <c r="AP14" s="123"/>
      <c r="AQ14" s="17"/>
      <c r="AR14" s="17"/>
      <c r="AS14" s="17"/>
      <c r="AT14" s="17"/>
      <c r="AU14" s="17"/>
      <c r="AV14" s="17"/>
      <c r="AW14" s="123"/>
      <c r="AX14" s="17"/>
      <c r="AY14" s="17"/>
      <c r="AZ14" s="17"/>
      <c r="BA14" s="17"/>
      <c r="BB14" s="17"/>
      <c r="BC14" s="17"/>
      <c r="BD14" s="17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368"/>
    </row>
    <row r="15" spans="1:79" s="381" customFormat="1" ht="42" customHeight="1" x14ac:dyDescent="0.25">
      <c r="A15" s="367">
        <v>730007</v>
      </c>
      <c r="B15" s="13" t="s">
        <v>5</v>
      </c>
      <c r="C15" s="56" t="s">
        <v>208</v>
      </c>
      <c r="D15" s="10" t="s">
        <v>769</v>
      </c>
      <c r="E15" s="12" t="s">
        <v>771</v>
      </c>
      <c r="F15" s="16" t="s">
        <v>773</v>
      </c>
      <c r="G15" s="10" t="s">
        <v>30</v>
      </c>
      <c r="H15" s="10" t="s">
        <v>145</v>
      </c>
      <c r="I15" s="55" t="s">
        <v>18</v>
      </c>
      <c r="J15" s="53">
        <v>45603</v>
      </c>
      <c r="K15" s="13" t="s">
        <v>788</v>
      </c>
      <c r="L15" s="53">
        <f t="shared" si="0"/>
        <v>45610</v>
      </c>
      <c r="M15" s="53">
        <v>45617</v>
      </c>
      <c r="N15" s="92">
        <f t="shared" si="1"/>
        <v>7</v>
      </c>
      <c r="O15" s="10" t="s">
        <v>815</v>
      </c>
      <c r="P15" s="10" t="s">
        <v>5</v>
      </c>
      <c r="Q15" s="21">
        <v>45693</v>
      </c>
      <c r="R15" s="10" t="s">
        <v>2328</v>
      </c>
      <c r="S15" s="21">
        <f>Q15+7</f>
        <v>45700</v>
      </c>
      <c r="T15" s="21">
        <v>45720</v>
      </c>
      <c r="U15" s="95">
        <f>T15-S15</f>
        <v>20</v>
      </c>
      <c r="V15" s="10" t="s">
        <v>2364</v>
      </c>
      <c r="W15" s="10"/>
      <c r="X15" s="21"/>
      <c r="Y15" s="10"/>
      <c r="Z15" s="10"/>
      <c r="AA15" s="21"/>
      <c r="AB15" s="95"/>
      <c r="AC15" s="10"/>
      <c r="AD15" s="10"/>
      <c r="AE15" s="21"/>
      <c r="AF15" s="10"/>
      <c r="AG15" s="10"/>
      <c r="AH15" s="21"/>
      <c r="AI15" s="95"/>
      <c r="AJ15" s="10"/>
      <c r="AK15" s="10"/>
      <c r="AL15" s="17"/>
      <c r="AM15" s="11"/>
      <c r="AN15" s="11"/>
      <c r="AO15" s="17"/>
      <c r="AP15" s="123"/>
      <c r="AQ15" s="17"/>
      <c r="AR15" s="17"/>
      <c r="AS15" s="17"/>
      <c r="AT15" s="17"/>
      <c r="AU15" s="17"/>
      <c r="AV15" s="17"/>
      <c r="AW15" s="123"/>
      <c r="AX15" s="17"/>
      <c r="AY15" s="17"/>
      <c r="AZ15" s="17"/>
      <c r="BA15" s="17"/>
      <c r="BB15" s="17"/>
      <c r="BC15" s="17"/>
      <c r="BD15" s="17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368"/>
    </row>
    <row r="16" spans="1:79" s="381" customFormat="1" ht="42" customHeight="1" x14ac:dyDescent="0.25">
      <c r="A16" s="367">
        <v>730007</v>
      </c>
      <c r="B16" s="13" t="s">
        <v>5</v>
      </c>
      <c r="C16" s="56" t="s">
        <v>2384</v>
      </c>
      <c r="D16" s="10" t="s">
        <v>808</v>
      </c>
      <c r="E16" s="12" t="s">
        <v>810</v>
      </c>
      <c r="F16" s="16" t="s">
        <v>2052</v>
      </c>
      <c r="G16" s="10" t="s">
        <v>30</v>
      </c>
      <c r="H16" s="10" t="s">
        <v>145</v>
      </c>
      <c r="I16" s="55" t="s">
        <v>3</v>
      </c>
      <c r="J16" s="53">
        <v>45605</v>
      </c>
      <c r="K16" s="13" t="s">
        <v>822</v>
      </c>
      <c r="L16" s="53">
        <f t="shared" si="0"/>
        <v>45612</v>
      </c>
      <c r="M16" s="53">
        <v>45614</v>
      </c>
      <c r="N16" s="92">
        <f t="shared" si="1"/>
        <v>2</v>
      </c>
      <c r="O16" s="10" t="s">
        <v>829</v>
      </c>
      <c r="P16" s="10" t="s">
        <v>3</v>
      </c>
      <c r="Q16" s="21">
        <v>45651</v>
      </c>
      <c r="R16" s="10" t="s">
        <v>1635</v>
      </c>
      <c r="S16" s="21">
        <f>Q16+7</f>
        <v>45658</v>
      </c>
      <c r="T16" s="21">
        <v>45663</v>
      </c>
      <c r="U16" s="95">
        <f>T16-S16</f>
        <v>5</v>
      </c>
      <c r="V16" s="10" t="s">
        <v>1674</v>
      </c>
      <c r="W16" s="10" t="s">
        <v>5</v>
      </c>
      <c r="X16" s="21">
        <v>45677</v>
      </c>
      <c r="Y16" s="10" t="s">
        <v>2053</v>
      </c>
      <c r="Z16" s="21">
        <f>X16+7</f>
        <v>45684</v>
      </c>
      <c r="AA16" s="21">
        <v>45680</v>
      </c>
      <c r="AB16" s="95">
        <f>AA16-Z16</f>
        <v>-4</v>
      </c>
      <c r="AC16" s="10" t="s">
        <v>2067</v>
      </c>
      <c r="AD16" s="10" t="s">
        <v>18</v>
      </c>
      <c r="AE16" s="21">
        <v>45952</v>
      </c>
      <c r="AF16" s="10" t="s">
        <v>4570</v>
      </c>
      <c r="AG16" s="21">
        <f>AE16+7</f>
        <v>45959</v>
      </c>
      <c r="AH16" s="21">
        <v>45959</v>
      </c>
      <c r="AI16" s="95">
        <f>AH16-AG16</f>
        <v>0</v>
      </c>
      <c r="AJ16" s="10" t="s">
        <v>4576</v>
      </c>
      <c r="AK16" s="10" t="s">
        <v>18</v>
      </c>
      <c r="AL16" s="17">
        <v>45966</v>
      </c>
      <c r="AM16" s="11" t="s">
        <v>4751</v>
      </c>
      <c r="AN16" s="21">
        <f>AL16+7</f>
        <v>45973</v>
      </c>
      <c r="AO16" s="17">
        <v>45972</v>
      </c>
      <c r="AP16" s="95">
        <f>AO16-AN16</f>
        <v>-1</v>
      </c>
      <c r="AQ16" s="17" t="s">
        <v>4761</v>
      </c>
      <c r="AR16" s="17" t="s">
        <v>5</v>
      </c>
      <c r="AS16" s="17">
        <v>46053</v>
      </c>
      <c r="AT16" s="17" t="s">
        <v>5707</v>
      </c>
      <c r="AU16" s="17">
        <f>AS16+7</f>
        <v>46060</v>
      </c>
      <c r="AV16" s="17">
        <v>46058</v>
      </c>
      <c r="AW16" s="123">
        <f>AV16-AU16</f>
        <v>-2</v>
      </c>
      <c r="AX16" s="17" t="s">
        <v>5728</v>
      </c>
      <c r="AY16" s="17"/>
      <c r="AZ16" s="17"/>
      <c r="BA16" s="17"/>
      <c r="BB16" s="17"/>
      <c r="BC16" s="17"/>
      <c r="BD16" s="17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368"/>
    </row>
    <row r="17" spans="1:79" s="381" customFormat="1" ht="41.45" customHeight="1" x14ac:dyDescent="0.25">
      <c r="A17" s="367">
        <v>730007</v>
      </c>
      <c r="B17" s="13" t="s">
        <v>6902</v>
      </c>
      <c r="C17" s="56" t="s">
        <v>4883</v>
      </c>
      <c r="D17" s="10" t="s">
        <v>809</v>
      </c>
      <c r="E17" s="12" t="s">
        <v>811</v>
      </c>
      <c r="F17" s="16" t="s">
        <v>812</v>
      </c>
      <c r="G17" s="10" t="s">
        <v>30</v>
      </c>
      <c r="H17" s="10" t="s">
        <v>145</v>
      </c>
      <c r="I17" s="55" t="s">
        <v>3</v>
      </c>
      <c r="J17" s="53">
        <v>45605</v>
      </c>
      <c r="K17" s="13" t="s">
        <v>823</v>
      </c>
      <c r="L17" s="53">
        <f t="shared" si="0"/>
        <v>45612</v>
      </c>
      <c r="M17" s="53">
        <v>45623</v>
      </c>
      <c r="N17" s="92">
        <f t="shared" si="1"/>
        <v>11</v>
      </c>
      <c r="O17" s="10" t="s">
        <v>830</v>
      </c>
      <c r="P17" s="10" t="s">
        <v>3</v>
      </c>
      <c r="Q17" s="21">
        <v>45630</v>
      </c>
      <c r="R17" s="10" t="s">
        <v>1256</v>
      </c>
      <c r="S17" s="21">
        <f>Q17+7</f>
        <v>45637</v>
      </c>
      <c r="T17" s="21">
        <v>45641</v>
      </c>
      <c r="U17" s="95">
        <f>T17-S17</f>
        <v>4</v>
      </c>
      <c r="V17" s="10" t="s">
        <v>1262</v>
      </c>
      <c r="W17" s="59" t="s">
        <v>3</v>
      </c>
      <c r="X17" s="21">
        <v>45643</v>
      </c>
      <c r="Y17" s="10" t="s">
        <v>1493</v>
      </c>
      <c r="Z17" s="21">
        <f>X17+7</f>
        <v>45650</v>
      </c>
      <c r="AA17" s="21">
        <v>45651</v>
      </c>
      <c r="AB17" s="95">
        <f>AA17-Z17</f>
        <v>1</v>
      </c>
      <c r="AC17" s="10" t="s">
        <v>1516</v>
      </c>
      <c r="AD17" s="59" t="s">
        <v>3</v>
      </c>
      <c r="AE17" s="21">
        <v>45679</v>
      </c>
      <c r="AF17" s="10" t="s">
        <v>2073</v>
      </c>
      <c r="AG17" s="21">
        <f>AE17+7</f>
        <v>45686</v>
      </c>
      <c r="AH17" s="21">
        <v>45683</v>
      </c>
      <c r="AI17" s="95">
        <f>AH17-AG17</f>
        <v>-3</v>
      </c>
      <c r="AJ17" s="10" t="s">
        <v>2099</v>
      </c>
      <c r="AK17" s="10" t="s">
        <v>3</v>
      </c>
      <c r="AL17" s="17">
        <v>45686</v>
      </c>
      <c r="AM17" s="11" t="s">
        <v>2192</v>
      </c>
      <c r="AN17" s="21">
        <f>AL17+7</f>
        <v>45693</v>
      </c>
      <c r="AO17" s="17">
        <v>45693</v>
      </c>
      <c r="AP17" s="95">
        <f>AO17-AN17</f>
        <v>0</v>
      </c>
      <c r="AQ17" s="17" t="s">
        <v>2225</v>
      </c>
      <c r="AR17" s="17" t="s">
        <v>18</v>
      </c>
      <c r="AS17" s="17">
        <v>45706</v>
      </c>
      <c r="AT17" s="17" t="s">
        <v>2501</v>
      </c>
      <c r="AU17" s="17">
        <f>AS17+7</f>
        <v>45713</v>
      </c>
      <c r="AV17" s="17">
        <v>45707</v>
      </c>
      <c r="AW17" s="123">
        <f>AV17-AU17</f>
        <v>-6</v>
      </c>
      <c r="AX17" s="17" t="s">
        <v>2526</v>
      </c>
      <c r="AY17" s="17" t="s">
        <v>4</v>
      </c>
      <c r="AZ17" s="17">
        <v>46154</v>
      </c>
      <c r="BA17" s="17" t="s">
        <v>6757</v>
      </c>
      <c r="BB17" s="17">
        <f>AZ17+7</f>
        <v>46161</v>
      </c>
      <c r="BC17" s="17"/>
      <c r="BD17" s="123">
        <f>BC17-BB17</f>
        <v>-46161</v>
      </c>
      <c r="BE17" s="11" t="s">
        <v>6782</v>
      </c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368"/>
    </row>
    <row r="18" spans="1:79" s="381" customFormat="1" ht="42" customHeight="1" x14ac:dyDescent="0.25">
      <c r="A18" s="367">
        <v>730007</v>
      </c>
      <c r="B18" s="13" t="s">
        <v>5</v>
      </c>
      <c r="C18" s="56" t="s">
        <v>588</v>
      </c>
      <c r="D18" s="10" t="s">
        <v>845</v>
      </c>
      <c r="E18" s="12" t="s">
        <v>846</v>
      </c>
      <c r="F18" s="16" t="s">
        <v>847</v>
      </c>
      <c r="G18" s="10" t="s">
        <v>30</v>
      </c>
      <c r="H18" s="10" t="s">
        <v>145</v>
      </c>
      <c r="I18" s="55" t="s">
        <v>18</v>
      </c>
      <c r="J18" s="53">
        <v>45607</v>
      </c>
      <c r="K18" s="13" t="s">
        <v>848</v>
      </c>
      <c r="L18" s="53">
        <f t="shared" si="0"/>
        <v>45614</v>
      </c>
      <c r="M18" s="53">
        <v>45615</v>
      </c>
      <c r="N18" s="92">
        <f t="shared" si="1"/>
        <v>1</v>
      </c>
      <c r="O18" s="10" t="s">
        <v>884</v>
      </c>
      <c r="P18" s="10" t="s">
        <v>18</v>
      </c>
      <c r="Q18" s="21">
        <v>45687</v>
      </c>
      <c r="R18" s="10" t="s">
        <v>2215</v>
      </c>
      <c r="S18" s="21">
        <f>Q18+7</f>
        <v>45694</v>
      </c>
      <c r="T18" s="21">
        <v>45692</v>
      </c>
      <c r="U18" s="95">
        <f>T18-S18</f>
        <v>-2</v>
      </c>
      <c r="V18" s="10" t="s">
        <v>2256</v>
      </c>
      <c r="W18" s="59" t="s">
        <v>5</v>
      </c>
      <c r="X18" s="21">
        <v>45708</v>
      </c>
      <c r="Y18" s="10" t="s">
        <v>2553</v>
      </c>
      <c r="Z18" s="21">
        <f>X18+7</f>
        <v>45715</v>
      </c>
      <c r="AA18" s="21">
        <v>45712</v>
      </c>
      <c r="AB18" s="95">
        <f>AA18-Z18</f>
        <v>-3</v>
      </c>
      <c r="AC18" s="10" t="s">
        <v>2583</v>
      </c>
      <c r="AD18" s="10"/>
      <c r="AE18" s="21"/>
      <c r="AF18" s="10"/>
      <c r="AG18" s="10"/>
      <c r="AH18" s="21"/>
      <c r="AI18" s="95"/>
      <c r="AJ18" s="10"/>
      <c r="AK18" s="10"/>
      <c r="AL18" s="17"/>
      <c r="AM18" s="11"/>
      <c r="AN18" s="11"/>
      <c r="AO18" s="17"/>
      <c r="AP18" s="123"/>
      <c r="AQ18" s="17"/>
      <c r="AR18" s="17"/>
      <c r="AS18" s="17"/>
      <c r="AT18" s="17"/>
      <c r="AU18" s="17"/>
      <c r="AV18" s="17"/>
      <c r="AW18" s="123"/>
      <c r="AX18" s="17"/>
      <c r="AY18" s="17"/>
      <c r="AZ18" s="17"/>
      <c r="BA18" s="17"/>
      <c r="BB18" s="17"/>
      <c r="BC18" s="17"/>
      <c r="BD18" s="17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368"/>
    </row>
    <row r="19" spans="1:79" s="381" customFormat="1" ht="42" customHeight="1" x14ac:dyDescent="0.25">
      <c r="A19" s="367">
        <v>730007</v>
      </c>
      <c r="B19" s="79" t="s">
        <v>508</v>
      </c>
      <c r="C19" s="56" t="s">
        <v>627</v>
      </c>
      <c r="D19" s="10" t="s">
        <v>853</v>
      </c>
      <c r="E19" s="12" t="s">
        <v>854</v>
      </c>
      <c r="F19" s="16" t="s">
        <v>855</v>
      </c>
      <c r="G19" s="10" t="s">
        <v>30</v>
      </c>
      <c r="H19" s="10" t="s">
        <v>145</v>
      </c>
      <c r="I19" s="55" t="s">
        <v>3</v>
      </c>
      <c r="J19" s="53">
        <v>45607</v>
      </c>
      <c r="K19" s="13" t="s">
        <v>858</v>
      </c>
      <c r="L19" s="53">
        <f t="shared" si="0"/>
        <v>45614</v>
      </c>
      <c r="M19" s="53">
        <v>45641</v>
      </c>
      <c r="N19" s="92">
        <f t="shared" si="1"/>
        <v>27</v>
      </c>
      <c r="O19" s="10" t="s">
        <v>886</v>
      </c>
      <c r="P19" s="58" t="s">
        <v>508</v>
      </c>
      <c r="Q19" s="21">
        <v>45824</v>
      </c>
      <c r="R19" s="150" t="s">
        <v>3504</v>
      </c>
      <c r="S19" s="10"/>
      <c r="T19" s="21"/>
      <c r="U19" s="95"/>
      <c r="V19" s="10"/>
      <c r="W19" s="10"/>
      <c r="X19" s="21"/>
      <c r="Y19" s="10"/>
      <c r="Z19" s="10"/>
      <c r="AA19" s="21"/>
      <c r="AB19" s="95"/>
      <c r="AC19" s="10"/>
      <c r="AD19" s="10"/>
      <c r="AE19" s="21"/>
      <c r="AF19" s="10"/>
      <c r="AG19" s="10"/>
      <c r="AH19" s="21"/>
      <c r="AI19" s="95"/>
      <c r="AJ19" s="10"/>
      <c r="AK19" s="10"/>
      <c r="AL19" s="17"/>
      <c r="AM19" s="11"/>
      <c r="AN19" s="11"/>
      <c r="AO19" s="17"/>
      <c r="AP19" s="123"/>
      <c r="AQ19" s="17"/>
      <c r="AR19" s="17"/>
      <c r="AS19" s="17"/>
      <c r="AT19" s="17"/>
      <c r="AU19" s="17"/>
      <c r="AV19" s="17"/>
      <c r="AW19" s="123"/>
      <c r="AX19" s="17"/>
      <c r="AY19" s="17"/>
      <c r="AZ19" s="17"/>
      <c r="BA19" s="17"/>
      <c r="BB19" s="17"/>
      <c r="BC19" s="17"/>
      <c r="BD19" s="17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368"/>
    </row>
    <row r="20" spans="1:79" s="381" customFormat="1" ht="42" customHeight="1" x14ac:dyDescent="0.25">
      <c r="A20" s="367">
        <v>730007</v>
      </c>
      <c r="B20" s="13" t="s">
        <v>5</v>
      </c>
      <c r="C20" s="56" t="s">
        <v>725</v>
      </c>
      <c r="D20" s="10" t="s">
        <v>862</v>
      </c>
      <c r="E20" s="12" t="s">
        <v>861</v>
      </c>
      <c r="F20" s="16" t="s">
        <v>863</v>
      </c>
      <c r="G20" s="10" t="s">
        <v>30</v>
      </c>
      <c r="H20" s="10" t="s">
        <v>145</v>
      </c>
      <c r="I20" s="55" t="s">
        <v>18</v>
      </c>
      <c r="J20" s="53">
        <v>45607</v>
      </c>
      <c r="K20" s="13" t="s">
        <v>864</v>
      </c>
      <c r="L20" s="53">
        <f t="shared" si="0"/>
        <v>45614</v>
      </c>
      <c r="M20" s="53">
        <v>45615</v>
      </c>
      <c r="N20" s="92">
        <f t="shared" si="1"/>
        <v>1</v>
      </c>
      <c r="O20" s="10" t="s">
        <v>889</v>
      </c>
      <c r="P20" s="10" t="s">
        <v>18</v>
      </c>
      <c r="Q20" s="21">
        <v>45709</v>
      </c>
      <c r="R20" s="10" t="s">
        <v>2563</v>
      </c>
      <c r="S20" s="21">
        <f>Q20+7</f>
        <v>45716</v>
      </c>
      <c r="T20" s="21">
        <v>45718</v>
      </c>
      <c r="U20" s="95">
        <f>T20-S20</f>
        <v>2</v>
      </c>
      <c r="V20" s="10" t="s">
        <v>2584</v>
      </c>
      <c r="W20" s="10" t="s">
        <v>18</v>
      </c>
      <c r="X20" s="21">
        <v>45722</v>
      </c>
      <c r="Y20" s="10" t="s">
        <v>2685</v>
      </c>
      <c r="Z20" s="21">
        <f>X20+7</f>
        <v>45729</v>
      </c>
      <c r="AA20" s="21">
        <v>45725</v>
      </c>
      <c r="AB20" s="95">
        <f>AA20-Z20</f>
        <v>-4</v>
      </c>
      <c r="AC20" s="10" t="s">
        <v>2690</v>
      </c>
      <c r="AD20" s="10" t="s">
        <v>5</v>
      </c>
      <c r="AE20" s="21">
        <v>45729</v>
      </c>
      <c r="AF20" s="10" t="s">
        <v>2799</v>
      </c>
      <c r="AG20" s="21">
        <f>AE20+7</f>
        <v>45736</v>
      </c>
      <c r="AH20" s="21">
        <v>45731</v>
      </c>
      <c r="AI20" s="95">
        <f>AH20-AG20</f>
        <v>-5</v>
      </c>
      <c r="AJ20" s="10" t="s">
        <v>2808</v>
      </c>
      <c r="AK20" s="10"/>
      <c r="AL20" s="17"/>
      <c r="AM20" s="11"/>
      <c r="AN20" s="11"/>
      <c r="AO20" s="17"/>
      <c r="AP20" s="123"/>
      <c r="AQ20" s="17"/>
      <c r="AR20" s="17"/>
      <c r="AS20" s="17"/>
      <c r="AT20" s="17"/>
      <c r="AU20" s="17"/>
      <c r="AV20" s="17"/>
      <c r="AW20" s="123"/>
      <c r="AX20" s="17"/>
      <c r="AY20" s="17"/>
      <c r="AZ20" s="17"/>
      <c r="BA20" s="17"/>
      <c r="BB20" s="17"/>
      <c r="BC20" s="17"/>
      <c r="BD20" s="17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368"/>
    </row>
    <row r="21" spans="1:79" s="381" customFormat="1" ht="42" customHeight="1" x14ac:dyDescent="0.25">
      <c r="A21" s="367">
        <v>730007</v>
      </c>
      <c r="B21" s="79" t="s">
        <v>508</v>
      </c>
      <c r="C21" s="56" t="s">
        <v>627</v>
      </c>
      <c r="D21" s="10" t="s">
        <v>916</v>
      </c>
      <c r="E21" s="12" t="s">
        <v>917</v>
      </c>
      <c r="F21" s="16" t="s">
        <v>918</v>
      </c>
      <c r="G21" s="10" t="s">
        <v>30</v>
      </c>
      <c r="H21" s="10" t="s">
        <v>145</v>
      </c>
      <c r="I21" s="55" t="s">
        <v>18</v>
      </c>
      <c r="J21" s="53">
        <v>45610</v>
      </c>
      <c r="K21" s="13" t="s">
        <v>919</v>
      </c>
      <c r="L21" s="53">
        <f t="shared" si="0"/>
        <v>45617</v>
      </c>
      <c r="M21" s="53">
        <v>45616</v>
      </c>
      <c r="N21" s="92">
        <f t="shared" si="1"/>
        <v>-1</v>
      </c>
      <c r="O21" s="10" t="s">
        <v>925</v>
      </c>
      <c r="P21" s="10" t="s">
        <v>508</v>
      </c>
      <c r="Q21" s="21">
        <v>46070</v>
      </c>
      <c r="R21" s="10" t="s">
        <v>5859</v>
      </c>
      <c r="S21" s="10" t="s">
        <v>626</v>
      </c>
      <c r="T21" s="21" t="s">
        <v>626</v>
      </c>
      <c r="U21" s="95" t="s">
        <v>626</v>
      </c>
      <c r="V21" s="10" t="s">
        <v>626</v>
      </c>
      <c r="W21" s="10"/>
      <c r="X21" s="21"/>
      <c r="Y21" s="10"/>
      <c r="Z21" s="10"/>
      <c r="AA21" s="21"/>
      <c r="AB21" s="95"/>
      <c r="AC21" s="10"/>
      <c r="AD21" s="10"/>
      <c r="AE21" s="21"/>
      <c r="AF21" s="10"/>
      <c r="AG21" s="10"/>
      <c r="AH21" s="21"/>
      <c r="AI21" s="95"/>
      <c r="AJ21" s="10"/>
      <c r="AK21" s="10"/>
      <c r="AL21" s="17"/>
      <c r="AM21" s="11"/>
      <c r="AN21" s="11"/>
      <c r="AO21" s="17"/>
      <c r="AP21" s="123"/>
      <c r="AQ21" s="17"/>
      <c r="AR21" s="17"/>
      <c r="AS21" s="17"/>
      <c r="AT21" s="17"/>
      <c r="AU21" s="17"/>
      <c r="AV21" s="17"/>
      <c r="AW21" s="123"/>
      <c r="AX21" s="17"/>
      <c r="AY21" s="17"/>
      <c r="AZ21" s="17"/>
      <c r="BA21" s="17"/>
      <c r="BB21" s="17"/>
      <c r="BC21" s="17"/>
      <c r="BD21" s="17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368"/>
    </row>
    <row r="22" spans="1:79" s="381" customFormat="1" ht="42" customHeight="1" x14ac:dyDescent="0.25">
      <c r="A22" s="367">
        <v>730007</v>
      </c>
      <c r="B22" s="12" t="s">
        <v>5</v>
      </c>
      <c r="C22" s="56" t="s">
        <v>54</v>
      </c>
      <c r="D22" s="10" t="s">
        <v>991</v>
      </c>
      <c r="E22" s="12" t="s">
        <v>992</v>
      </c>
      <c r="F22" s="16" t="s">
        <v>993</v>
      </c>
      <c r="G22" s="10" t="s">
        <v>30</v>
      </c>
      <c r="H22" s="10" t="s">
        <v>145</v>
      </c>
      <c r="I22" s="16" t="s">
        <v>5</v>
      </c>
      <c r="J22" s="53">
        <v>45616</v>
      </c>
      <c r="K22" s="13" t="s">
        <v>994</v>
      </c>
      <c r="L22" s="53">
        <f t="shared" si="0"/>
        <v>45623</v>
      </c>
      <c r="M22" s="53">
        <v>45617</v>
      </c>
      <c r="N22" s="92">
        <f t="shared" si="1"/>
        <v>-6</v>
      </c>
      <c r="O22" s="10" t="s">
        <v>1000</v>
      </c>
      <c r="P22" s="16"/>
      <c r="Q22" s="21"/>
      <c r="R22" s="10"/>
      <c r="S22" s="10"/>
      <c r="T22" s="21"/>
      <c r="U22" s="95"/>
      <c r="V22" s="10"/>
      <c r="W22" s="10"/>
      <c r="X22" s="21"/>
      <c r="Y22" s="10"/>
      <c r="Z22" s="10"/>
      <c r="AA22" s="21"/>
      <c r="AB22" s="95"/>
      <c r="AC22" s="10"/>
      <c r="AD22" s="10"/>
      <c r="AE22" s="21"/>
      <c r="AF22" s="10"/>
      <c r="AG22" s="10"/>
      <c r="AH22" s="21"/>
      <c r="AI22" s="95"/>
      <c r="AJ22" s="10"/>
      <c r="AK22" s="10"/>
      <c r="AL22" s="17"/>
      <c r="AM22" s="11"/>
      <c r="AN22" s="11"/>
      <c r="AO22" s="17"/>
      <c r="AP22" s="123"/>
      <c r="AQ22" s="17"/>
      <c r="AR22" s="17"/>
      <c r="AS22" s="17"/>
      <c r="AT22" s="17"/>
      <c r="AU22" s="17"/>
      <c r="AV22" s="17"/>
      <c r="AW22" s="123"/>
      <c r="AX22" s="17"/>
      <c r="AY22" s="17"/>
      <c r="AZ22" s="17"/>
      <c r="BA22" s="17"/>
      <c r="BB22" s="17"/>
      <c r="BC22" s="17"/>
      <c r="BD22" s="17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368"/>
    </row>
    <row r="23" spans="1:79" s="381" customFormat="1" ht="42" customHeight="1" x14ac:dyDescent="0.25">
      <c r="A23" s="367">
        <v>730007</v>
      </c>
      <c r="B23" s="23" t="s">
        <v>4</v>
      </c>
      <c r="C23" s="56" t="s">
        <v>7176</v>
      </c>
      <c r="D23" s="10" t="s">
        <v>1013</v>
      </c>
      <c r="E23" s="12" t="s">
        <v>1014</v>
      </c>
      <c r="F23" s="16" t="s">
        <v>1015</v>
      </c>
      <c r="G23" s="10" t="s">
        <v>30</v>
      </c>
      <c r="H23" s="10" t="s">
        <v>145</v>
      </c>
      <c r="I23" s="16" t="s">
        <v>3</v>
      </c>
      <c r="J23" s="53">
        <v>45619</v>
      </c>
      <c r="K23" s="13" t="s">
        <v>1016</v>
      </c>
      <c r="L23" s="53">
        <f t="shared" si="0"/>
        <v>45626</v>
      </c>
      <c r="M23" s="53">
        <v>45641</v>
      </c>
      <c r="N23" s="92">
        <f t="shared" si="1"/>
        <v>15</v>
      </c>
      <c r="O23" s="10" t="s">
        <v>1027</v>
      </c>
      <c r="P23" s="16" t="s">
        <v>18</v>
      </c>
      <c r="Q23" s="21">
        <v>45666</v>
      </c>
      <c r="R23" s="10" t="s">
        <v>1896</v>
      </c>
      <c r="S23" s="21">
        <f>Q23+7</f>
        <v>45673</v>
      </c>
      <c r="T23" s="21">
        <v>45675</v>
      </c>
      <c r="U23" s="95">
        <f>T23-S23</f>
        <v>2</v>
      </c>
      <c r="V23" s="10" t="s">
        <v>1912</v>
      </c>
      <c r="W23" s="10" t="s">
        <v>18</v>
      </c>
      <c r="X23" s="21">
        <v>45709</v>
      </c>
      <c r="Y23" s="10" t="s">
        <v>2564</v>
      </c>
      <c r="Z23" s="21">
        <f>X23+7</f>
        <v>45716</v>
      </c>
      <c r="AA23" s="21">
        <v>45717</v>
      </c>
      <c r="AB23" s="95">
        <f>AA23-Z23</f>
        <v>1</v>
      </c>
      <c r="AC23" s="10" t="s">
        <v>2585</v>
      </c>
      <c r="AD23" s="23" t="s">
        <v>18</v>
      </c>
      <c r="AE23" s="21">
        <v>45860</v>
      </c>
      <c r="AF23" s="10" t="s">
        <v>3757</v>
      </c>
      <c r="AG23" s="21">
        <f>AE23+7</f>
        <v>45867</v>
      </c>
      <c r="AH23" s="21">
        <v>45872</v>
      </c>
      <c r="AI23" s="95">
        <f>AH23-AG23</f>
        <v>5</v>
      </c>
      <c r="AJ23" s="10" t="s">
        <v>3764</v>
      </c>
      <c r="AK23" s="10" t="s">
        <v>18</v>
      </c>
      <c r="AL23" s="17">
        <v>45887</v>
      </c>
      <c r="AM23" s="11" t="s">
        <v>3976</v>
      </c>
      <c r="AN23" s="21">
        <f>AL23+7</f>
        <v>45894</v>
      </c>
      <c r="AO23" s="17">
        <v>45897</v>
      </c>
      <c r="AP23" s="95">
        <f>AO23-AN23</f>
        <v>3</v>
      </c>
      <c r="AQ23" s="17" t="s">
        <v>4001</v>
      </c>
      <c r="AR23" s="17" t="s">
        <v>18</v>
      </c>
      <c r="AS23" s="17">
        <v>46160</v>
      </c>
      <c r="AT23" s="17" t="s">
        <v>6854</v>
      </c>
      <c r="AU23" s="17">
        <f>AS23+7</f>
        <v>46167</v>
      </c>
      <c r="AV23" s="17">
        <v>46180</v>
      </c>
      <c r="AW23" s="123">
        <f>AV23-AU23</f>
        <v>13</v>
      </c>
      <c r="AX23" s="17" t="s">
        <v>6868</v>
      </c>
      <c r="AY23" s="17" t="s">
        <v>18</v>
      </c>
      <c r="AZ23" s="17">
        <v>46205</v>
      </c>
      <c r="BA23" s="17" t="s">
        <v>7181</v>
      </c>
      <c r="BB23" s="17">
        <f>AZ23+7</f>
        <v>46212</v>
      </c>
      <c r="BC23" s="17">
        <v>46217</v>
      </c>
      <c r="BD23" s="123">
        <f>BC23-BB23</f>
        <v>5</v>
      </c>
      <c r="BE23" s="11" t="s">
        <v>7197</v>
      </c>
      <c r="BF23" s="17" t="s">
        <v>4</v>
      </c>
      <c r="BG23" s="17">
        <v>46258</v>
      </c>
      <c r="BH23" s="17" t="s">
        <v>7512</v>
      </c>
      <c r="BI23" s="17">
        <f>BG23+7</f>
        <v>46265</v>
      </c>
      <c r="BJ23" s="17"/>
      <c r="BK23" s="123">
        <f>BJ23-BI23</f>
        <v>-46265</v>
      </c>
      <c r="BL23" s="11" t="s">
        <v>7517</v>
      </c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368"/>
    </row>
    <row r="24" spans="1:79" s="381" customFormat="1" ht="42" customHeight="1" x14ac:dyDescent="0.25">
      <c r="A24" s="367">
        <v>730007</v>
      </c>
      <c r="B24" s="23" t="s">
        <v>5</v>
      </c>
      <c r="C24" s="56" t="s">
        <v>6155</v>
      </c>
      <c r="D24" s="10" t="s">
        <v>1029</v>
      </c>
      <c r="E24" s="12" t="s">
        <v>1031</v>
      </c>
      <c r="F24" s="16" t="s">
        <v>1030</v>
      </c>
      <c r="G24" s="10" t="s">
        <v>30</v>
      </c>
      <c r="H24" s="10" t="s">
        <v>145</v>
      </c>
      <c r="I24" s="16" t="s">
        <v>18</v>
      </c>
      <c r="J24" s="53">
        <v>45620</v>
      </c>
      <c r="K24" s="13" t="s">
        <v>1037</v>
      </c>
      <c r="L24" s="53">
        <f t="shared" si="0"/>
        <v>45627</v>
      </c>
      <c r="M24" s="53">
        <v>45641</v>
      </c>
      <c r="N24" s="92">
        <f t="shared" si="1"/>
        <v>14</v>
      </c>
      <c r="O24" s="10" t="s">
        <v>1042</v>
      </c>
      <c r="P24" s="23" t="s">
        <v>3</v>
      </c>
      <c r="Q24" s="21">
        <v>45805</v>
      </c>
      <c r="R24" s="10" t="s">
        <v>3385</v>
      </c>
      <c r="S24" s="21">
        <f>Q24+7</f>
        <v>45812</v>
      </c>
      <c r="T24" s="21">
        <v>45830</v>
      </c>
      <c r="U24" s="95">
        <f>T24-S24</f>
        <v>18</v>
      </c>
      <c r="V24" s="10" t="s">
        <v>3396</v>
      </c>
      <c r="W24" s="23" t="s">
        <v>3</v>
      </c>
      <c r="X24" s="21">
        <v>45853</v>
      </c>
      <c r="Y24" s="150" t="s">
        <v>3671</v>
      </c>
      <c r="Z24" s="21">
        <f>X24+7</f>
        <v>45860</v>
      </c>
      <c r="AA24" s="21">
        <v>45869</v>
      </c>
      <c r="AB24" s="95">
        <f>AA24-Z24</f>
        <v>9</v>
      </c>
      <c r="AC24" s="10" t="s">
        <v>3682</v>
      </c>
      <c r="AD24" s="10" t="s">
        <v>3</v>
      </c>
      <c r="AE24" s="21">
        <v>45894</v>
      </c>
      <c r="AF24" s="10" t="s">
        <v>4027</v>
      </c>
      <c r="AG24" s="21">
        <f>AE24+7</f>
        <v>45901</v>
      </c>
      <c r="AH24" s="21">
        <v>45903</v>
      </c>
      <c r="AI24" s="95">
        <f>AH24-AG24</f>
        <v>2</v>
      </c>
      <c r="AJ24" s="10" t="s">
        <v>4047</v>
      </c>
      <c r="AK24" s="10" t="s">
        <v>3</v>
      </c>
      <c r="AL24" s="17">
        <v>45925</v>
      </c>
      <c r="AM24" s="11" t="s">
        <v>4301</v>
      </c>
      <c r="AN24" s="21">
        <f>AL24+7</f>
        <v>45932</v>
      </c>
      <c r="AO24" s="17">
        <v>45932</v>
      </c>
      <c r="AP24" s="95">
        <f>AO24-AN24</f>
        <v>0</v>
      </c>
      <c r="AQ24" s="17" t="s">
        <v>4314</v>
      </c>
      <c r="AR24" s="17" t="s">
        <v>18</v>
      </c>
      <c r="AS24" s="17">
        <v>45943</v>
      </c>
      <c r="AT24" s="17" t="s">
        <v>4459</v>
      </c>
      <c r="AU24" s="17">
        <f>AS24+7</f>
        <v>45950</v>
      </c>
      <c r="AV24" s="17">
        <v>45953</v>
      </c>
      <c r="AW24" s="123">
        <f>AV24-AU24</f>
        <v>3</v>
      </c>
      <c r="AX24" s="17" t="s">
        <v>4466</v>
      </c>
      <c r="AY24" s="17" t="s">
        <v>18</v>
      </c>
      <c r="AZ24" s="17">
        <v>46027</v>
      </c>
      <c r="BA24" s="17" t="s">
        <v>5464</v>
      </c>
      <c r="BB24" s="17">
        <f>AZ24+7</f>
        <v>46034</v>
      </c>
      <c r="BC24" s="17">
        <v>46037</v>
      </c>
      <c r="BD24" s="123">
        <f>BC24-BB24</f>
        <v>3</v>
      </c>
      <c r="BE24" s="11" t="s">
        <v>5485</v>
      </c>
      <c r="BF24" s="23" t="s">
        <v>18</v>
      </c>
      <c r="BG24" s="17">
        <v>46053</v>
      </c>
      <c r="BH24" s="17" t="s">
        <v>5709</v>
      </c>
      <c r="BI24" s="17">
        <f>BG24+7</f>
        <v>46060</v>
      </c>
      <c r="BJ24" s="17">
        <v>46057</v>
      </c>
      <c r="BK24" s="123">
        <f>BJ24-BI24</f>
        <v>-3</v>
      </c>
      <c r="BL24" s="11" t="s">
        <v>5729</v>
      </c>
      <c r="BM24" s="23" t="s">
        <v>5</v>
      </c>
      <c r="BN24" s="17">
        <v>46107</v>
      </c>
      <c r="BO24" s="17" t="s">
        <v>6156</v>
      </c>
      <c r="BP24" s="17">
        <f>BN24+7</f>
        <v>46114</v>
      </c>
      <c r="BQ24" s="17">
        <v>46119</v>
      </c>
      <c r="BR24" s="123">
        <f>BQ24-BP24</f>
        <v>5</v>
      </c>
      <c r="BS24" s="11" t="s">
        <v>6159</v>
      </c>
      <c r="BT24" s="11"/>
      <c r="BU24" s="11"/>
      <c r="BV24" s="11"/>
      <c r="BW24" s="11"/>
      <c r="BX24" s="11"/>
      <c r="BY24" s="11"/>
      <c r="BZ24" s="11"/>
      <c r="CA24" s="368"/>
    </row>
    <row r="25" spans="1:79" s="381" customFormat="1" ht="42" customHeight="1" x14ac:dyDescent="0.25">
      <c r="A25" s="367">
        <v>730007</v>
      </c>
      <c r="B25" s="12" t="s">
        <v>5</v>
      </c>
      <c r="C25" s="13" t="s">
        <v>725</v>
      </c>
      <c r="D25" s="10" t="s">
        <v>1056</v>
      </c>
      <c r="E25" s="12" t="s">
        <v>1057</v>
      </c>
      <c r="F25" s="10" t="s">
        <v>1058</v>
      </c>
      <c r="G25" s="10" t="s">
        <v>30</v>
      </c>
      <c r="H25" s="10" t="s">
        <v>145</v>
      </c>
      <c r="I25" s="16" t="s">
        <v>18</v>
      </c>
      <c r="J25" s="53">
        <v>45622</v>
      </c>
      <c r="K25" s="13" t="s">
        <v>1072</v>
      </c>
      <c r="L25" s="53">
        <f t="shared" si="0"/>
        <v>45629</v>
      </c>
      <c r="M25" s="53">
        <v>45628</v>
      </c>
      <c r="N25" s="92">
        <f t="shared" si="1"/>
        <v>-1</v>
      </c>
      <c r="O25" s="10" t="s">
        <v>1107</v>
      </c>
      <c r="P25" s="12" t="s">
        <v>18</v>
      </c>
      <c r="Q25" s="21">
        <v>45721</v>
      </c>
      <c r="R25" s="10" t="s">
        <v>2673</v>
      </c>
      <c r="S25" s="21">
        <f>Q25+7</f>
        <v>45728</v>
      </c>
      <c r="T25" s="21">
        <v>45725</v>
      </c>
      <c r="U25" s="95">
        <f t="shared" ref="U25:U33" si="2">T25-S25</f>
        <v>-3</v>
      </c>
      <c r="V25" s="10" t="s">
        <v>2691</v>
      </c>
      <c r="W25" s="10" t="s">
        <v>18</v>
      </c>
      <c r="X25" s="116">
        <v>46022</v>
      </c>
      <c r="Y25" s="10" t="s">
        <v>5432</v>
      </c>
      <c r="Z25" s="21">
        <f>X25+7</f>
        <v>46029</v>
      </c>
      <c r="AA25" s="21">
        <v>46035</v>
      </c>
      <c r="AB25" s="95">
        <f>AA25-Z25</f>
        <v>6</v>
      </c>
      <c r="AC25" s="10" t="s">
        <v>5436</v>
      </c>
      <c r="AD25" s="10" t="s">
        <v>5</v>
      </c>
      <c r="AE25" s="21">
        <v>46049</v>
      </c>
      <c r="AF25" s="10" t="s">
        <v>5686</v>
      </c>
      <c r="AG25" s="21">
        <f>AE25+7</f>
        <v>46056</v>
      </c>
      <c r="AH25" s="21">
        <v>46058</v>
      </c>
      <c r="AI25" s="95">
        <f>AH25-AG25</f>
        <v>2</v>
      </c>
      <c r="AJ25" s="10" t="s">
        <v>5697</v>
      </c>
      <c r="AK25" s="10"/>
      <c r="AL25" s="20"/>
      <c r="AM25" s="12"/>
      <c r="AN25" s="12"/>
      <c r="AO25" s="20"/>
      <c r="AP25" s="91"/>
      <c r="AQ25" s="20"/>
      <c r="AR25" s="20"/>
      <c r="AS25" s="20"/>
      <c r="AT25" s="20"/>
      <c r="AU25" s="20"/>
      <c r="AV25" s="20"/>
      <c r="AW25" s="91"/>
      <c r="AX25" s="20"/>
      <c r="AY25" s="20"/>
      <c r="AZ25" s="20"/>
      <c r="BA25" s="20"/>
      <c r="BB25" s="20"/>
      <c r="BC25" s="20"/>
      <c r="BD25" s="20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368"/>
    </row>
    <row r="26" spans="1:79" s="381" customFormat="1" ht="42" customHeight="1" x14ac:dyDescent="0.25">
      <c r="A26" s="367">
        <v>730007</v>
      </c>
      <c r="B26" s="79" t="s">
        <v>508</v>
      </c>
      <c r="C26" s="56" t="s">
        <v>627</v>
      </c>
      <c r="D26" s="10" t="s">
        <v>1202</v>
      </c>
      <c r="E26" s="12" t="s">
        <v>1203</v>
      </c>
      <c r="F26" s="10" t="s">
        <v>1204</v>
      </c>
      <c r="G26" s="10" t="s">
        <v>30</v>
      </c>
      <c r="H26" s="10" t="s">
        <v>145</v>
      </c>
      <c r="I26" s="16" t="s">
        <v>18</v>
      </c>
      <c r="J26" s="53">
        <v>45629</v>
      </c>
      <c r="K26" s="13" t="s">
        <v>1208</v>
      </c>
      <c r="L26" s="53">
        <f t="shared" si="0"/>
        <v>45636</v>
      </c>
      <c r="M26" s="53">
        <v>45644</v>
      </c>
      <c r="N26" s="92">
        <f t="shared" si="1"/>
        <v>8</v>
      </c>
      <c r="O26" s="10" t="s">
        <v>1247</v>
      </c>
      <c r="P26" s="12" t="s">
        <v>18</v>
      </c>
      <c r="Q26" s="21">
        <v>45724</v>
      </c>
      <c r="R26" s="10" t="s">
        <v>2702</v>
      </c>
      <c r="S26" s="21">
        <f>Q26+7</f>
        <v>45731</v>
      </c>
      <c r="T26" s="21">
        <v>45731</v>
      </c>
      <c r="U26" s="95">
        <f t="shared" si="2"/>
        <v>0</v>
      </c>
      <c r="V26" s="10" t="s">
        <v>2739</v>
      </c>
      <c r="W26" s="10" t="s">
        <v>508</v>
      </c>
      <c r="X26" s="21">
        <v>46070</v>
      </c>
      <c r="Y26" s="10" t="s">
        <v>5859</v>
      </c>
      <c r="Z26" s="10" t="s">
        <v>626</v>
      </c>
      <c r="AA26" s="21" t="s">
        <v>626</v>
      </c>
      <c r="AB26" s="95" t="s">
        <v>626</v>
      </c>
      <c r="AC26" s="10" t="s">
        <v>626</v>
      </c>
      <c r="AD26" s="10"/>
      <c r="AE26" s="21"/>
      <c r="AF26" s="10"/>
      <c r="AG26" s="10"/>
      <c r="AH26" s="21"/>
      <c r="AI26" s="95"/>
      <c r="AJ26" s="10"/>
      <c r="AK26" s="10"/>
      <c r="AL26" s="17"/>
      <c r="AM26" s="11"/>
      <c r="AN26" s="11"/>
      <c r="AO26" s="17"/>
      <c r="AP26" s="123"/>
      <c r="AQ26" s="17"/>
      <c r="AR26" s="17"/>
      <c r="AS26" s="17"/>
      <c r="AT26" s="17"/>
      <c r="AU26" s="17"/>
      <c r="AV26" s="17"/>
      <c r="AW26" s="123"/>
      <c r="AX26" s="17"/>
      <c r="AY26" s="17"/>
      <c r="AZ26" s="17"/>
      <c r="BA26" s="17"/>
      <c r="BB26" s="17"/>
      <c r="BC26" s="17"/>
      <c r="BD26" s="17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368"/>
    </row>
    <row r="27" spans="1:79" s="381" customFormat="1" ht="42" customHeight="1" x14ac:dyDescent="0.25">
      <c r="A27" s="367">
        <v>730007</v>
      </c>
      <c r="B27" s="12" t="s">
        <v>5</v>
      </c>
      <c r="C27" s="13" t="s">
        <v>588</v>
      </c>
      <c r="D27" s="10" t="s">
        <v>1205</v>
      </c>
      <c r="E27" s="12" t="s">
        <v>1206</v>
      </c>
      <c r="F27" s="10" t="s">
        <v>1207</v>
      </c>
      <c r="G27" s="10" t="s">
        <v>30</v>
      </c>
      <c r="H27" s="10" t="s">
        <v>145</v>
      </c>
      <c r="I27" s="16" t="s">
        <v>3</v>
      </c>
      <c r="J27" s="53">
        <v>45629</v>
      </c>
      <c r="K27" s="13" t="s">
        <v>1209</v>
      </c>
      <c r="L27" s="53">
        <f t="shared" si="0"/>
        <v>45636</v>
      </c>
      <c r="M27" s="53">
        <v>45641</v>
      </c>
      <c r="N27" s="92">
        <f>M27-L27</f>
        <v>5</v>
      </c>
      <c r="O27" s="10" t="s">
        <v>1248</v>
      </c>
      <c r="P27" s="10" t="s">
        <v>18</v>
      </c>
      <c r="Q27" s="21">
        <v>45650</v>
      </c>
      <c r="R27" s="10" t="s">
        <v>1625</v>
      </c>
      <c r="S27" s="21">
        <f t="shared" ref="S27:S33" si="3">Q27+7</f>
        <v>45657</v>
      </c>
      <c r="T27" s="21">
        <v>45663</v>
      </c>
      <c r="U27" s="95">
        <f t="shared" si="2"/>
        <v>6</v>
      </c>
      <c r="V27" s="10" t="s">
        <v>1671</v>
      </c>
      <c r="W27" s="10" t="s">
        <v>5</v>
      </c>
      <c r="X27" s="21">
        <v>45666</v>
      </c>
      <c r="Y27" s="10" t="s">
        <v>1911</v>
      </c>
      <c r="Z27" s="21">
        <f>X27+7</f>
        <v>45673</v>
      </c>
      <c r="AA27" s="21">
        <v>45675</v>
      </c>
      <c r="AB27" s="95">
        <f>AA27-Z27</f>
        <v>2</v>
      </c>
      <c r="AC27" s="10" t="s">
        <v>1919</v>
      </c>
      <c r="AD27" s="10"/>
      <c r="AE27" s="21"/>
      <c r="AF27" s="10"/>
      <c r="AG27" s="10"/>
      <c r="AH27" s="21"/>
      <c r="AI27" s="95"/>
      <c r="AJ27" s="10"/>
      <c r="AK27" s="10"/>
      <c r="AL27" s="17"/>
      <c r="AM27" s="11"/>
      <c r="AN27" s="11"/>
      <c r="AO27" s="17"/>
      <c r="AP27" s="123"/>
      <c r="AQ27" s="17"/>
      <c r="AR27" s="17"/>
      <c r="AS27" s="17"/>
      <c r="AT27" s="17"/>
      <c r="AU27" s="17"/>
      <c r="AV27" s="17"/>
      <c r="AW27" s="123"/>
      <c r="AX27" s="17"/>
      <c r="AY27" s="17"/>
      <c r="AZ27" s="17"/>
      <c r="BA27" s="17"/>
      <c r="BB27" s="17"/>
      <c r="BC27" s="17"/>
      <c r="BD27" s="17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368"/>
    </row>
    <row r="28" spans="1:79" s="381" customFormat="1" ht="42" customHeight="1" x14ac:dyDescent="0.25">
      <c r="A28" s="367">
        <v>730007</v>
      </c>
      <c r="B28" s="12" t="s">
        <v>5</v>
      </c>
      <c r="C28" s="13" t="s">
        <v>208</v>
      </c>
      <c r="D28" s="10" t="s">
        <v>1210</v>
      </c>
      <c r="E28" s="12" t="s">
        <v>1211</v>
      </c>
      <c r="F28" s="10" t="s">
        <v>1930</v>
      </c>
      <c r="G28" s="10" t="s">
        <v>30</v>
      </c>
      <c r="H28" s="10" t="s">
        <v>145</v>
      </c>
      <c r="I28" s="16" t="s">
        <v>3</v>
      </c>
      <c r="J28" s="53">
        <v>45629</v>
      </c>
      <c r="K28" s="13" t="s">
        <v>1212</v>
      </c>
      <c r="L28" s="53">
        <f t="shared" si="0"/>
        <v>45636</v>
      </c>
      <c r="M28" s="53">
        <v>45641</v>
      </c>
      <c r="N28" s="92">
        <f>M28-L28</f>
        <v>5</v>
      </c>
      <c r="O28" s="10" t="s">
        <v>1249</v>
      </c>
      <c r="P28" s="10" t="s">
        <v>5</v>
      </c>
      <c r="Q28" s="21">
        <v>45667</v>
      </c>
      <c r="R28" s="10" t="s">
        <v>1931</v>
      </c>
      <c r="S28" s="21">
        <f t="shared" si="3"/>
        <v>45674</v>
      </c>
      <c r="T28" s="21">
        <v>45670</v>
      </c>
      <c r="U28" s="95">
        <f t="shared" si="2"/>
        <v>-4</v>
      </c>
      <c r="V28" s="10" t="s">
        <v>1943</v>
      </c>
      <c r="W28" s="10"/>
      <c r="X28" s="21"/>
      <c r="Y28" s="10"/>
      <c r="Z28" s="21"/>
      <c r="AA28" s="21"/>
      <c r="AB28" s="95"/>
      <c r="AC28" s="10"/>
      <c r="AD28" s="10"/>
      <c r="AE28" s="21"/>
      <c r="AF28" s="10"/>
      <c r="AG28" s="10"/>
      <c r="AH28" s="21"/>
      <c r="AI28" s="95"/>
      <c r="AJ28" s="10"/>
      <c r="AK28" s="10"/>
      <c r="AL28" s="17"/>
      <c r="AM28" s="11"/>
      <c r="AN28" s="11"/>
      <c r="AO28" s="17"/>
      <c r="AP28" s="123"/>
      <c r="AQ28" s="17"/>
      <c r="AR28" s="17"/>
      <c r="AS28" s="17"/>
      <c r="AT28" s="17"/>
      <c r="AU28" s="17"/>
      <c r="AV28" s="17"/>
      <c r="AW28" s="123"/>
      <c r="AX28" s="17"/>
      <c r="AY28" s="17"/>
      <c r="AZ28" s="17"/>
      <c r="BA28" s="17"/>
      <c r="BB28" s="17"/>
      <c r="BC28" s="17"/>
      <c r="BD28" s="17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368"/>
    </row>
    <row r="29" spans="1:79" s="381" customFormat="1" ht="42" customHeight="1" x14ac:dyDescent="0.25">
      <c r="A29" s="367">
        <v>730007</v>
      </c>
      <c r="B29" s="58" t="s">
        <v>508</v>
      </c>
      <c r="C29" s="13" t="s">
        <v>627</v>
      </c>
      <c r="D29" s="10" t="s">
        <v>1221</v>
      </c>
      <c r="E29" s="12" t="s">
        <v>1222</v>
      </c>
      <c r="F29" s="10" t="s">
        <v>1223</v>
      </c>
      <c r="G29" s="10" t="s">
        <v>30</v>
      </c>
      <c r="H29" s="10" t="s">
        <v>145</v>
      </c>
      <c r="I29" s="16" t="s">
        <v>3</v>
      </c>
      <c r="J29" s="53">
        <v>45630</v>
      </c>
      <c r="K29" s="13" t="s">
        <v>1224</v>
      </c>
      <c r="L29" s="53">
        <f t="shared" si="0"/>
        <v>45637</v>
      </c>
      <c r="M29" s="53">
        <v>45641</v>
      </c>
      <c r="N29" s="92">
        <f t="shared" ref="N29:N34" si="4">M29-L29</f>
        <v>4</v>
      </c>
      <c r="O29" s="10" t="s">
        <v>1250</v>
      </c>
      <c r="P29" s="16" t="s">
        <v>3</v>
      </c>
      <c r="Q29" s="21">
        <v>45666</v>
      </c>
      <c r="R29" s="10" t="s">
        <v>1904</v>
      </c>
      <c r="S29" s="21">
        <f>Q29+7</f>
        <v>45673</v>
      </c>
      <c r="T29" s="21">
        <v>45678</v>
      </c>
      <c r="U29" s="95">
        <f t="shared" si="2"/>
        <v>5</v>
      </c>
      <c r="V29" s="10" t="s">
        <v>1915</v>
      </c>
      <c r="W29" s="58" t="s">
        <v>508</v>
      </c>
      <c r="X29" s="21">
        <v>45824</v>
      </c>
      <c r="Y29" s="150" t="s">
        <v>3504</v>
      </c>
      <c r="Z29" s="10"/>
      <c r="AA29" s="21"/>
      <c r="AB29" s="95"/>
      <c r="AC29" s="10"/>
      <c r="AD29" s="10"/>
      <c r="AE29" s="21"/>
      <c r="AF29" s="10"/>
      <c r="AG29" s="10"/>
      <c r="AH29" s="21"/>
      <c r="AI29" s="95"/>
      <c r="AJ29" s="10"/>
      <c r="AK29" s="10"/>
      <c r="AL29" s="17"/>
      <c r="AM29" s="11"/>
      <c r="AN29" s="11"/>
      <c r="AO29" s="17"/>
      <c r="AP29" s="123"/>
      <c r="AQ29" s="17"/>
      <c r="AR29" s="17"/>
      <c r="AS29" s="17"/>
      <c r="AT29" s="17"/>
      <c r="AU29" s="17"/>
      <c r="AV29" s="17"/>
      <c r="AW29" s="123"/>
      <c r="AX29" s="17"/>
      <c r="AY29" s="17"/>
      <c r="AZ29" s="17"/>
      <c r="BA29" s="17"/>
      <c r="BB29" s="17"/>
      <c r="BC29" s="17"/>
      <c r="BD29" s="17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368"/>
    </row>
    <row r="30" spans="1:79" s="381" customFormat="1" ht="42" customHeight="1" x14ac:dyDescent="0.25">
      <c r="A30" s="367">
        <v>730007</v>
      </c>
      <c r="B30" s="12" t="s">
        <v>5</v>
      </c>
      <c r="C30" s="13" t="s">
        <v>588</v>
      </c>
      <c r="D30" s="10" t="s">
        <v>1265</v>
      </c>
      <c r="E30" s="12" t="s">
        <v>1266</v>
      </c>
      <c r="F30" s="10" t="s">
        <v>2539</v>
      </c>
      <c r="G30" s="10" t="s">
        <v>30</v>
      </c>
      <c r="H30" s="10" t="s">
        <v>145</v>
      </c>
      <c r="I30" s="16" t="s">
        <v>18</v>
      </c>
      <c r="J30" s="53">
        <v>45631</v>
      </c>
      <c r="K30" s="13" t="s">
        <v>1267</v>
      </c>
      <c r="L30" s="53">
        <f t="shared" si="0"/>
        <v>45638</v>
      </c>
      <c r="M30" s="53">
        <v>45642</v>
      </c>
      <c r="N30" s="92">
        <f t="shared" si="4"/>
        <v>4</v>
      </c>
      <c r="O30" s="10" t="s">
        <v>1317</v>
      </c>
      <c r="P30" s="16" t="s">
        <v>18</v>
      </c>
      <c r="Q30" s="21">
        <v>45659</v>
      </c>
      <c r="R30" s="10" t="s">
        <v>1783</v>
      </c>
      <c r="S30" s="21">
        <f t="shared" si="3"/>
        <v>45666</v>
      </c>
      <c r="T30" s="21">
        <v>45663</v>
      </c>
      <c r="U30" s="95">
        <f t="shared" si="2"/>
        <v>-3</v>
      </c>
      <c r="V30" s="10" t="s">
        <v>1788</v>
      </c>
      <c r="W30" s="10" t="s">
        <v>5</v>
      </c>
      <c r="X30" s="21">
        <v>45718</v>
      </c>
      <c r="Y30" s="10" t="s">
        <v>2654</v>
      </c>
      <c r="Z30" s="21">
        <f>X30+7</f>
        <v>45725</v>
      </c>
      <c r="AA30" s="21">
        <v>45719</v>
      </c>
      <c r="AB30" s="95">
        <f>AA30-Z30</f>
        <v>-6</v>
      </c>
      <c r="AC30" s="10" t="s">
        <v>2664</v>
      </c>
      <c r="AD30" s="10"/>
      <c r="AE30" s="21"/>
      <c r="AF30" s="10"/>
      <c r="AG30" s="10"/>
      <c r="AH30" s="21"/>
      <c r="AI30" s="95"/>
      <c r="AJ30" s="10"/>
      <c r="AK30" s="10"/>
      <c r="AL30" s="17"/>
      <c r="AM30" s="11"/>
      <c r="AN30" s="11"/>
      <c r="AO30" s="17"/>
      <c r="AP30" s="123"/>
      <c r="AQ30" s="17"/>
      <c r="AR30" s="17"/>
      <c r="AS30" s="17"/>
      <c r="AT30" s="17"/>
      <c r="AU30" s="17"/>
      <c r="AV30" s="17"/>
      <c r="AW30" s="123"/>
      <c r="AX30" s="17"/>
      <c r="AY30" s="17"/>
      <c r="AZ30" s="17"/>
      <c r="BA30" s="17"/>
      <c r="BB30" s="17"/>
      <c r="BC30" s="17"/>
      <c r="BD30" s="17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368"/>
    </row>
    <row r="31" spans="1:79" s="381" customFormat="1" ht="42" customHeight="1" x14ac:dyDescent="0.25">
      <c r="A31" s="367">
        <v>730007</v>
      </c>
      <c r="B31" s="12" t="s">
        <v>18</v>
      </c>
      <c r="C31" s="13" t="s">
        <v>725</v>
      </c>
      <c r="D31" s="10" t="s">
        <v>1314</v>
      </c>
      <c r="E31" s="12" t="s">
        <v>1315</v>
      </c>
      <c r="F31" s="10" t="s">
        <v>1316</v>
      </c>
      <c r="G31" s="10" t="s">
        <v>30</v>
      </c>
      <c r="H31" s="10" t="s">
        <v>145</v>
      </c>
      <c r="I31" s="16" t="s">
        <v>3</v>
      </c>
      <c r="J31" s="53">
        <v>45634</v>
      </c>
      <c r="K31" s="13" t="s">
        <v>1318</v>
      </c>
      <c r="L31" s="53">
        <f t="shared" si="0"/>
        <v>45641</v>
      </c>
      <c r="M31" s="53">
        <v>45642</v>
      </c>
      <c r="N31" s="92">
        <f t="shared" si="4"/>
        <v>1</v>
      </c>
      <c r="O31" s="10" t="s">
        <v>1346</v>
      </c>
      <c r="P31" s="12" t="s">
        <v>18</v>
      </c>
      <c r="Q31" s="21">
        <v>45646</v>
      </c>
      <c r="R31" s="10" t="s">
        <v>1552</v>
      </c>
      <c r="S31" s="21">
        <f t="shared" si="3"/>
        <v>45653</v>
      </c>
      <c r="T31" s="21">
        <v>45650</v>
      </c>
      <c r="U31" s="95">
        <f t="shared" si="2"/>
        <v>-3</v>
      </c>
      <c r="V31" s="10" t="s">
        <v>1591</v>
      </c>
      <c r="W31" s="10" t="s">
        <v>18</v>
      </c>
      <c r="X31" s="21">
        <v>45715</v>
      </c>
      <c r="Y31" s="10" t="s">
        <v>2622</v>
      </c>
      <c r="Z31" s="21">
        <f>X31+7</f>
        <v>45722</v>
      </c>
      <c r="AA31" s="21">
        <v>45717</v>
      </c>
      <c r="AB31" s="95">
        <f>AA31-Z31</f>
        <v>-5</v>
      </c>
      <c r="AC31" s="10" t="s">
        <v>2653</v>
      </c>
      <c r="AD31" s="10" t="s">
        <v>18</v>
      </c>
      <c r="AE31" s="21">
        <v>45727</v>
      </c>
      <c r="AF31" s="10" t="s">
        <v>2747</v>
      </c>
      <c r="AG31" s="21">
        <f>AE31+7</f>
        <v>45734</v>
      </c>
      <c r="AH31" s="21">
        <v>45735</v>
      </c>
      <c r="AI31" s="95">
        <f>AH31-AG31</f>
        <v>1</v>
      </c>
      <c r="AJ31" s="10" t="s">
        <v>2759</v>
      </c>
      <c r="AK31" s="10"/>
      <c r="AL31" s="17"/>
      <c r="AM31" s="11"/>
      <c r="AN31" s="11"/>
      <c r="AO31" s="17"/>
      <c r="AP31" s="123"/>
      <c r="AQ31" s="17"/>
      <c r="AR31" s="17"/>
      <c r="AS31" s="17"/>
      <c r="AT31" s="17"/>
      <c r="AU31" s="17"/>
      <c r="AV31" s="17"/>
      <c r="AW31" s="123"/>
      <c r="AX31" s="17"/>
      <c r="AY31" s="17"/>
      <c r="AZ31" s="17"/>
      <c r="BA31" s="17"/>
      <c r="BB31" s="17"/>
      <c r="BC31" s="17"/>
      <c r="BD31" s="17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368"/>
    </row>
    <row r="32" spans="1:79" s="381" customFormat="1" ht="42" customHeight="1" x14ac:dyDescent="0.25">
      <c r="A32" s="367">
        <v>730007</v>
      </c>
      <c r="B32" s="12" t="s">
        <v>5</v>
      </c>
      <c r="C32" s="13" t="s">
        <v>208</v>
      </c>
      <c r="D32" s="10" t="s">
        <v>1352</v>
      </c>
      <c r="E32" s="12" t="s">
        <v>1353</v>
      </c>
      <c r="F32" s="10" t="s">
        <v>1354</v>
      </c>
      <c r="G32" s="10" t="s">
        <v>30</v>
      </c>
      <c r="H32" s="10" t="s">
        <v>145</v>
      </c>
      <c r="I32" s="16" t="s">
        <v>3</v>
      </c>
      <c r="J32" s="53">
        <v>45636</v>
      </c>
      <c r="K32" s="13" t="s">
        <v>1355</v>
      </c>
      <c r="L32" s="53">
        <f t="shared" si="0"/>
        <v>45643</v>
      </c>
      <c r="M32" s="53">
        <v>45642</v>
      </c>
      <c r="N32" s="92">
        <f t="shared" si="4"/>
        <v>-1</v>
      </c>
      <c r="O32" s="10" t="s">
        <v>1356</v>
      </c>
      <c r="P32" s="16" t="s">
        <v>5</v>
      </c>
      <c r="Q32" s="21">
        <v>45651</v>
      </c>
      <c r="R32" s="10" t="s">
        <v>1636</v>
      </c>
      <c r="S32" s="21">
        <f t="shared" si="3"/>
        <v>45658</v>
      </c>
      <c r="T32" s="21">
        <v>45664</v>
      </c>
      <c r="U32" s="95">
        <f t="shared" si="2"/>
        <v>6</v>
      </c>
      <c r="V32" s="10" t="s">
        <v>1675</v>
      </c>
      <c r="W32" s="10"/>
      <c r="X32" s="21"/>
      <c r="Y32" s="10"/>
      <c r="Z32" s="10"/>
      <c r="AA32" s="21"/>
      <c r="AB32" s="95"/>
      <c r="AC32" s="10"/>
      <c r="AD32" s="10"/>
      <c r="AE32" s="21"/>
      <c r="AF32" s="10"/>
      <c r="AG32" s="10"/>
      <c r="AH32" s="21"/>
      <c r="AI32" s="95"/>
      <c r="AJ32" s="10"/>
      <c r="AK32" s="10"/>
      <c r="AL32" s="17"/>
      <c r="AM32" s="11"/>
      <c r="AN32" s="11"/>
      <c r="AO32" s="17"/>
      <c r="AP32" s="123"/>
      <c r="AQ32" s="17"/>
      <c r="AR32" s="17"/>
      <c r="AS32" s="17"/>
      <c r="AT32" s="17"/>
      <c r="AU32" s="17"/>
      <c r="AV32" s="17"/>
      <c r="AW32" s="123"/>
      <c r="AX32" s="17"/>
      <c r="AY32" s="17"/>
      <c r="AZ32" s="17"/>
      <c r="BA32" s="17"/>
      <c r="BB32" s="17"/>
      <c r="BC32" s="17"/>
      <c r="BD32" s="17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368"/>
    </row>
    <row r="33" spans="1:79" s="381" customFormat="1" ht="42" customHeight="1" x14ac:dyDescent="0.25">
      <c r="A33" s="367">
        <v>730007</v>
      </c>
      <c r="B33" s="12" t="s">
        <v>5</v>
      </c>
      <c r="C33" s="13" t="s">
        <v>2456</v>
      </c>
      <c r="D33" s="10" t="s">
        <v>1371</v>
      </c>
      <c r="E33" s="12" t="s">
        <v>1372</v>
      </c>
      <c r="F33" s="10" t="s">
        <v>1373</v>
      </c>
      <c r="G33" s="10" t="s">
        <v>30</v>
      </c>
      <c r="H33" s="10" t="s">
        <v>145</v>
      </c>
      <c r="I33" s="16" t="s">
        <v>18</v>
      </c>
      <c r="J33" s="53">
        <v>45637</v>
      </c>
      <c r="K33" s="13" t="s">
        <v>1374</v>
      </c>
      <c r="L33" s="53">
        <f t="shared" si="0"/>
        <v>45644</v>
      </c>
      <c r="M33" s="53">
        <v>45649</v>
      </c>
      <c r="N33" s="92">
        <f t="shared" si="4"/>
        <v>5</v>
      </c>
      <c r="O33" s="10" t="s">
        <v>1395</v>
      </c>
      <c r="P33" s="12" t="s">
        <v>18</v>
      </c>
      <c r="Q33" s="21">
        <v>46145</v>
      </c>
      <c r="R33" s="10" t="s">
        <v>6631</v>
      </c>
      <c r="S33" s="21">
        <f t="shared" si="3"/>
        <v>46152</v>
      </c>
      <c r="T33" s="21">
        <v>46160</v>
      </c>
      <c r="U33" s="95">
        <f t="shared" si="2"/>
        <v>8</v>
      </c>
      <c r="V33" s="10" t="s">
        <v>6642</v>
      </c>
      <c r="W33" s="10" t="s">
        <v>3</v>
      </c>
      <c r="X33" s="21">
        <v>46166</v>
      </c>
      <c r="Y33" s="10" t="s">
        <v>6916</v>
      </c>
      <c r="Z33" s="21">
        <f>X33+7</f>
        <v>46173</v>
      </c>
      <c r="AA33" s="21">
        <v>46180</v>
      </c>
      <c r="AB33" s="95">
        <f>AA33-Z33</f>
        <v>7</v>
      </c>
      <c r="AC33" s="10" t="s">
        <v>6917</v>
      </c>
      <c r="AD33" s="10" t="s">
        <v>3</v>
      </c>
      <c r="AE33" s="21">
        <v>46183</v>
      </c>
      <c r="AF33" s="10" t="s">
        <v>6972</v>
      </c>
      <c r="AG33" s="21">
        <f>AE33+7</f>
        <v>46190</v>
      </c>
      <c r="AH33" s="21">
        <v>46195</v>
      </c>
      <c r="AI33" s="10">
        <f>AH33-AG33</f>
        <v>5</v>
      </c>
      <c r="AJ33" s="10" t="s">
        <v>6989</v>
      </c>
      <c r="AK33" s="10" t="s">
        <v>5</v>
      </c>
      <c r="AL33" s="17">
        <v>46198</v>
      </c>
      <c r="AM33" s="11" t="s">
        <v>7097</v>
      </c>
      <c r="AN33" s="21">
        <f>AL33+7</f>
        <v>46205</v>
      </c>
      <c r="AO33" s="17">
        <v>46209</v>
      </c>
      <c r="AP33" s="10">
        <f>AO33-AN33</f>
        <v>4</v>
      </c>
      <c r="AQ33" s="17" t="s">
        <v>7101</v>
      </c>
      <c r="AR33" s="17"/>
      <c r="AS33" s="17"/>
      <c r="AT33" s="17"/>
      <c r="AU33" s="17"/>
      <c r="AV33" s="17"/>
      <c r="AW33" s="123"/>
      <c r="AX33" s="17"/>
      <c r="AY33" s="17"/>
      <c r="AZ33" s="17"/>
      <c r="BA33" s="17"/>
      <c r="BB33" s="17"/>
      <c r="BC33" s="17"/>
      <c r="BD33" s="17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368"/>
    </row>
    <row r="34" spans="1:79" s="381" customFormat="1" ht="42" customHeight="1" x14ac:dyDescent="0.25">
      <c r="A34" s="367">
        <v>730007</v>
      </c>
      <c r="B34" s="12" t="s">
        <v>5</v>
      </c>
      <c r="C34" s="13" t="s">
        <v>2384</v>
      </c>
      <c r="D34" s="10" t="s">
        <v>1401</v>
      </c>
      <c r="E34" s="12" t="s">
        <v>1402</v>
      </c>
      <c r="F34" s="10" t="s">
        <v>1403</v>
      </c>
      <c r="G34" s="10" t="s">
        <v>30</v>
      </c>
      <c r="H34" s="10" t="s">
        <v>145</v>
      </c>
      <c r="I34" s="16" t="s">
        <v>18</v>
      </c>
      <c r="J34" s="53">
        <v>45638</v>
      </c>
      <c r="K34" s="13" t="s">
        <v>1404</v>
      </c>
      <c r="L34" s="53">
        <f t="shared" si="0"/>
        <v>45645</v>
      </c>
      <c r="M34" s="53">
        <v>45650</v>
      </c>
      <c r="N34" s="92">
        <f t="shared" si="4"/>
        <v>5</v>
      </c>
      <c r="O34" s="10" t="s">
        <v>1418</v>
      </c>
      <c r="P34" s="12" t="s">
        <v>18</v>
      </c>
      <c r="Q34" s="21">
        <v>45741</v>
      </c>
      <c r="R34" s="10" t="s">
        <v>2912</v>
      </c>
      <c r="S34" s="21">
        <f>Q34+7</f>
        <v>45748</v>
      </c>
      <c r="T34" s="21">
        <v>45753</v>
      </c>
      <c r="U34" s="95">
        <f>T34-S34</f>
        <v>5</v>
      </c>
      <c r="V34" s="10" t="s">
        <v>2918</v>
      </c>
      <c r="W34" s="23" t="s">
        <v>3</v>
      </c>
      <c r="X34" s="21">
        <v>45847</v>
      </c>
      <c r="Y34" s="150" t="s">
        <v>3776</v>
      </c>
      <c r="Z34" s="21">
        <f>X34+7</f>
        <v>45854</v>
      </c>
      <c r="AA34" s="21">
        <v>45867</v>
      </c>
      <c r="AB34" s="95">
        <f>AA34-Z34</f>
        <v>13</v>
      </c>
      <c r="AC34" s="95" t="s">
        <v>3735</v>
      </c>
      <c r="AD34" s="10" t="s">
        <v>18</v>
      </c>
      <c r="AE34" s="21">
        <v>45862</v>
      </c>
      <c r="AF34" s="150" t="s">
        <v>3776</v>
      </c>
      <c r="AG34" s="21">
        <f>AE34+7</f>
        <v>45869</v>
      </c>
      <c r="AH34" s="21">
        <v>45874</v>
      </c>
      <c r="AI34" s="10">
        <f>AH34-AG34</f>
        <v>5</v>
      </c>
      <c r="AJ34" s="10" t="s">
        <v>3785</v>
      </c>
      <c r="AK34" s="10" t="s">
        <v>18</v>
      </c>
      <c r="AL34" s="17">
        <v>45871</v>
      </c>
      <c r="AM34" s="150" t="s">
        <v>3856</v>
      </c>
      <c r="AN34" s="21">
        <f>AL34+7</f>
        <v>45878</v>
      </c>
      <c r="AO34" s="17">
        <v>45874</v>
      </c>
      <c r="AP34" s="10">
        <f>AO34-AN34</f>
        <v>-4</v>
      </c>
      <c r="AQ34" s="149" t="s">
        <v>3862</v>
      </c>
      <c r="AR34" s="17" t="s">
        <v>5</v>
      </c>
      <c r="AS34" s="17">
        <v>46146</v>
      </c>
      <c r="AT34" s="17" t="s">
        <v>6649</v>
      </c>
      <c r="AU34" s="21">
        <f>AS34+7</f>
        <v>46153</v>
      </c>
      <c r="AV34" s="17">
        <v>46159</v>
      </c>
      <c r="AW34" s="10">
        <f>AV34-AU34</f>
        <v>6</v>
      </c>
      <c r="AX34" s="17" t="s">
        <v>6659</v>
      </c>
      <c r="AY34" s="17"/>
      <c r="AZ34" s="17"/>
      <c r="BA34" s="17"/>
      <c r="BB34" s="17"/>
      <c r="BC34" s="17"/>
      <c r="BD34" s="17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368"/>
    </row>
    <row r="35" spans="1:79" s="381" customFormat="1" ht="42" customHeight="1" x14ac:dyDescent="0.25">
      <c r="A35" s="367">
        <v>730007</v>
      </c>
      <c r="B35" s="12" t="s">
        <v>5</v>
      </c>
      <c r="C35" s="13" t="s">
        <v>2456</v>
      </c>
      <c r="D35" s="10" t="s">
        <v>1421</v>
      </c>
      <c r="E35" s="12" t="s">
        <v>1422</v>
      </c>
      <c r="F35" s="10" t="s">
        <v>1425</v>
      </c>
      <c r="G35" s="10" t="s">
        <v>30</v>
      </c>
      <c r="H35" s="10" t="s">
        <v>145</v>
      </c>
      <c r="I35" s="16" t="s">
        <v>18</v>
      </c>
      <c r="J35" s="53">
        <v>45640</v>
      </c>
      <c r="K35" s="13" t="s">
        <v>1426</v>
      </c>
      <c r="L35" s="53">
        <f t="shared" si="0"/>
        <v>45647</v>
      </c>
      <c r="M35" s="53">
        <v>45650</v>
      </c>
      <c r="N35" s="92">
        <f t="shared" ref="N35:N47" si="5">M35-L35</f>
        <v>3</v>
      </c>
      <c r="O35" s="10" t="s">
        <v>1479</v>
      </c>
      <c r="P35" s="11" t="s">
        <v>3</v>
      </c>
      <c r="Q35" s="21">
        <v>45871</v>
      </c>
      <c r="R35" s="150" t="s">
        <v>3853</v>
      </c>
      <c r="S35" s="21">
        <f>Q35+7</f>
        <v>45878</v>
      </c>
      <c r="T35" s="21">
        <v>45880</v>
      </c>
      <c r="U35" s="95">
        <f>T35-S35</f>
        <v>2</v>
      </c>
      <c r="V35" s="10" t="s">
        <v>3863</v>
      </c>
      <c r="W35" s="10" t="s">
        <v>18</v>
      </c>
      <c r="X35" s="21">
        <v>45901</v>
      </c>
      <c r="Y35" s="10" t="s">
        <v>4083</v>
      </c>
      <c r="Z35" s="21">
        <f>X35+7</f>
        <v>45908</v>
      </c>
      <c r="AA35" s="21">
        <v>45908</v>
      </c>
      <c r="AB35" s="95">
        <f>AA35-Z35</f>
        <v>0</v>
      </c>
      <c r="AC35" s="10" t="s">
        <v>4089</v>
      </c>
      <c r="AD35" s="10" t="s">
        <v>18</v>
      </c>
      <c r="AE35" s="21">
        <v>45974</v>
      </c>
      <c r="AF35" s="10" t="s">
        <v>4882</v>
      </c>
      <c r="AG35" s="21">
        <f>AE35+7</f>
        <v>45981</v>
      </c>
      <c r="AH35" s="21">
        <v>45981</v>
      </c>
      <c r="AI35" s="95">
        <f>AH35-AG35</f>
        <v>0</v>
      </c>
      <c r="AJ35" s="10" t="s">
        <v>4898</v>
      </c>
      <c r="AK35" s="10" t="s">
        <v>5</v>
      </c>
      <c r="AL35" s="17">
        <v>46156</v>
      </c>
      <c r="AM35" s="11" t="s">
        <v>6791</v>
      </c>
      <c r="AN35" s="21">
        <f>AL35+7</f>
        <v>46163</v>
      </c>
      <c r="AO35" s="17">
        <v>46173</v>
      </c>
      <c r="AP35" s="10">
        <f>AO35-AN35</f>
        <v>10</v>
      </c>
      <c r="AQ35" s="149" t="s">
        <v>6825</v>
      </c>
      <c r="AR35" s="17"/>
      <c r="AS35" s="17"/>
      <c r="AT35" s="17"/>
      <c r="AU35" s="17"/>
      <c r="AV35" s="17"/>
      <c r="AW35" s="123"/>
      <c r="AX35" s="17"/>
      <c r="AY35" s="17"/>
      <c r="AZ35" s="17"/>
      <c r="BA35" s="17"/>
      <c r="BB35" s="17"/>
      <c r="BC35" s="17"/>
      <c r="BD35" s="17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368"/>
    </row>
    <row r="36" spans="1:79" s="381" customFormat="1" ht="42" customHeight="1" x14ac:dyDescent="0.25">
      <c r="A36" s="367">
        <v>730007</v>
      </c>
      <c r="B36" s="12" t="s">
        <v>5</v>
      </c>
      <c r="C36" s="13" t="s">
        <v>725</v>
      </c>
      <c r="D36" s="10" t="s">
        <v>1424</v>
      </c>
      <c r="E36" s="12" t="s">
        <v>1423</v>
      </c>
      <c r="F36" s="10" t="s">
        <v>1427</v>
      </c>
      <c r="G36" s="10" t="s">
        <v>30</v>
      </c>
      <c r="H36" s="10" t="s">
        <v>145</v>
      </c>
      <c r="I36" s="16" t="s">
        <v>18</v>
      </c>
      <c r="J36" s="53">
        <v>45640</v>
      </c>
      <c r="K36" s="13" t="s">
        <v>1428</v>
      </c>
      <c r="L36" s="53">
        <f t="shared" si="0"/>
        <v>45647</v>
      </c>
      <c r="M36" s="53">
        <v>45651</v>
      </c>
      <c r="N36" s="92">
        <f t="shared" si="5"/>
        <v>4</v>
      </c>
      <c r="O36" s="10" t="s">
        <v>1480</v>
      </c>
      <c r="P36" s="12" t="s">
        <v>18</v>
      </c>
      <c r="Q36" s="21">
        <v>46133</v>
      </c>
      <c r="R36" s="10" t="s">
        <v>6477</v>
      </c>
      <c r="S36" s="21">
        <f>Q36+7</f>
        <v>46140</v>
      </c>
      <c r="T36" s="21">
        <v>46146</v>
      </c>
      <c r="U36" s="95">
        <f>T36-S36</f>
        <v>6</v>
      </c>
      <c r="V36" s="10" t="s">
        <v>6498</v>
      </c>
      <c r="W36" s="10" t="s">
        <v>18</v>
      </c>
      <c r="X36" s="21">
        <v>46202</v>
      </c>
      <c r="Y36" s="10" t="s">
        <v>7143</v>
      </c>
      <c r="Z36" s="21">
        <f>X36+7</f>
        <v>46209</v>
      </c>
      <c r="AA36" s="21">
        <v>46215</v>
      </c>
      <c r="AB36" s="95">
        <f>AA36-Z36</f>
        <v>6</v>
      </c>
      <c r="AC36" s="10" t="s">
        <v>7157</v>
      </c>
      <c r="AD36" s="10" t="s">
        <v>5</v>
      </c>
      <c r="AE36" s="21">
        <v>46217</v>
      </c>
      <c r="AF36" s="10" t="s">
        <v>7285</v>
      </c>
      <c r="AG36" s="21">
        <f>AE36+7</f>
        <v>46224</v>
      </c>
      <c r="AH36" s="21">
        <v>46230</v>
      </c>
      <c r="AI36" s="95">
        <f>AH36-AG36</f>
        <v>6</v>
      </c>
      <c r="AJ36" s="151" t="s">
        <v>7296</v>
      </c>
      <c r="AK36" s="10"/>
      <c r="AL36" s="17"/>
      <c r="AM36" s="11"/>
      <c r="AN36" s="11"/>
      <c r="AO36" s="17"/>
      <c r="AP36" s="123"/>
      <c r="AQ36" s="17"/>
      <c r="AR36" s="17"/>
      <c r="AS36" s="17"/>
      <c r="AT36" s="17"/>
      <c r="AU36" s="17"/>
      <c r="AV36" s="17"/>
      <c r="AW36" s="123"/>
      <c r="AX36" s="17"/>
      <c r="AY36" s="17"/>
      <c r="AZ36" s="17"/>
      <c r="BA36" s="17"/>
      <c r="BB36" s="17"/>
      <c r="BC36" s="17"/>
      <c r="BD36" s="17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368"/>
    </row>
    <row r="37" spans="1:79" s="381" customFormat="1" ht="42" customHeight="1" x14ac:dyDescent="0.25">
      <c r="A37" s="367">
        <v>730007</v>
      </c>
      <c r="B37" s="12" t="s">
        <v>5</v>
      </c>
      <c r="C37" s="13" t="s">
        <v>588</v>
      </c>
      <c r="D37" s="10" t="s">
        <v>1440</v>
      </c>
      <c r="E37" s="12" t="s">
        <v>1441</v>
      </c>
      <c r="F37" s="10" t="s">
        <v>1442</v>
      </c>
      <c r="G37" s="10" t="s">
        <v>30</v>
      </c>
      <c r="H37" s="10" t="s">
        <v>145</v>
      </c>
      <c r="I37" s="16" t="s">
        <v>3</v>
      </c>
      <c r="J37" s="53">
        <v>45641</v>
      </c>
      <c r="K37" s="13" t="s">
        <v>1443</v>
      </c>
      <c r="L37" s="53">
        <f t="shared" si="0"/>
        <v>45648</v>
      </c>
      <c r="M37" s="53">
        <v>45648</v>
      </c>
      <c r="N37" s="92">
        <f t="shared" si="5"/>
        <v>0</v>
      </c>
      <c r="O37" s="10" t="s">
        <v>1485</v>
      </c>
      <c r="P37" s="12" t="s">
        <v>18</v>
      </c>
      <c r="Q37" s="21">
        <v>45687</v>
      </c>
      <c r="R37" s="10" t="s">
        <v>2212</v>
      </c>
      <c r="S37" s="21">
        <f>Q37+7</f>
        <v>45694</v>
      </c>
      <c r="T37" s="21">
        <v>45691</v>
      </c>
      <c r="U37" s="95">
        <f>T37-S37</f>
        <v>-3</v>
      </c>
      <c r="V37" s="10" t="s">
        <v>2229</v>
      </c>
      <c r="W37" s="10" t="s">
        <v>5</v>
      </c>
      <c r="X37" s="21">
        <v>46006</v>
      </c>
      <c r="Y37" s="10" t="s">
        <v>5240</v>
      </c>
      <c r="Z37" s="21">
        <f>X37+7</f>
        <v>46013</v>
      </c>
      <c r="AA37" s="21">
        <v>46032</v>
      </c>
      <c r="AB37" s="95">
        <f>AA37-Z37</f>
        <v>19</v>
      </c>
      <c r="AC37" s="10" t="s">
        <v>5251</v>
      </c>
      <c r="AD37" s="10"/>
      <c r="AE37" s="21"/>
      <c r="AF37" s="10"/>
      <c r="AG37" s="10"/>
      <c r="AH37" s="21"/>
      <c r="AI37" s="95"/>
      <c r="AJ37" s="10"/>
      <c r="AK37" s="10"/>
      <c r="AL37" s="17"/>
      <c r="AM37" s="11"/>
      <c r="AN37" s="11"/>
      <c r="AO37" s="17"/>
      <c r="AP37" s="123"/>
      <c r="AQ37" s="17"/>
      <c r="AR37" s="17"/>
      <c r="AS37" s="17"/>
      <c r="AT37" s="17"/>
      <c r="AU37" s="17"/>
      <c r="AV37" s="17"/>
      <c r="AW37" s="123"/>
      <c r="AX37" s="17"/>
      <c r="AY37" s="17"/>
      <c r="AZ37" s="17"/>
      <c r="BA37" s="17"/>
      <c r="BB37" s="17"/>
      <c r="BC37" s="17"/>
      <c r="BD37" s="17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368"/>
    </row>
    <row r="38" spans="1:79" s="381" customFormat="1" ht="42" customHeight="1" x14ac:dyDescent="0.25">
      <c r="A38" s="367">
        <v>730007</v>
      </c>
      <c r="B38" s="12" t="s">
        <v>18</v>
      </c>
      <c r="C38" s="13" t="s">
        <v>54</v>
      </c>
      <c r="D38" s="10" t="s">
        <v>1463</v>
      </c>
      <c r="E38" s="12" t="s">
        <v>1465</v>
      </c>
      <c r="F38" s="10" t="s">
        <v>1467</v>
      </c>
      <c r="G38" s="10" t="s">
        <v>30</v>
      </c>
      <c r="H38" s="10" t="s">
        <v>145</v>
      </c>
      <c r="I38" s="16" t="s">
        <v>18</v>
      </c>
      <c r="J38" s="53">
        <v>45642</v>
      </c>
      <c r="K38" s="13" t="s">
        <v>1468</v>
      </c>
      <c r="L38" s="53">
        <f t="shared" si="0"/>
        <v>45649</v>
      </c>
      <c r="M38" s="53">
        <v>45651</v>
      </c>
      <c r="N38" s="92">
        <f t="shared" si="5"/>
        <v>2</v>
      </c>
      <c r="O38" s="10" t="s">
        <v>1498</v>
      </c>
      <c r="P38" s="58"/>
      <c r="Q38" s="21"/>
      <c r="R38" s="10"/>
      <c r="S38" s="10"/>
      <c r="T38" s="21"/>
      <c r="U38" s="95"/>
      <c r="V38" s="10"/>
      <c r="W38" s="10"/>
      <c r="X38" s="21"/>
      <c r="Y38" s="10"/>
      <c r="Z38" s="10"/>
      <c r="AA38" s="21"/>
      <c r="AB38" s="95"/>
      <c r="AC38" s="10"/>
      <c r="AD38" s="10"/>
      <c r="AE38" s="21"/>
      <c r="AF38" s="10"/>
      <c r="AG38" s="10"/>
      <c r="AH38" s="21"/>
      <c r="AI38" s="95"/>
      <c r="AJ38" s="10"/>
      <c r="AK38" s="10"/>
      <c r="AL38" s="17"/>
      <c r="AM38" s="11"/>
      <c r="AN38" s="11"/>
      <c r="AO38" s="17"/>
      <c r="AP38" s="123"/>
      <c r="AQ38" s="17"/>
      <c r="AR38" s="17"/>
      <c r="AS38" s="17"/>
      <c r="AT38" s="17"/>
      <c r="AU38" s="17"/>
      <c r="AV38" s="17"/>
      <c r="AW38" s="123"/>
      <c r="AX38" s="17"/>
      <c r="AY38" s="17"/>
      <c r="AZ38" s="17"/>
      <c r="BA38" s="17"/>
      <c r="BB38" s="17"/>
      <c r="BC38" s="17"/>
      <c r="BD38" s="17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368"/>
    </row>
    <row r="39" spans="1:79" s="381" customFormat="1" ht="42" customHeight="1" x14ac:dyDescent="0.25">
      <c r="A39" s="367">
        <v>730007</v>
      </c>
      <c r="B39" s="12" t="s">
        <v>5</v>
      </c>
      <c r="C39" s="13" t="s">
        <v>54</v>
      </c>
      <c r="D39" s="10" t="s">
        <v>1464</v>
      </c>
      <c r="E39" s="12" t="s">
        <v>1466</v>
      </c>
      <c r="F39" s="10" t="s">
        <v>1176</v>
      </c>
      <c r="G39" s="10" t="s">
        <v>30</v>
      </c>
      <c r="H39" s="10" t="s">
        <v>145</v>
      </c>
      <c r="I39" s="16" t="s">
        <v>5</v>
      </c>
      <c r="J39" s="53">
        <v>45642</v>
      </c>
      <c r="K39" s="13" t="s">
        <v>1469</v>
      </c>
      <c r="L39" s="53">
        <f t="shared" si="0"/>
        <v>45649</v>
      </c>
      <c r="M39" s="53">
        <v>45648</v>
      </c>
      <c r="N39" s="92">
        <f t="shared" si="5"/>
        <v>-1</v>
      </c>
      <c r="O39" s="10" t="s">
        <v>1499</v>
      </c>
      <c r="P39" s="10"/>
      <c r="Q39" s="21"/>
      <c r="R39" s="10"/>
      <c r="S39" s="10"/>
      <c r="T39" s="21"/>
      <c r="U39" s="95"/>
      <c r="V39" s="10"/>
      <c r="W39" s="10"/>
      <c r="X39" s="21"/>
      <c r="Y39" s="10"/>
      <c r="Z39" s="10"/>
      <c r="AA39" s="21"/>
      <c r="AB39" s="95"/>
      <c r="AC39" s="10"/>
      <c r="AD39" s="10"/>
      <c r="AE39" s="21"/>
      <c r="AF39" s="10"/>
      <c r="AG39" s="10"/>
      <c r="AH39" s="21"/>
      <c r="AI39" s="95"/>
      <c r="AJ39" s="10"/>
      <c r="AK39" s="10"/>
      <c r="AL39" s="17"/>
      <c r="AM39" s="11"/>
      <c r="AN39" s="11"/>
      <c r="AO39" s="17"/>
      <c r="AP39" s="123"/>
      <c r="AQ39" s="17"/>
      <c r="AR39" s="17"/>
      <c r="AS39" s="17"/>
      <c r="AT39" s="17"/>
      <c r="AU39" s="17"/>
      <c r="AV39" s="17"/>
      <c r="AW39" s="123"/>
      <c r="AX39" s="17"/>
      <c r="AY39" s="17"/>
      <c r="AZ39" s="17"/>
      <c r="BA39" s="17"/>
      <c r="BB39" s="17"/>
      <c r="BC39" s="17"/>
      <c r="BD39" s="17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368"/>
    </row>
    <row r="40" spans="1:79" s="381" customFormat="1" ht="42" customHeight="1" x14ac:dyDescent="0.25">
      <c r="A40" s="367">
        <v>730007</v>
      </c>
      <c r="B40" s="12" t="s">
        <v>4</v>
      </c>
      <c r="C40" s="13" t="s">
        <v>2384</v>
      </c>
      <c r="D40" s="10" t="s">
        <v>1475</v>
      </c>
      <c r="E40" s="12" t="s">
        <v>1476</v>
      </c>
      <c r="F40" s="10" t="s">
        <v>1477</v>
      </c>
      <c r="G40" s="10" t="s">
        <v>30</v>
      </c>
      <c r="H40" s="10" t="s">
        <v>145</v>
      </c>
      <c r="I40" s="16" t="s">
        <v>18</v>
      </c>
      <c r="J40" s="53">
        <v>45642</v>
      </c>
      <c r="K40" s="13" t="s">
        <v>1478</v>
      </c>
      <c r="L40" s="53">
        <f t="shared" si="0"/>
        <v>45649</v>
      </c>
      <c r="M40" s="53">
        <v>45648</v>
      </c>
      <c r="N40" s="92">
        <f t="shared" si="5"/>
        <v>-1</v>
      </c>
      <c r="O40" s="10" t="s">
        <v>1502</v>
      </c>
      <c r="P40" s="16" t="s">
        <v>18</v>
      </c>
      <c r="Q40" s="21">
        <v>46125</v>
      </c>
      <c r="R40" s="10" t="s">
        <v>6364</v>
      </c>
      <c r="S40" s="53">
        <f>Q40+7</f>
        <v>46132</v>
      </c>
      <c r="T40" s="21">
        <v>46138</v>
      </c>
      <c r="U40" s="95">
        <f>T40-S40</f>
        <v>6</v>
      </c>
      <c r="V40" s="10" t="s">
        <v>6381</v>
      </c>
      <c r="W40" s="10" t="s">
        <v>18</v>
      </c>
      <c r="X40" s="21">
        <v>46156</v>
      </c>
      <c r="Y40" s="10" t="s">
        <v>6796</v>
      </c>
      <c r="Z40" s="21">
        <f>X40+7</f>
        <v>46163</v>
      </c>
      <c r="AA40" s="21">
        <v>46173</v>
      </c>
      <c r="AB40" s="92">
        <f>AA40-Z40</f>
        <v>10</v>
      </c>
      <c r="AC40" s="10" t="s">
        <v>6826</v>
      </c>
      <c r="AD40" s="10" t="s">
        <v>18</v>
      </c>
      <c r="AE40" s="21">
        <v>46182</v>
      </c>
      <c r="AF40" s="10" t="s">
        <v>6958</v>
      </c>
      <c r="AG40" s="21">
        <f>AE40+7</f>
        <v>46189</v>
      </c>
      <c r="AH40" s="21">
        <v>46194</v>
      </c>
      <c r="AI40" s="92">
        <f>AH40-AG40</f>
        <v>5</v>
      </c>
      <c r="AJ40" s="10" t="s">
        <v>6975</v>
      </c>
      <c r="AK40" s="10" t="s">
        <v>18</v>
      </c>
      <c r="AL40" s="17">
        <v>46197</v>
      </c>
      <c r="AM40" s="11" t="s">
        <v>7082</v>
      </c>
      <c r="AN40" s="53">
        <f>AL40+7</f>
        <v>46204</v>
      </c>
      <c r="AO40" s="21">
        <v>46209</v>
      </c>
      <c r="AP40" s="92">
        <f>AO40-AN40</f>
        <v>5</v>
      </c>
      <c r="AQ40" s="17" t="s">
        <v>7091</v>
      </c>
      <c r="AR40" s="17" t="s">
        <v>4</v>
      </c>
      <c r="AS40" s="17">
        <v>46256</v>
      </c>
      <c r="AT40" s="17" t="s">
        <v>7500</v>
      </c>
      <c r="AU40" s="21">
        <f>AS40+7</f>
        <v>46263</v>
      </c>
      <c r="AV40" s="17"/>
      <c r="AW40" s="10">
        <f>AV40-AU40</f>
        <v>-46263</v>
      </c>
      <c r="AX40" s="17" t="s">
        <v>7506</v>
      </c>
      <c r="AY40" s="17"/>
      <c r="AZ40" s="17"/>
      <c r="BA40" s="17"/>
      <c r="BB40" s="17"/>
      <c r="BC40" s="17"/>
      <c r="BD40" s="17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368"/>
    </row>
    <row r="41" spans="1:79" s="381" customFormat="1" ht="42" customHeight="1" x14ac:dyDescent="0.25">
      <c r="A41" s="367">
        <v>730007</v>
      </c>
      <c r="B41" s="12" t="s">
        <v>5</v>
      </c>
      <c r="C41" s="13" t="s">
        <v>208</v>
      </c>
      <c r="D41" s="10" t="s">
        <v>1517</v>
      </c>
      <c r="E41" s="12" t="s">
        <v>1518</v>
      </c>
      <c r="F41" s="10" t="s">
        <v>1519</v>
      </c>
      <c r="G41" s="10" t="s">
        <v>30</v>
      </c>
      <c r="H41" s="10" t="s">
        <v>145</v>
      </c>
      <c r="I41" s="16" t="s">
        <v>18</v>
      </c>
      <c r="J41" s="53">
        <v>45643</v>
      </c>
      <c r="K41" s="13" t="s">
        <v>1520</v>
      </c>
      <c r="L41" s="53">
        <f t="shared" si="0"/>
        <v>45650</v>
      </c>
      <c r="M41" s="53">
        <v>45648</v>
      </c>
      <c r="N41" s="92">
        <f t="shared" si="5"/>
        <v>-2</v>
      </c>
      <c r="O41" s="10" t="s">
        <v>1534</v>
      </c>
      <c r="P41" s="10" t="s">
        <v>5</v>
      </c>
      <c r="Q41" s="21">
        <v>45657</v>
      </c>
      <c r="R41" s="53" t="s">
        <v>1753</v>
      </c>
      <c r="S41" s="53">
        <f>Q41+7</f>
        <v>45664</v>
      </c>
      <c r="T41" s="21">
        <v>45663</v>
      </c>
      <c r="U41" s="95">
        <f>T41-S41</f>
        <v>-1</v>
      </c>
      <c r="V41" s="10" t="s">
        <v>1760</v>
      </c>
      <c r="W41" s="10"/>
      <c r="X41" s="21"/>
      <c r="Y41" s="10"/>
      <c r="Z41" s="10"/>
      <c r="AA41" s="21"/>
      <c r="AB41" s="95"/>
      <c r="AC41" s="10"/>
      <c r="AD41" s="10"/>
      <c r="AE41" s="21"/>
      <c r="AF41" s="10"/>
      <c r="AG41" s="10"/>
      <c r="AH41" s="21"/>
      <c r="AI41" s="95"/>
      <c r="AJ41" s="10"/>
      <c r="AK41" s="10"/>
      <c r="AL41" s="17"/>
      <c r="AM41" s="11"/>
      <c r="AN41" s="11"/>
      <c r="AO41" s="17"/>
      <c r="AP41" s="123"/>
      <c r="AQ41" s="17"/>
      <c r="AR41" s="17"/>
      <c r="AS41" s="17"/>
      <c r="AT41" s="17"/>
      <c r="AU41" s="17"/>
      <c r="AV41" s="17"/>
      <c r="AW41" s="123"/>
      <c r="AX41" s="17"/>
      <c r="AY41" s="17"/>
      <c r="AZ41" s="17"/>
      <c r="BA41" s="17"/>
      <c r="BB41" s="17"/>
      <c r="BC41" s="17"/>
      <c r="BD41" s="17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368"/>
    </row>
    <row r="42" spans="1:79" s="381" customFormat="1" ht="42" customHeight="1" x14ac:dyDescent="0.25">
      <c r="A42" s="367">
        <v>730007</v>
      </c>
      <c r="B42" s="58" t="s">
        <v>508</v>
      </c>
      <c r="C42" s="13" t="s">
        <v>627</v>
      </c>
      <c r="D42" s="10" t="s">
        <v>1525</v>
      </c>
      <c r="E42" s="12" t="s">
        <v>1526</v>
      </c>
      <c r="F42" s="10" t="s">
        <v>1527</v>
      </c>
      <c r="G42" s="10" t="s">
        <v>30</v>
      </c>
      <c r="H42" s="10" t="s">
        <v>145</v>
      </c>
      <c r="I42" s="16" t="s">
        <v>3</v>
      </c>
      <c r="J42" s="53">
        <v>45644</v>
      </c>
      <c r="K42" s="13" t="s">
        <v>1528</v>
      </c>
      <c r="L42" s="53">
        <f t="shared" si="0"/>
        <v>45651</v>
      </c>
      <c r="M42" s="53">
        <v>45648</v>
      </c>
      <c r="N42" s="92">
        <f t="shared" si="5"/>
        <v>-3</v>
      </c>
      <c r="O42" s="10" t="s">
        <v>1541</v>
      </c>
      <c r="P42" s="58" t="s">
        <v>508</v>
      </c>
      <c r="Q42" s="21">
        <v>45824</v>
      </c>
      <c r="R42" s="150" t="s">
        <v>3504</v>
      </c>
      <c r="S42" s="10"/>
      <c r="T42" s="21"/>
      <c r="U42" s="95"/>
      <c r="V42" s="10"/>
      <c r="W42" s="16"/>
      <c r="X42" s="21"/>
      <c r="Y42" s="10"/>
      <c r="Z42" s="10"/>
      <c r="AA42" s="21"/>
      <c r="AB42" s="95"/>
      <c r="AC42" s="10"/>
      <c r="AD42" s="10"/>
      <c r="AE42" s="21"/>
      <c r="AF42" s="10"/>
      <c r="AG42" s="10"/>
      <c r="AH42" s="21"/>
      <c r="AI42" s="95"/>
      <c r="AJ42" s="10"/>
      <c r="AK42" s="10"/>
      <c r="AL42" s="17"/>
      <c r="AM42" s="11"/>
      <c r="AN42" s="11"/>
      <c r="AO42" s="17"/>
      <c r="AP42" s="123"/>
      <c r="AQ42" s="17"/>
      <c r="AR42" s="17"/>
      <c r="AS42" s="17"/>
      <c r="AT42" s="17"/>
      <c r="AU42" s="17"/>
      <c r="AV42" s="17"/>
      <c r="AW42" s="123"/>
      <c r="AX42" s="17"/>
      <c r="AY42" s="17"/>
      <c r="AZ42" s="17"/>
      <c r="BA42" s="17"/>
      <c r="BB42" s="17"/>
      <c r="BC42" s="17"/>
      <c r="BD42" s="17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368"/>
    </row>
    <row r="43" spans="1:79" s="381" customFormat="1" ht="42" customHeight="1" x14ac:dyDescent="0.25">
      <c r="A43" s="367">
        <v>730007</v>
      </c>
      <c r="B43" s="12" t="s">
        <v>5</v>
      </c>
      <c r="C43" s="13" t="s">
        <v>2384</v>
      </c>
      <c r="D43" s="10" t="s">
        <v>1650</v>
      </c>
      <c r="E43" s="12" t="s">
        <v>1651</v>
      </c>
      <c r="F43" s="16" t="s">
        <v>1649</v>
      </c>
      <c r="G43" s="10" t="s">
        <v>30</v>
      </c>
      <c r="H43" s="10" t="s">
        <v>145</v>
      </c>
      <c r="I43" s="16" t="s">
        <v>18</v>
      </c>
      <c r="J43" s="53">
        <v>45651</v>
      </c>
      <c r="K43" s="13" t="s">
        <v>1652</v>
      </c>
      <c r="L43" s="53">
        <f t="shared" si="0"/>
        <v>45658</v>
      </c>
      <c r="M43" s="53">
        <v>45666</v>
      </c>
      <c r="N43" s="92">
        <f t="shared" si="5"/>
        <v>8</v>
      </c>
      <c r="O43" s="10" t="s">
        <v>1676</v>
      </c>
      <c r="P43" s="12" t="s">
        <v>18</v>
      </c>
      <c r="Q43" s="21">
        <v>45724</v>
      </c>
      <c r="R43" s="10" t="s">
        <v>2701</v>
      </c>
      <c r="S43" s="21">
        <f>Q43+7</f>
        <v>45731</v>
      </c>
      <c r="T43" s="21">
        <v>45727</v>
      </c>
      <c r="U43" s="95">
        <f>T43-S43</f>
        <v>-4</v>
      </c>
      <c r="V43" s="10" t="s">
        <v>2740</v>
      </c>
      <c r="W43" s="10" t="s">
        <v>18</v>
      </c>
      <c r="X43" s="21">
        <v>45931</v>
      </c>
      <c r="Y43" s="10" t="s">
        <v>4350</v>
      </c>
      <c r="Z43" s="21">
        <f>X43+7</f>
        <v>45938</v>
      </c>
      <c r="AA43" s="21">
        <v>45939</v>
      </c>
      <c r="AB43" s="92">
        <f>AA43-Z43</f>
        <v>1</v>
      </c>
      <c r="AC43" s="10" t="s">
        <v>4363</v>
      </c>
      <c r="AD43" s="10" t="s">
        <v>18</v>
      </c>
      <c r="AE43" s="21">
        <v>46076</v>
      </c>
      <c r="AF43" s="10" t="s">
        <v>5889</v>
      </c>
      <c r="AG43" s="21">
        <f>AE43+7</f>
        <v>46083</v>
      </c>
      <c r="AH43" s="21">
        <v>46079</v>
      </c>
      <c r="AI43" s="95">
        <f>AH43-AG43</f>
        <v>-4</v>
      </c>
      <c r="AJ43" s="10" t="s">
        <v>5888</v>
      </c>
      <c r="AK43" s="10" t="s">
        <v>18</v>
      </c>
      <c r="AL43" s="17">
        <v>46163</v>
      </c>
      <c r="AM43" s="11" t="s">
        <v>6881</v>
      </c>
      <c r="AN43" s="53">
        <f>AL43+7</f>
        <v>46170</v>
      </c>
      <c r="AO43" s="21">
        <v>46180</v>
      </c>
      <c r="AP43" s="92">
        <f>AO43-AN43</f>
        <v>10</v>
      </c>
      <c r="AQ43" s="17" t="s">
        <v>6896</v>
      </c>
      <c r="AR43" s="17" t="s">
        <v>5</v>
      </c>
      <c r="AS43" s="17">
        <v>46201</v>
      </c>
      <c r="AT43" s="17" t="s">
        <v>7118</v>
      </c>
      <c r="AU43" s="21">
        <f>AS43+7</f>
        <v>46208</v>
      </c>
      <c r="AV43" s="17">
        <v>46208</v>
      </c>
      <c r="AW43" s="10">
        <f>AV43-AU43</f>
        <v>0</v>
      </c>
      <c r="AX43" s="17" t="s">
        <v>7117</v>
      </c>
      <c r="AY43" s="17"/>
      <c r="AZ43" s="17"/>
      <c r="BA43" s="17"/>
      <c r="BB43" s="17"/>
      <c r="BC43" s="17"/>
      <c r="BD43" s="17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368"/>
    </row>
    <row r="44" spans="1:79" s="381" customFormat="1" ht="42" customHeight="1" x14ac:dyDescent="0.25">
      <c r="A44" s="367">
        <v>730007</v>
      </c>
      <c r="B44" s="12" t="s">
        <v>5</v>
      </c>
      <c r="C44" s="13" t="s">
        <v>54</v>
      </c>
      <c r="D44" s="10" t="s">
        <v>1699</v>
      </c>
      <c r="E44" s="12" t="s">
        <v>1700</v>
      </c>
      <c r="F44" s="16" t="s">
        <v>1701</v>
      </c>
      <c r="G44" s="10" t="s">
        <v>30</v>
      </c>
      <c r="H44" s="10" t="s">
        <v>145</v>
      </c>
      <c r="I44" s="16" t="s">
        <v>5</v>
      </c>
      <c r="J44" s="53">
        <v>45655</v>
      </c>
      <c r="K44" s="13" t="s">
        <v>1702</v>
      </c>
      <c r="L44" s="53">
        <f t="shared" si="0"/>
        <v>45662</v>
      </c>
      <c r="M44" s="53">
        <v>45663</v>
      </c>
      <c r="N44" s="92">
        <f t="shared" si="5"/>
        <v>1</v>
      </c>
      <c r="O44" s="10" t="s">
        <v>1705</v>
      </c>
      <c r="P44" s="10"/>
      <c r="Q44" s="21"/>
      <c r="R44" s="10"/>
      <c r="S44" s="10"/>
      <c r="T44" s="21"/>
      <c r="U44" s="95"/>
      <c r="V44" s="10"/>
      <c r="W44" s="10"/>
      <c r="X44" s="21"/>
      <c r="Y44" s="10"/>
      <c r="Z44" s="10"/>
      <c r="AA44" s="21"/>
      <c r="AB44" s="95"/>
      <c r="AC44" s="10"/>
      <c r="AD44" s="10"/>
      <c r="AE44" s="21"/>
      <c r="AF44" s="10"/>
      <c r="AG44" s="10"/>
      <c r="AH44" s="21"/>
      <c r="AI44" s="95"/>
      <c r="AJ44" s="10"/>
      <c r="AK44" s="10"/>
      <c r="AL44" s="17"/>
      <c r="AM44" s="11"/>
      <c r="AN44" s="11"/>
      <c r="AO44" s="17"/>
      <c r="AP44" s="123"/>
      <c r="AQ44" s="17"/>
      <c r="AR44" s="17"/>
      <c r="AS44" s="17"/>
      <c r="AT44" s="17"/>
      <c r="AU44" s="17"/>
      <c r="AV44" s="17"/>
      <c r="AW44" s="123"/>
      <c r="AX44" s="17"/>
      <c r="AY44" s="17"/>
      <c r="AZ44" s="17"/>
      <c r="BA44" s="17"/>
      <c r="BB44" s="17"/>
      <c r="BC44" s="17"/>
      <c r="BD44" s="17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368"/>
    </row>
    <row r="45" spans="1:79" s="381" customFormat="1" ht="42" customHeight="1" x14ac:dyDescent="0.25">
      <c r="A45" s="367">
        <v>730007</v>
      </c>
      <c r="B45" s="12" t="s">
        <v>5</v>
      </c>
      <c r="C45" s="13" t="s">
        <v>208</v>
      </c>
      <c r="D45" s="10" t="s">
        <v>1707</v>
      </c>
      <c r="E45" s="12" t="s">
        <v>1708</v>
      </c>
      <c r="F45" s="16" t="s">
        <v>1709</v>
      </c>
      <c r="G45" s="10" t="s">
        <v>30</v>
      </c>
      <c r="H45" s="10" t="s">
        <v>145</v>
      </c>
      <c r="I45" s="16" t="s">
        <v>3</v>
      </c>
      <c r="J45" s="53">
        <v>45656</v>
      </c>
      <c r="K45" s="13" t="s">
        <v>1710</v>
      </c>
      <c r="L45" s="53">
        <f t="shared" si="0"/>
        <v>45663</v>
      </c>
      <c r="M45" s="53">
        <v>45663</v>
      </c>
      <c r="N45" s="92">
        <f t="shared" si="5"/>
        <v>0</v>
      </c>
      <c r="O45" s="10" t="s">
        <v>1736</v>
      </c>
      <c r="P45" s="10" t="s">
        <v>5</v>
      </c>
      <c r="Q45" s="21">
        <v>45666</v>
      </c>
      <c r="R45" s="10" t="s">
        <v>1905</v>
      </c>
      <c r="S45" s="21">
        <f>Q45+7</f>
        <v>45673</v>
      </c>
      <c r="T45" s="21">
        <v>45677</v>
      </c>
      <c r="U45" s="92">
        <f>T45-S45</f>
        <v>4</v>
      </c>
      <c r="V45" s="10" t="s">
        <v>1916</v>
      </c>
      <c r="W45" s="10"/>
      <c r="X45" s="21"/>
      <c r="Y45" s="10"/>
      <c r="Z45" s="10"/>
      <c r="AA45" s="21"/>
      <c r="AB45" s="95"/>
      <c r="AC45" s="10"/>
      <c r="AD45" s="10"/>
      <c r="AE45" s="21"/>
      <c r="AF45" s="10"/>
      <c r="AG45" s="10"/>
      <c r="AH45" s="21"/>
      <c r="AI45" s="95"/>
      <c r="AJ45" s="10"/>
      <c r="AK45" s="10"/>
      <c r="AL45" s="17"/>
      <c r="AM45" s="11"/>
      <c r="AN45" s="11"/>
      <c r="AO45" s="17"/>
      <c r="AP45" s="123"/>
      <c r="AQ45" s="17"/>
      <c r="AR45" s="17"/>
      <c r="AS45" s="17"/>
      <c r="AT45" s="17"/>
      <c r="AU45" s="17"/>
      <c r="AV45" s="17"/>
      <c r="AW45" s="123"/>
      <c r="AX45" s="17"/>
      <c r="AY45" s="17"/>
      <c r="AZ45" s="17"/>
      <c r="BA45" s="17"/>
      <c r="BB45" s="17"/>
      <c r="BC45" s="17"/>
      <c r="BD45" s="17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368"/>
    </row>
    <row r="46" spans="1:79" s="381" customFormat="1" ht="42" customHeight="1" x14ac:dyDescent="0.25">
      <c r="A46" s="367">
        <v>730007</v>
      </c>
      <c r="B46" s="12" t="s">
        <v>5</v>
      </c>
      <c r="C46" s="13" t="s">
        <v>725</v>
      </c>
      <c r="D46" s="10" t="s">
        <v>1754</v>
      </c>
      <c r="E46" s="12" t="s">
        <v>1755</v>
      </c>
      <c r="F46" s="16" t="s">
        <v>1756</v>
      </c>
      <c r="G46" s="10" t="s">
        <v>30</v>
      </c>
      <c r="H46" s="10" t="s">
        <v>145</v>
      </c>
      <c r="I46" s="16" t="s">
        <v>3</v>
      </c>
      <c r="J46" s="53">
        <v>45657</v>
      </c>
      <c r="K46" s="13" t="s">
        <v>1757</v>
      </c>
      <c r="L46" s="53">
        <f t="shared" si="0"/>
        <v>45664</v>
      </c>
      <c r="M46" s="53">
        <v>45665</v>
      </c>
      <c r="N46" s="92">
        <f t="shared" si="5"/>
        <v>1</v>
      </c>
      <c r="O46" s="10" t="s">
        <v>1761</v>
      </c>
      <c r="P46" s="10" t="s">
        <v>3</v>
      </c>
      <c r="Q46" s="21">
        <v>45677</v>
      </c>
      <c r="R46" s="10" t="s">
        <v>2045</v>
      </c>
      <c r="S46" s="21">
        <f>Q46+7</f>
        <v>45684</v>
      </c>
      <c r="T46" s="21">
        <v>45683</v>
      </c>
      <c r="U46" s="92">
        <f>T46-S46</f>
        <v>-1</v>
      </c>
      <c r="V46" s="10" t="s">
        <v>2063</v>
      </c>
      <c r="W46" s="10" t="s">
        <v>3</v>
      </c>
      <c r="X46" s="21">
        <v>45706</v>
      </c>
      <c r="Y46" s="10" t="s">
        <v>2508</v>
      </c>
      <c r="Z46" s="21">
        <f>X46+7</f>
        <v>45713</v>
      </c>
      <c r="AA46" s="21">
        <v>45725</v>
      </c>
      <c r="AB46" s="92">
        <f>AA46-Z46</f>
        <v>12</v>
      </c>
      <c r="AC46" s="10" t="s">
        <v>2530</v>
      </c>
      <c r="AD46" s="10" t="s">
        <v>5</v>
      </c>
      <c r="AE46" s="21">
        <v>45740</v>
      </c>
      <c r="AF46" s="10" t="s">
        <v>2900</v>
      </c>
      <c r="AG46" s="21">
        <f>AE46+7</f>
        <v>45747</v>
      </c>
      <c r="AH46" s="21">
        <v>45761</v>
      </c>
      <c r="AI46" s="95">
        <f>AH46-AG46</f>
        <v>14</v>
      </c>
      <c r="AJ46" s="10" t="s">
        <v>2910</v>
      </c>
      <c r="AK46" s="10"/>
      <c r="AL46" s="17"/>
      <c r="AM46" s="11"/>
      <c r="AN46" s="11"/>
      <c r="AO46" s="17"/>
      <c r="AP46" s="123"/>
      <c r="AQ46" s="17"/>
      <c r="AR46" s="17"/>
      <c r="AS46" s="17"/>
      <c r="AT46" s="17"/>
      <c r="AU46" s="17"/>
      <c r="AV46" s="17"/>
      <c r="AW46" s="123"/>
      <c r="AX46" s="17"/>
      <c r="AY46" s="17"/>
      <c r="AZ46" s="17"/>
      <c r="BA46" s="17"/>
      <c r="BB46" s="17"/>
      <c r="BC46" s="17"/>
      <c r="BD46" s="17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368"/>
    </row>
    <row r="47" spans="1:79" s="381" customFormat="1" ht="42" customHeight="1" x14ac:dyDescent="0.25">
      <c r="A47" s="367">
        <v>730007</v>
      </c>
      <c r="B47" s="12" t="s">
        <v>5</v>
      </c>
      <c r="C47" s="13" t="s">
        <v>588</v>
      </c>
      <c r="D47" s="10" t="s">
        <v>1779</v>
      </c>
      <c r="E47" s="12" t="s">
        <v>1780</v>
      </c>
      <c r="F47" s="16" t="s">
        <v>1781</v>
      </c>
      <c r="G47" s="10" t="s">
        <v>30</v>
      </c>
      <c r="H47" s="10" t="s">
        <v>145</v>
      </c>
      <c r="I47" s="16" t="s">
        <v>18</v>
      </c>
      <c r="J47" s="53">
        <v>45659</v>
      </c>
      <c r="K47" s="13" t="s">
        <v>1782</v>
      </c>
      <c r="L47" s="53">
        <f t="shared" si="0"/>
        <v>45666</v>
      </c>
      <c r="M47" s="53">
        <v>45670</v>
      </c>
      <c r="N47" s="92">
        <f t="shared" si="5"/>
        <v>4</v>
      </c>
      <c r="O47" s="10" t="s">
        <v>1787</v>
      </c>
      <c r="P47" s="10" t="s">
        <v>18</v>
      </c>
      <c r="Q47" s="21">
        <v>45789</v>
      </c>
      <c r="R47" s="10" t="s">
        <v>3255</v>
      </c>
      <c r="S47" s="21">
        <f>Q47+7</f>
        <v>45796</v>
      </c>
      <c r="T47" s="21">
        <v>45802</v>
      </c>
      <c r="U47" s="92">
        <f>T47-S47</f>
        <v>6</v>
      </c>
      <c r="V47" s="10" t="s">
        <v>3275</v>
      </c>
      <c r="W47" s="10" t="s">
        <v>5</v>
      </c>
      <c r="X47" s="21">
        <v>46077</v>
      </c>
      <c r="Y47" s="10" t="s">
        <v>5895</v>
      </c>
      <c r="Z47" s="21">
        <f>X47+7</f>
        <v>46084</v>
      </c>
      <c r="AA47" s="21">
        <v>46084</v>
      </c>
      <c r="AB47" s="92">
        <f>AA47-Z47</f>
        <v>0</v>
      </c>
      <c r="AC47" s="10" t="s">
        <v>5904</v>
      </c>
      <c r="AD47" s="10"/>
      <c r="AE47" s="21"/>
      <c r="AF47" s="10"/>
      <c r="AG47" s="10"/>
      <c r="AH47" s="21"/>
      <c r="AI47" s="95"/>
      <c r="AJ47" s="10"/>
      <c r="AK47" s="10"/>
      <c r="AL47" s="17"/>
      <c r="AM47" s="11"/>
      <c r="AN47" s="11"/>
      <c r="AO47" s="17"/>
      <c r="AP47" s="123"/>
      <c r="AQ47" s="17"/>
      <c r="AR47" s="17"/>
      <c r="AS47" s="17"/>
      <c r="AT47" s="17"/>
      <c r="AU47" s="17"/>
      <c r="AV47" s="17"/>
      <c r="AW47" s="123"/>
      <c r="AX47" s="17"/>
      <c r="AY47" s="17"/>
      <c r="AZ47" s="17"/>
      <c r="BA47" s="17"/>
      <c r="BB47" s="17"/>
      <c r="BC47" s="17"/>
      <c r="BD47" s="17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368"/>
    </row>
    <row r="48" spans="1:79" s="381" customFormat="1" ht="42" customHeight="1" x14ac:dyDescent="0.25">
      <c r="A48" s="367">
        <v>730007</v>
      </c>
      <c r="B48" s="12" t="s">
        <v>5</v>
      </c>
      <c r="C48" s="13" t="s">
        <v>725</v>
      </c>
      <c r="D48" s="10" t="s">
        <v>1798</v>
      </c>
      <c r="E48" s="12" t="s">
        <v>1799</v>
      </c>
      <c r="F48" s="16" t="s">
        <v>1800</v>
      </c>
      <c r="G48" s="10" t="s">
        <v>30</v>
      </c>
      <c r="H48" s="10" t="s">
        <v>145</v>
      </c>
      <c r="I48" s="16" t="s">
        <v>18</v>
      </c>
      <c r="J48" s="53">
        <v>45661</v>
      </c>
      <c r="K48" s="13" t="s">
        <v>1801</v>
      </c>
      <c r="L48" s="53">
        <f t="shared" si="0"/>
        <v>45668</v>
      </c>
      <c r="M48" s="53">
        <v>45673</v>
      </c>
      <c r="N48" s="92">
        <f t="shared" ref="N48:N54" si="6">M48-L48</f>
        <v>5</v>
      </c>
      <c r="O48" s="10" t="s">
        <v>1803</v>
      </c>
      <c r="P48" s="10" t="s">
        <v>18</v>
      </c>
      <c r="Q48" s="21">
        <v>45740</v>
      </c>
      <c r="R48" s="10" t="s">
        <v>2901</v>
      </c>
      <c r="S48" s="21">
        <f>Q48+7</f>
        <v>45747</v>
      </c>
      <c r="T48" s="21">
        <v>45753</v>
      </c>
      <c r="U48" s="92">
        <f>T48-S48</f>
        <v>6</v>
      </c>
      <c r="V48" s="10" t="s">
        <v>2911</v>
      </c>
      <c r="W48" s="10" t="s">
        <v>18</v>
      </c>
      <c r="X48" s="21">
        <v>46054</v>
      </c>
      <c r="Y48" s="10" t="s">
        <v>5722</v>
      </c>
      <c r="Z48" s="21">
        <f>X48+7</f>
        <v>46061</v>
      </c>
      <c r="AA48" s="21">
        <v>46068</v>
      </c>
      <c r="AB48" s="92">
        <f>AA48-Z48</f>
        <v>7</v>
      </c>
      <c r="AC48" s="10" t="s">
        <v>5742</v>
      </c>
      <c r="AD48" s="10" t="s">
        <v>5</v>
      </c>
      <c r="AE48" s="21">
        <v>46201</v>
      </c>
      <c r="AF48" s="10" t="s">
        <v>7124</v>
      </c>
      <c r="AG48" s="21">
        <f>AE48+7</f>
        <v>46208</v>
      </c>
      <c r="AH48" s="21">
        <v>46212</v>
      </c>
      <c r="AI48" s="95">
        <f>AH48-AG48</f>
        <v>4</v>
      </c>
      <c r="AJ48" s="10" t="s">
        <v>7132</v>
      </c>
      <c r="AK48" s="10"/>
      <c r="AL48" s="17"/>
      <c r="AM48" s="11"/>
      <c r="AN48" s="11"/>
      <c r="AO48" s="17"/>
      <c r="AP48" s="123"/>
      <c r="AQ48" s="17"/>
      <c r="AR48" s="17"/>
      <c r="AS48" s="17"/>
      <c r="AT48" s="17"/>
      <c r="AU48" s="17"/>
      <c r="AV48" s="17"/>
      <c r="AW48" s="123"/>
      <c r="AX48" s="17"/>
      <c r="AY48" s="17"/>
      <c r="AZ48" s="17"/>
      <c r="BA48" s="17"/>
      <c r="BB48" s="17"/>
      <c r="BC48" s="17"/>
      <c r="BD48" s="17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368"/>
    </row>
    <row r="49" spans="1:79" s="381" customFormat="1" ht="42" customHeight="1" x14ac:dyDescent="0.25">
      <c r="A49" s="367">
        <v>730007</v>
      </c>
      <c r="B49" s="12" t="s">
        <v>5</v>
      </c>
      <c r="C49" s="13" t="s">
        <v>725</v>
      </c>
      <c r="D49" s="10" t="s">
        <v>1812</v>
      </c>
      <c r="E49" s="12" t="s">
        <v>1813</v>
      </c>
      <c r="F49" s="16" t="s">
        <v>1814</v>
      </c>
      <c r="G49" s="10" t="s">
        <v>30</v>
      </c>
      <c r="H49" s="10" t="s">
        <v>145</v>
      </c>
      <c r="I49" s="16" t="s">
        <v>18</v>
      </c>
      <c r="J49" s="53">
        <v>45662</v>
      </c>
      <c r="K49" s="13" t="s">
        <v>1818</v>
      </c>
      <c r="L49" s="53">
        <f t="shared" si="0"/>
        <v>45669</v>
      </c>
      <c r="M49" s="53">
        <v>45673</v>
      </c>
      <c r="N49" s="92">
        <f t="shared" si="6"/>
        <v>4</v>
      </c>
      <c r="O49" s="10" t="s">
        <v>1822</v>
      </c>
      <c r="P49" s="10" t="s">
        <v>3</v>
      </c>
      <c r="Q49" s="21">
        <v>45871</v>
      </c>
      <c r="R49" s="150" t="s">
        <v>3854</v>
      </c>
      <c r="S49" s="21">
        <f>Q49+7</f>
        <v>45878</v>
      </c>
      <c r="T49" s="21">
        <v>45882</v>
      </c>
      <c r="U49" s="92">
        <f>T49-S49</f>
        <v>4</v>
      </c>
      <c r="V49" s="10" t="s">
        <v>3864</v>
      </c>
      <c r="W49" s="10" t="s">
        <v>18</v>
      </c>
      <c r="X49" s="21">
        <v>46140</v>
      </c>
      <c r="Y49" s="10" t="s">
        <v>6562</v>
      </c>
      <c r="Z49" s="21">
        <f>X49+7</f>
        <v>46147</v>
      </c>
      <c r="AA49" s="21">
        <v>46153</v>
      </c>
      <c r="AB49" s="92">
        <f>AA49-Z49</f>
        <v>6</v>
      </c>
      <c r="AC49" s="10" t="s">
        <v>6579</v>
      </c>
      <c r="AD49" s="10" t="s">
        <v>5</v>
      </c>
      <c r="AE49" s="21">
        <v>46182</v>
      </c>
      <c r="AF49" s="10" t="s">
        <v>6957</v>
      </c>
      <c r="AG49" s="21">
        <f>AE49+7</f>
        <v>46189</v>
      </c>
      <c r="AH49" s="21">
        <v>46194</v>
      </c>
      <c r="AI49" s="92">
        <f>AH49-AG49</f>
        <v>5</v>
      </c>
      <c r="AJ49" s="10" t="s">
        <v>6976</v>
      </c>
      <c r="AK49" s="10"/>
      <c r="AL49" s="17"/>
      <c r="AM49" s="11"/>
      <c r="AN49" s="11"/>
      <c r="AO49" s="17"/>
      <c r="AP49" s="123"/>
      <c r="AQ49" s="17"/>
      <c r="AR49" s="17"/>
      <c r="AS49" s="17"/>
      <c r="AT49" s="17"/>
      <c r="AU49" s="17"/>
      <c r="AV49" s="17"/>
      <c r="AW49" s="123"/>
      <c r="AX49" s="17"/>
      <c r="AY49" s="17"/>
      <c r="AZ49" s="17"/>
      <c r="BA49" s="17"/>
      <c r="BB49" s="17"/>
      <c r="BC49" s="17"/>
      <c r="BD49" s="17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368"/>
    </row>
    <row r="50" spans="1:79" s="381" customFormat="1" ht="42" customHeight="1" x14ac:dyDescent="0.25">
      <c r="A50" s="367">
        <v>730007</v>
      </c>
      <c r="B50" s="58" t="s">
        <v>508</v>
      </c>
      <c r="C50" s="13" t="s">
        <v>627</v>
      </c>
      <c r="D50" s="10" t="s">
        <v>1927</v>
      </c>
      <c r="E50" s="12" t="s">
        <v>1926</v>
      </c>
      <c r="F50" s="16" t="s">
        <v>1928</v>
      </c>
      <c r="G50" s="10" t="s">
        <v>30</v>
      </c>
      <c r="H50" s="10" t="s">
        <v>145</v>
      </c>
      <c r="I50" s="16" t="s">
        <v>3</v>
      </c>
      <c r="J50" s="53">
        <v>45667</v>
      </c>
      <c r="K50" s="13" t="s">
        <v>1929</v>
      </c>
      <c r="L50" s="53">
        <f>J50+7</f>
        <v>45674</v>
      </c>
      <c r="M50" s="53">
        <v>45673</v>
      </c>
      <c r="N50" s="92">
        <f t="shared" si="6"/>
        <v>-1</v>
      </c>
      <c r="O50" s="10" t="s">
        <v>1942</v>
      </c>
      <c r="P50" s="9" t="s">
        <v>508</v>
      </c>
      <c r="Q50" s="21">
        <v>45921</v>
      </c>
      <c r="R50" s="10" t="s">
        <v>4250</v>
      </c>
      <c r="S50" s="10" t="s">
        <v>626</v>
      </c>
      <c r="T50" s="21" t="s">
        <v>626</v>
      </c>
      <c r="U50" s="95" t="s">
        <v>626</v>
      </c>
      <c r="V50" s="10" t="s">
        <v>626</v>
      </c>
      <c r="W50" s="10"/>
      <c r="X50" s="21"/>
      <c r="Y50" s="10"/>
      <c r="Z50" s="10"/>
      <c r="AA50" s="21"/>
      <c r="AB50" s="95"/>
      <c r="AC50" s="10"/>
      <c r="AD50" s="10"/>
      <c r="AE50" s="21"/>
      <c r="AF50" s="10"/>
      <c r="AG50" s="10"/>
      <c r="AH50" s="21"/>
      <c r="AI50" s="95"/>
      <c r="AJ50" s="10"/>
      <c r="AK50" s="10"/>
      <c r="AL50" s="17"/>
      <c r="AM50" s="11"/>
      <c r="AN50" s="11"/>
      <c r="AO50" s="17"/>
      <c r="AP50" s="123"/>
      <c r="AQ50" s="17"/>
      <c r="AR50" s="17"/>
      <c r="AS50" s="17"/>
      <c r="AT50" s="17"/>
      <c r="AU50" s="17"/>
      <c r="AV50" s="17"/>
      <c r="AW50" s="123"/>
      <c r="AX50" s="17"/>
      <c r="AY50" s="17"/>
      <c r="AZ50" s="17"/>
      <c r="BA50" s="17"/>
      <c r="BB50" s="17"/>
      <c r="BC50" s="17"/>
      <c r="BD50" s="17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368"/>
    </row>
    <row r="51" spans="1:79" s="381" customFormat="1" ht="42" customHeight="1" x14ac:dyDescent="0.25">
      <c r="A51" s="367">
        <v>730007</v>
      </c>
      <c r="B51" s="12" t="s">
        <v>18</v>
      </c>
      <c r="C51" s="13" t="s">
        <v>208</v>
      </c>
      <c r="D51" s="10" t="s">
        <v>1982</v>
      </c>
      <c r="E51" s="12" t="s">
        <v>1983</v>
      </c>
      <c r="F51" s="16" t="s">
        <v>1984</v>
      </c>
      <c r="G51" s="10" t="s">
        <v>30</v>
      </c>
      <c r="H51" s="10" t="s">
        <v>145</v>
      </c>
      <c r="I51" s="16" t="s">
        <v>3</v>
      </c>
      <c r="J51" s="53">
        <v>45671</v>
      </c>
      <c r="K51" s="13" t="s">
        <v>1985</v>
      </c>
      <c r="L51" s="53">
        <f t="shared" ref="L51:L56" si="7">J51+7</f>
        <v>45678</v>
      </c>
      <c r="M51" s="53">
        <v>45678</v>
      </c>
      <c r="N51" s="92">
        <f t="shared" si="6"/>
        <v>0</v>
      </c>
      <c r="O51" s="10" t="s">
        <v>1988</v>
      </c>
      <c r="P51" s="10" t="s">
        <v>18</v>
      </c>
      <c r="Q51" s="21">
        <v>45684</v>
      </c>
      <c r="R51" s="10" t="s">
        <v>2167</v>
      </c>
      <c r="S51" s="21">
        <f t="shared" ref="S51:S56" si="8">Q51+7</f>
        <v>45691</v>
      </c>
      <c r="T51" s="21">
        <v>45685</v>
      </c>
      <c r="U51" s="92">
        <f t="shared" ref="U51:U56" si="9">T51-S51</f>
        <v>-6</v>
      </c>
      <c r="V51" s="10" t="s">
        <v>2170</v>
      </c>
      <c r="W51" s="10"/>
      <c r="X51" s="21"/>
      <c r="Y51" s="10"/>
      <c r="Z51" s="10"/>
      <c r="AA51" s="21"/>
      <c r="AB51" s="95"/>
      <c r="AC51" s="10"/>
      <c r="AD51" s="10"/>
      <c r="AE51" s="21"/>
      <c r="AF51" s="10"/>
      <c r="AG51" s="10"/>
      <c r="AH51" s="21"/>
      <c r="AI51" s="95"/>
      <c r="AJ51" s="10"/>
      <c r="AK51" s="10"/>
      <c r="AL51" s="17"/>
      <c r="AM51" s="11"/>
      <c r="AN51" s="11"/>
      <c r="AO51" s="17"/>
      <c r="AP51" s="123"/>
      <c r="AQ51" s="17"/>
      <c r="AR51" s="17"/>
      <c r="AS51" s="17"/>
      <c r="AT51" s="17"/>
      <c r="AU51" s="17"/>
      <c r="AV51" s="17"/>
      <c r="AW51" s="123"/>
      <c r="AX51" s="17"/>
      <c r="AY51" s="17"/>
      <c r="AZ51" s="17"/>
      <c r="BA51" s="17"/>
      <c r="BB51" s="17"/>
      <c r="BC51" s="17"/>
      <c r="BD51" s="17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368"/>
    </row>
    <row r="52" spans="1:79" s="381" customFormat="1" ht="42" customHeight="1" x14ac:dyDescent="0.25">
      <c r="A52" s="367">
        <v>730007</v>
      </c>
      <c r="B52" s="12" t="s">
        <v>5</v>
      </c>
      <c r="C52" s="13" t="s">
        <v>2456</v>
      </c>
      <c r="D52" s="10" t="s">
        <v>2042</v>
      </c>
      <c r="E52" s="12" t="s">
        <v>2043</v>
      </c>
      <c r="F52" s="16" t="s">
        <v>2044</v>
      </c>
      <c r="G52" s="10" t="s">
        <v>30</v>
      </c>
      <c r="H52" s="10" t="s">
        <v>145</v>
      </c>
      <c r="I52" s="16" t="s">
        <v>18</v>
      </c>
      <c r="J52" s="53">
        <v>45677</v>
      </c>
      <c r="K52" s="13" t="s">
        <v>2046</v>
      </c>
      <c r="L52" s="53">
        <f t="shared" si="7"/>
        <v>45684</v>
      </c>
      <c r="M52" s="53">
        <v>45683</v>
      </c>
      <c r="N52" s="92">
        <f t="shared" si="6"/>
        <v>-1</v>
      </c>
      <c r="O52" s="10" t="s">
        <v>2064</v>
      </c>
      <c r="P52" s="10" t="s">
        <v>18</v>
      </c>
      <c r="Q52" s="21">
        <v>46079</v>
      </c>
      <c r="R52" s="10" t="s">
        <v>5901</v>
      </c>
      <c r="S52" s="21">
        <f t="shared" si="8"/>
        <v>46086</v>
      </c>
      <c r="T52" s="21">
        <v>46090</v>
      </c>
      <c r="U52" s="92">
        <f t="shared" si="9"/>
        <v>4</v>
      </c>
      <c r="V52" s="10" t="s">
        <v>5915</v>
      </c>
      <c r="W52" s="10" t="s">
        <v>18</v>
      </c>
      <c r="X52" s="21">
        <v>46105</v>
      </c>
      <c r="Y52" s="10" t="s">
        <v>6123</v>
      </c>
      <c r="Z52" s="21">
        <f>X52+7</f>
        <v>46112</v>
      </c>
      <c r="AA52" s="21">
        <v>46114</v>
      </c>
      <c r="AB52" s="95">
        <f>AA52-Z52</f>
        <v>2</v>
      </c>
      <c r="AC52" s="10" t="s">
        <v>6136</v>
      </c>
      <c r="AD52" s="10" t="s">
        <v>18</v>
      </c>
      <c r="AE52" s="21">
        <v>46118</v>
      </c>
      <c r="AF52" s="10" t="s">
        <v>6269</v>
      </c>
      <c r="AG52" s="53">
        <f>AE52+7</f>
        <v>46125</v>
      </c>
      <c r="AH52" s="21">
        <v>46131</v>
      </c>
      <c r="AI52" s="92">
        <f>AH52-AG52</f>
        <v>6</v>
      </c>
      <c r="AJ52" s="10" t="s">
        <v>6276</v>
      </c>
      <c r="AK52" s="10" t="s">
        <v>5</v>
      </c>
      <c r="AL52" s="17">
        <v>46156</v>
      </c>
      <c r="AM52" s="11" t="s">
        <v>6793</v>
      </c>
      <c r="AN52" s="53">
        <f>AL52+7</f>
        <v>46163</v>
      </c>
      <c r="AO52" s="21">
        <v>46165</v>
      </c>
      <c r="AP52" s="92">
        <f>AO52-AN52</f>
        <v>2</v>
      </c>
      <c r="AQ52" s="17" t="s">
        <v>6827</v>
      </c>
      <c r="AR52" s="17"/>
      <c r="AS52" s="17"/>
      <c r="AT52" s="17"/>
      <c r="AU52" s="17"/>
      <c r="AV52" s="17"/>
      <c r="AW52" s="123"/>
      <c r="AX52" s="17"/>
      <c r="AY52" s="17"/>
      <c r="AZ52" s="17"/>
      <c r="BA52" s="17"/>
      <c r="BB52" s="17"/>
      <c r="BC52" s="17"/>
      <c r="BD52" s="17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368"/>
    </row>
    <row r="53" spans="1:79" s="381" customFormat="1" ht="42" customHeight="1" x14ac:dyDescent="0.25">
      <c r="A53" s="367">
        <v>730007</v>
      </c>
      <c r="B53" s="12" t="s">
        <v>5</v>
      </c>
      <c r="C53" s="13" t="s">
        <v>588</v>
      </c>
      <c r="D53" s="10" t="s">
        <v>2074</v>
      </c>
      <c r="E53" s="12" t="s">
        <v>2076</v>
      </c>
      <c r="F53" s="16" t="s">
        <v>2078</v>
      </c>
      <c r="G53" s="10" t="s">
        <v>30</v>
      </c>
      <c r="H53" s="10" t="s">
        <v>145</v>
      </c>
      <c r="I53" s="16" t="s">
        <v>3</v>
      </c>
      <c r="J53" s="53">
        <v>45679</v>
      </c>
      <c r="K53" s="13" t="s">
        <v>2079</v>
      </c>
      <c r="L53" s="53">
        <f t="shared" si="7"/>
        <v>45686</v>
      </c>
      <c r="M53" s="53">
        <v>45683</v>
      </c>
      <c r="N53" s="92">
        <f t="shared" si="6"/>
        <v>-3</v>
      </c>
      <c r="O53" s="10" t="s">
        <v>2100</v>
      </c>
      <c r="P53" s="16" t="s">
        <v>3</v>
      </c>
      <c r="Q53" s="21">
        <v>45739</v>
      </c>
      <c r="R53" s="10" t="s">
        <v>2887</v>
      </c>
      <c r="S53" s="21">
        <f t="shared" si="8"/>
        <v>45746</v>
      </c>
      <c r="T53" s="21">
        <v>45753</v>
      </c>
      <c r="U53" s="95">
        <f t="shared" si="9"/>
        <v>7</v>
      </c>
      <c r="V53" s="10" t="s">
        <v>2902</v>
      </c>
      <c r="W53" s="10" t="s">
        <v>5</v>
      </c>
      <c r="X53" s="21">
        <v>45753</v>
      </c>
      <c r="Y53" s="10" t="s">
        <v>2949</v>
      </c>
      <c r="Z53" s="21">
        <f>X53+7</f>
        <v>45760</v>
      </c>
      <c r="AA53" s="21">
        <v>45770</v>
      </c>
      <c r="AB53" s="95">
        <f>AA53-Z53</f>
        <v>10</v>
      </c>
      <c r="AC53" s="10" t="s">
        <v>2951</v>
      </c>
      <c r="AD53" s="10"/>
      <c r="AE53" s="21"/>
      <c r="AF53" s="10"/>
      <c r="AG53" s="10"/>
      <c r="AH53" s="21"/>
      <c r="AI53" s="95"/>
      <c r="AJ53" s="10"/>
      <c r="AK53" s="10"/>
      <c r="AL53" s="17"/>
      <c r="AM53" s="11"/>
      <c r="AN53" s="11"/>
      <c r="AO53" s="17"/>
      <c r="AP53" s="123"/>
      <c r="AQ53" s="17"/>
      <c r="AR53" s="17"/>
      <c r="AS53" s="17"/>
      <c r="AT53" s="17"/>
      <c r="AU53" s="17"/>
      <c r="AV53" s="17"/>
      <c r="AW53" s="123"/>
      <c r="AX53" s="17"/>
      <c r="AY53" s="17"/>
      <c r="AZ53" s="17"/>
      <c r="BA53" s="17"/>
      <c r="BB53" s="17"/>
      <c r="BC53" s="17"/>
      <c r="BD53" s="17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368"/>
    </row>
    <row r="54" spans="1:79" s="381" customFormat="1" ht="41.25" customHeight="1" x14ac:dyDescent="0.25">
      <c r="A54" s="367">
        <v>730007</v>
      </c>
      <c r="B54" s="12" t="s">
        <v>5</v>
      </c>
      <c r="C54" s="13" t="s">
        <v>208</v>
      </c>
      <c r="D54" s="10" t="s">
        <v>2075</v>
      </c>
      <c r="E54" s="12" t="s">
        <v>2077</v>
      </c>
      <c r="F54" s="16" t="s">
        <v>2080</v>
      </c>
      <c r="G54" s="10" t="s">
        <v>30</v>
      </c>
      <c r="H54" s="10" t="s">
        <v>145</v>
      </c>
      <c r="I54" s="16" t="s">
        <v>18</v>
      </c>
      <c r="J54" s="53">
        <v>45679</v>
      </c>
      <c r="K54" s="13" t="s">
        <v>2081</v>
      </c>
      <c r="L54" s="53">
        <f t="shared" si="7"/>
        <v>45686</v>
      </c>
      <c r="M54" s="53">
        <v>45684</v>
      </c>
      <c r="N54" s="92">
        <f t="shared" si="6"/>
        <v>-2</v>
      </c>
      <c r="O54" s="10" t="s">
        <v>2101</v>
      </c>
      <c r="P54" s="10" t="s">
        <v>5</v>
      </c>
      <c r="Q54" s="21">
        <v>45766</v>
      </c>
      <c r="R54" s="10" t="s">
        <v>3029</v>
      </c>
      <c r="S54" s="21">
        <f t="shared" si="8"/>
        <v>45773</v>
      </c>
      <c r="T54" s="21">
        <v>45788</v>
      </c>
      <c r="U54" s="95">
        <f t="shared" si="9"/>
        <v>15</v>
      </c>
      <c r="V54" s="10" t="s">
        <v>3044</v>
      </c>
      <c r="W54" s="10"/>
      <c r="X54" s="21"/>
      <c r="Y54" s="10"/>
      <c r="Z54" s="10"/>
      <c r="AA54" s="21"/>
      <c r="AB54" s="95"/>
      <c r="AC54" s="10"/>
      <c r="AD54" s="10"/>
      <c r="AE54" s="21"/>
      <c r="AF54" s="10"/>
      <c r="AG54" s="10"/>
      <c r="AH54" s="21"/>
      <c r="AI54" s="95"/>
      <c r="AJ54" s="10"/>
      <c r="AK54" s="10"/>
      <c r="AL54" s="17"/>
      <c r="AM54" s="11"/>
      <c r="AN54" s="11"/>
      <c r="AO54" s="17"/>
      <c r="AP54" s="123"/>
      <c r="AQ54" s="17"/>
      <c r="AR54" s="17"/>
      <c r="AS54" s="17"/>
      <c r="AT54" s="17"/>
      <c r="AU54" s="17"/>
      <c r="AV54" s="17"/>
      <c r="AW54" s="123"/>
      <c r="AX54" s="17"/>
      <c r="AY54" s="17"/>
      <c r="AZ54" s="17"/>
      <c r="BA54" s="17"/>
      <c r="BB54" s="17"/>
      <c r="BC54" s="17"/>
      <c r="BD54" s="17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368"/>
    </row>
    <row r="55" spans="1:79" s="381" customFormat="1" ht="42" customHeight="1" x14ac:dyDescent="0.25">
      <c r="A55" s="367">
        <v>730007</v>
      </c>
      <c r="B55" s="79" t="s">
        <v>508</v>
      </c>
      <c r="C55" s="56" t="s">
        <v>627</v>
      </c>
      <c r="D55" s="10" t="s">
        <v>2120</v>
      </c>
      <c r="E55" s="12" t="s">
        <v>2121</v>
      </c>
      <c r="F55" s="16" t="s">
        <v>2285</v>
      </c>
      <c r="G55" s="10" t="s">
        <v>30</v>
      </c>
      <c r="H55" s="10" t="s">
        <v>145</v>
      </c>
      <c r="I55" s="16" t="s">
        <v>3</v>
      </c>
      <c r="J55" s="53">
        <v>45681</v>
      </c>
      <c r="K55" s="13" t="s">
        <v>2122</v>
      </c>
      <c r="L55" s="53">
        <f t="shared" si="7"/>
        <v>45688</v>
      </c>
      <c r="M55" s="53">
        <v>45684</v>
      </c>
      <c r="N55" s="92">
        <f t="shared" ref="N55:N60" si="10">M55-L55</f>
        <v>-4</v>
      </c>
      <c r="O55" s="10" t="s">
        <v>2140</v>
      </c>
      <c r="P55" s="10" t="s">
        <v>3</v>
      </c>
      <c r="Q55" s="21">
        <v>45691</v>
      </c>
      <c r="R55" s="10" t="s">
        <v>2286</v>
      </c>
      <c r="S55" s="21">
        <f t="shared" si="8"/>
        <v>45698</v>
      </c>
      <c r="T55" s="21">
        <v>45719</v>
      </c>
      <c r="U55" s="95">
        <f t="shared" si="9"/>
        <v>21</v>
      </c>
      <c r="V55" s="10" t="s">
        <v>2315</v>
      </c>
      <c r="W55" s="10" t="s">
        <v>18</v>
      </c>
      <c r="X55" s="21">
        <v>45728</v>
      </c>
      <c r="Y55" s="10" t="s">
        <v>2766</v>
      </c>
      <c r="Z55" s="21">
        <f>X55+7</f>
        <v>45735</v>
      </c>
      <c r="AA55" s="21">
        <v>45739</v>
      </c>
      <c r="AB55" s="95">
        <f>AA55-Z55</f>
        <v>4</v>
      </c>
      <c r="AC55" s="10" t="s">
        <v>2784</v>
      </c>
      <c r="AD55" s="10" t="s">
        <v>4807</v>
      </c>
      <c r="AE55" s="21">
        <v>46196</v>
      </c>
      <c r="AF55" s="10" t="s">
        <v>7069</v>
      </c>
      <c r="AG55" s="10" t="s">
        <v>626</v>
      </c>
      <c r="AH55" s="21" t="s">
        <v>626</v>
      </c>
      <c r="AI55" s="95" t="s">
        <v>626</v>
      </c>
      <c r="AJ55" s="10" t="s">
        <v>626</v>
      </c>
      <c r="AK55" s="10"/>
      <c r="AL55" s="17"/>
      <c r="AM55" s="11"/>
      <c r="AN55" s="11"/>
      <c r="AO55" s="17"/>
      <c r="AP55" s="123"/>
      <c r="AQ55" s="17"/>
      <c r="AR55" s="17"/>
      <c r="AS55" s="17"/>
      <c r="AT55" s="17"/>
      <c r="AU55" s="17"/>
      <c r="AV55" s="17"/>
      <c r="AW55" s="123"/>
      <c r="AX55" s="17"/>
      <c r="AY55" s="17"/>
      <c r="AZ55" s="17"/>
      <c r="BA55" s="17"/>
      <c r="BB55" s="17"/>
      <c r="BC55" s="17"/>
      <c r="BD55" s="17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368"/>
    </row>
    <row r="56" spans="1:79" s="381" customFormat="1" ht="42" customHeight="1" x14ac:dyDescent="0.25">
      <c r="A56" s="367">
        <v>730007</v>
      </c>
      <c r="B56" s="12" t="s">
        <v>5</v>
      </c>
      <c r="C56" s="13" t="s">
        <v>725</v>
      </c>
      <c r="D56" s="10" t="s">
        <v>2155</v>
      </c>
      <c r="E56" s="12" t="s">
        <v>2156</v>
      </c>
      <c r="F56" s="16" t="s">
        <v>2157</v>
      </c>
      <c r="G56" s="10" t="s">
        <v>30</v>
      </c>
      <c r="H56" s="10" t="s">
        <v>145</v>
      </c>
      <c r="I56" s="16" t="s">
        <v>3</v>
      </c>
      <c r="J56" s="53">
        <v>45683</v>
      </c>
      <c r="K56" s="13" t="s">
        <v>2158</v>
      </c>
      <c r="L56" s="53">
        <f t="shared" si="7"/>
        <v>45690</v>
      </c>
      <c r="M56" s="53">
        <v>45700</v>
      </c>
      <c r="N56" s="92">
        <f t="shared" si="10"/>
        <v>10</v>
      </c>
      <c r="O56" s="10" t="s">
        <v>2168</v>
      </c>
      <c r="P56" s="10" t="s">
        <v>18</v>
      </c>
      <c r="Q56" s="21">
        <v>45718</v>
      </c>
      <c r="R56" s="10" t="s">
        <v>2713</v>
      </c>
      <c r="S56" s="21">
        <f t="shared" si="8"/>
        <v>45725</v>
      </c>
      <c r="T56" s="21">
        <v>45735</v>
      </c>
      <c r="U56" s="95">
        <f t="shared" si="9"/>
        <v>10</v>
      </c>
      <c r="V56" s="10" t="s">
        <v>2743</v>
      </c>
      <c r="W56" s="10" t="s">
        <v>18</v>
      </c>
      <c r="X56" s="21">
        <v>45766</v>
      </c>
      <c r="Y56" s="10" t="s">
        <v>3026</v>
      </c>
      <c r="Z56" s="21">
        <f>X56+7</f>
        <v>45773</v>
      </c>
      <c r="AA56" s="21">
        <v>45784</v>
      </c>
      <c r="AB56" s="95">
        <f>AA56-Z56</f>
        <v>11</v>
      </c>
      <c r="AC56" s="10" t="s">
        <v>3028</v>
      </c>
      <c r="AD56" s="10" t="s">
        <v>5</v>
      </c>
      <c r="AE56" s="21">
        <v>46083</v>
      </c>
      <c r="AF56" s="10" t="s">
        <v>5920</v>
      </c>
      <c r="AG56" s="53">
        <f>AE56+7</f>
        <v>46090</v>
      </c>
      <c r="AH56" s="21">
        <v>46092</v>
      </c>
      <c r="AI56" s="92">
        <f>AH56-AG56</f>
        <v>2</v>
      </c>
      <c r="AJ56" s="10" t="s">
        <v>5937</v>
      </c>
      <c r="AK56" s="10"/>
      <c r="AL56" s="17"/>
      <c r="AM56" s="11"/>
      <c r="AN56" s="11"/>
      <c r="AO56" s="17"/>
      <c r="AP56" s="123"/>
      <c r="AQ56" s="17"/>
      <c r="AR56" s="17"/>
      <c r="AS56" s="17"/>
      <c r="AT56" s="17"/>
      <c r="AU56" s="17"/>
      <c r="AV56" s="17"/>
      <c r="AW56" s="123"/>
      <c r="AX56" s="17"/>
      <c r="AY56" s="17"/>
      <c r="AZ56" s="17"/>
      <c r="BA56" s="17"/>
      <c r="BB56" s="17"/>
      <c r="BC56" s="17"/>
      <c r="BD56" s="17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368"/>
    </row>
    <row r="57" spans="1:79" s="381" customFormat="1" ht="42" customHeight="1" x14ac:dyDescent="0.25">
      <c r="A57" s="367">
        <v>730007</v>
      </c>
      <c r="B57" s="79" t="s">
        <v>508</v>
      </c>
      <c r="C57" s="56" t="s">
        <v>627</v>
      </c>
      <c r="D57" s="10" t="s">
        <v>2210</v>
      </c>
      <c r="E57" s="12" t="s">
        <v>2211</v>
      </c>
      <c r="F57" s="16" t="s">
        <v>2213</v>
      </c>
      <c r="G57" s="10" t="s">
        <v>30</v>
      </c>
      <c r="H57" s="10" t="s">
        <v>145</v>
      </c>
      <c r="I57" s="16" t="s">
        <v>18</v>
      </c>
      <c r="J57" s="53">
        <v>45687</v>
      </c>
      <c r="K57" s="13" t="s">
        <v>2214</v>
      </c>
      <c r="L57" s="53">
        <f t="shared" ref="L57:L62" si="11">J57+7</f>
        <v>45694</v>
      </c>
      <c r="M57" s="53">
        <v>45696</v>
      </c>
      <c r="N57" s="92">
        <f t="shared" si="10"/>
        <v>2</v>
      </c>
      <c r="O57" s="10" t="s">
        <v>2255</v>
      </c>
      <c r="P57" s="9" t="s">
        <v>508</v>
      </c>
      <c r="Q57" s="21">
        <v>46070</v>
      </c>
      <c r="R57" s="10" t="s">
        <v>5859</v>
      </c>
      <c r="S57" s="10" t="s">
        <v>626</v>
      </c>
      <c r="T57" s="21" t="s">
        <v>626</v>
      </c>
      <c r="U57" s="95" t="s">
        <v>626</v>
      </c>
      <c r="V57" s="10" t="s">
        <v>626</v>
      </c>
      <c r="W57" s="10"/>
      <c r="X57" s="21"/>
      <c r="Y57" s="10"/>
      <c r="Z57" s="10"/>
      <c r="AA57" s="21"/>
      <c r="AB57" s="95"/>
      <c r="AC57" s="10"/>
      <c r="AD57" s="10"/>
      <c r="AE57" s="21"/>
      <c r="AF57" s="10"/>
      <c r="AG57" s="10"/>
      <c r="AH57" s="21"/>
      <c r="AI57" s="95"/>
      <c r="AJ57" s="10"/>
      <c r="AK57" s="10"/>
      <c r="AL57" s="17"/>
      <c r="AM57" s="11"/>
      <c r="AN57" s="11"/>
      <c r="AO57" s="17"/>
      <c r="AP57" s="123"/>
      <c r="AQ57" s="17"/>
      <c r="AR57" s="17"/>
      <c r="AS57" s="17"/>
      <c r="AT57" s="17"/>
      <c r="AU57" s="17"/>
      <c r="AV57" s="17"/>
      <c r="AW57" s="123"/>
      <c r="AX57" s="17"/>
      <c r="AY57" s="17"/>
      <c r="AZ57" s="17"/>
      <c r="BA57" s="17"/>
      <c r="BB57" s="17"/>
      <c r="BC57" s="17"/>
      <c r="BD57" s="17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368"/>
    </row>
    <row r="58" spans="1:79" s="381" customFormat="1" ht="42" customHeight="1" x14ac:dyDescent="0.25">
      <c r="A58" s="367">
        <v>730007</v>
      </c>
      <c r="B58" s="12" t="s">
        <v>5</v>
      </c>
      <c r="C58" s="13" t="s">
        <v>588</v>
      </c>
      <c r="D58" s="10" t="s">
        <v>2239</v>
      </c>
      <c r="E58" s="12" t="s">
        <v>2240</v>
      </c>
      <c r="F58" s="16" t="s">
        <v>2241</v>
      </c>
      <c r="G58" s="10" t="s">
        <v>30</v>
      </c>
      <c r="H58" s="10" t="s">
        <v>145</v>
      </c>
      <c r="I58" s="16" t="s">
        <v>18</v>
      </c>
      <c r="J58" s="53">
        <v>45688</v>
      </c>
      <c r="K58" s="13" t="s">
        <v>2246</v>
      </c>
      <c r="L58" s="53">
        <f t="shared" si="11"/>
        <v>45695</v>
      </c>
      <c r="M58" s="53">
        <v>45697</v>
      </c>
      <c r="N58" s="92">
        <f t="shared" si="10"/>
        <v>2</v>
      </c>
      <c r="O58" s="10" t="s">
        <v>2262</v>
      </c>
      <c r="P58" s="10" t="s">
        <v>18</v>
      </c>
      <c r="Q58" s="21">
        <v>46154</v>
      </c>
      <c r="R58" s="10" t="s">
        <v>6759</v>
      </c>
      <c r="S58" s="21">
        <f>Q58+7</f>
        <v>46161</v>
      </c>
      <c r="T58" s="21">
        <v>46173</v>
      </c>
      <c r="U58" s="95">
        <f>T58-S58</f>
        <v>12</v>
      </c>
      <c r="V58" s="10" t="s">
        <v>6783</v>
      </c>
      <c r="W58" s="10" t="s">
        <v>5</v>
      </c>
      <c r="X58" s="21">
        <v>46182</v>
      </c>
      <c r="Y58" s="10" t="s">
        <v>6956</v>
      </c>
      <c r="Z58" s="21">
        <f>X58+7</f>
        <v>46189</v>
      </c>
      <c r="AA58" s="21">
        <v>46189</v>
      </c>
      <c r="AB58" s="95">
        <f>AA58-Z58</f>
        <v>0</v>
      </c>
      <c r="AC58" s="10" t="s">
        <v>6981</v>
      </c>
      <c r="AD58" s="10"/>
      <c r="AE58" s="21"/>
      <c r="AF58" s="10"/>
      <c r="AG58" s="10"/>
      <c r="AH58" s="21"/>
      <c r="AI58" s="95"/>
      <c r="AJ58" s="10"/>
      <c r="AK58" s="10"/>
      <c r="AL58" s="17"/>
      <c r="AM58" s="11"/>
      <c r="AN58" s="11"/>
      <c r="AO58" s="17"/>
      <c r="AP58" s="123"/>
      <c r="AQ58" s="17"/>
      <c r="AR58" s="17"/>
      <c r="AS58" s="17"/>
      <c r="AT58" s="17"/>
      <c r="AU58" s="17"/>
      <c r="AV58" s="17"/>
      <c r="AW58" s="123"/>
      <c r="AX58" s="17"/>
      <c r="AY58" s="17"/>
      <c r="AZ58" s="17"/>
      <c r="BA58" s="17"/>
      <c r="BB58" s="17"/>
      <c r="BC58" s="17"/>
      <c r="BD58" s="17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368"/>
    </row>
    <row r="59" spans="1:79" s="381" customFormat="1" ht="42" customHeight="1" x14ac:dyDescent="0.25">
      <c r="A59" s="367">
        <v>730007</v>
      </c>
      <c r="B59" s="58" t="s">
        <v>508</v>
      </c>
      <c r="C59" s="13" t="s">
        <v>627</v>
      </c>
      <c r="D59" s="10" t="s">
        <v>2299</v>
      </c>
      <c r="E59" s="12" t="s">
        <v>2300</v>
      </c>
      <c r="F59" s="16" t="s">
        <v>2301</v>
      </c>
      <c r="G59" s="10" t="s">
        <v>30</v>
      </c>
      <c r="H59" s="10" t="s">
        <v>145</v>
      </c>
      <c r="I59" s="16" t="s">
        <v>3</v>
      </c>
      <c r="J59" s="53">
        <v>45691</v>
      </c>
      <c r="K59" s="13" t="s">
        <v>2302</v>
      </c>
      <c r="L59" s="53">
        <f t="shared" si="11"/>
        <v>45698</v>
      </c>
      <c r="M59" s="53">
        <v>45703</v>
      </c>
      <c r="N59" s="92">
        <f t="shared" si="10"/>
        <v>5</v>
      </c>
      <c r="O59" s="10" t="s">
        <v>2319</v>
      </c>
      <c r="P59" s="9" t="s">
        <v>508</v>
      </c>
      <c r="Q59" s="21">
        <v>45878</v>
      </c>
      <c r="R59" s="10" t="s">
        <v>3904</v>
      </c>
      <c r="S59" s="10" t="s">
        <v>626</v>
      </c>
      <c r="T59" s="21" t="s">
        <v>626</v>
      </c>
      <c r="U59" s="95" t="s">
        <v>626</v>
      </c>
      <c r="V59" s="10" t="s">
        <v>626</v>
      </c>
      <c r="W59" s="10"/>
      <c r="X59" s="21"/>
      <c r="Y59" s="10"/>
      <c r="Z59" s="10"/>
      <c r="AA59" s="21"/>
      <c r="AB59" s="95"/>
      <c r="AC59" s="10"/>
      <c r="AD59" s="10"/>
      <c r="AE59" s="21"/>
      <c r="AF59" s="10"/>
      <c r="AG59" s="10"/>
      <c r="AH59" s="21"/>
      <c r="AI59" s="95"/>
      <c r="AJ59" s="10"/>
      <c r="AK59" s="10"/>
      <c r="AL59" s="17"/>
      <c r="AM59" s="11"/>
      <c r="AN59" s="11"/>
      <c r="AO59" s="17"/>
      <c r="AP59" s="123"/>
      <c r="AQ59" s="17"/>
      <c r="AR59" s="17"/>
      <c r="AS59" s="17"/>
      <c r="AT59" s="17"/>
      <c r="AU59" s="17"/>
      <c r="AV59" s="17"/>
      <c r="AW59" s="123"/>
      <c r="AX59" s="17"/>
      <c r="AY59" s="17"/>
      <c r="AZ59" s="17"/>
      <c r="BA59" s="17"/>
      <c r="BB59" s="17"/>
      <c r="BC59" s="17"/>
      <c r="BD59" s="17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368"/>
    </row>
    <row r="60" spans="1:79" s="381" customFormat="1" ht="42" customHeight="1" x14ac:dyDescent="0.25">
      <c r="A60" s="367">
        <v>730007</v>
      </c>
      <c r="B60" s="12" t="s">
        <v>18</v>
      </c>
      <c r="C60" s="13" t="s">
        <v>208</v>
      </c>
      <c r="D60" s="10" t="s">
        <v>2322</v>
      </c>
      <c r="E60" s="12" t="s">
        <v>2323</v>
      </c>
      <c r="F60" s="16" t="s">
        <v>2325</v>
      </c>
      <c r="G60" s="10" t="s">
        <v>30</v>
      </c>
      <c r="H60" s="10" t="s">
        <v>145</v>
      </c>
      <c r="I60" s="16" t="s">
        <v>18</v>
      </c>
      <c r="J60" s="53">
        <v>45692</v>
      </c>
      <c r="K60" s="13" t="s">
        <v>2326</v>
      </c>
      <c r="L60" s="53">
        <f t="shared" si="11"/>
        <v>45699</v>
      </c>
      <c r="M60" s="53">
        <v>45712</v>
      </c>
      <c r="N60" s="92">
        <f t="shared" si="10"/>
        <v>13</v>
      </c>
      <c r="O60" s="10" t="s">
        <v>2331</v>
      </c>
      <c r="P60" s="10" t="s">
        <v>18</v>
      </c>
      <c r="Q60" s="21">
        <v>46167</v>
      </c>
      <c r="R60" s="10" t="s">
        <v>6922</v>
      </c>
      <c r="S60" s="21">
        <f>Q60+7</f>
        <v>46174</v>
      </c>
      <c r="T60" s="21">
        <v>46180</v>
      </c>
      <c r="U60" s="95">
        <f>T60-S60</f>
        <v>6</v>
      </c>
      <c r="V60" s="10" t="s">
        <v>6924</v>
      </c>
      <c r="W60" s="10"/>
      <c r="X60" s="21"/>
      <c r="Y60" s="10"/>
      <c r="Z60" s="10"/>
      <c r="AA60" s="21"/>
      <c r="AB60" s="95"/>
      <c r="AC60" s="10"/>
      <c r="AD60" s="10"/>
      <c r="AE60" s="21"/>
      <c r="AF60" s="10"/>
      <c r="AG60" s="10"/>
      <c r="AH60" s="21"/>
      <c r="AI60" s="95"/>
      <c r="AJ60" s="10"/>
      <c r="AK60" s="10"/>
      <c r="AL60" s="17"/>
      <c r="AM60" s="11"/>
      <c r="AN60" s="11"/>
      <c r="AO60" s="17"/>
      <c r="AP60" s="123"/>
      <c r="AQ60" s="17"/>
      <c r="AR60" s="17"/>
      <c r="AS60" s="17"/>
      <c r="AT60" s="17"/>
      <c r="AU60" s="17"/>
      <c r="AV60" s="17"/>
      <c r="AW60" s="123"/>
      <c r="AX60" s="17"/>
      <c r="AY60" s="17"/>
      <c r="AZ60" s="17"/>
      <c r="BA60" s="17"/>
      <c r="BB60" s="17"/>
      <c r="BC60" s="17"/>
      <c r="BD60" s="17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368"/>
    </row>
    <row r="61" spans="1:79" s="381" customFormat="1" ht="42" customHeight="1" x14ac:dyDescent="0.25">
      <c r="A61" s="367">
        <v>730007</v>
      </c>
      <c r="B61" s="58" t="s">
        <v>508</v>
      </c>
      <c r="C61" s="13" t="s">
        <v>627</v>
      </c>
      <c r="D61" s="10" t="s">
        <v>2343</v>
      </c>
      <c r="E61" s="12" t="s">
        <v>2344</v>
      </c>
      <c r="F61" s="16" t="s">
        <v>2347</v>
      </c>
      <c r="G61" s="10" t="s">
        <v>30</v>
      </c>
      <c r="H61" s="10" t="s">
        <v>145</v>
      </c>
      <c r="I61" s="16" t="s">
        <v>4</v>
      </c>
      <c r="J61" s="53">
        <v>45695</v>
      </c>
      <c r="K61" s="13" t="s">
        <v>2348</v>
      </c>
      <c r="L61" s="53">
        <f t="shared" si="11"/>
        <v>45702</v>
      </c>
      <c r="M61" s="53"/>
      <c r="N61" s="92"/>
      <c r="O61" s="10" t="s">
        <v>2371</v>
      </c>
      <c r="P61" s="9" t="s">
        <v>2422</v>
      </c>
      <c r="Q61" s="21">
        <v>45699</v>
      </c>
      <c r="R61" s="10" t="s">
        <v>2405</v>
      </c>
      <c r="S61" s="10" t="s">
        <v>626</v>
      </c>
      <c r="T61" s="21" t="s">
        <v>626</v>
      </c>
      <c r="U61" s="95" t="s">
        <v>626</v>
      </c>
      <c r="V61" s="10" t="s">
        <v>2421</v>
      </c>
      <c r="W61" s="10"/>
      <c r="X61" s="21"/>
      <c r="Y61" s="10"/>
      <c r="Z61" s="10"/>
      <c r="AA61" s="21"/>
      <c r="AB61" s="95"/>
      <c r="AC61" s="10"/>
      <c r="AD61" s="10" t="s">
        <v>4</v>
      </c>
      <c r="AE61" s="21">
        <v>45827</v>
      </c>
      <c r="AF61" s="10"/>
      <c r="AG61" s="53">
        <f>AE61+7</f>
        <v>45834</v>
      </c>
      <c r="AH61" s="21"/>
      <c r="AI61" s="92">
        <f>AH61-AG61</f>
        <v>-45834</v>
      </c>
      <c r="AJ61" s="151" t="s">
        <v>3508</v>
      </c>
      <c r="AK61" s="10"/>
      <c r="AL61" s="17"/>
      <c r="AM61" s="11"/>
      <c r="AN61" s="11"/>
      <c r="AO61" s="17"/>
      <c r="AP61" s="123"/>
      <c r="AQ61" s="17"/>
      <c r="AR61" s="17"/>
      <c r="AS61" s="17"/>
      <c r="AT61" s="17"/>
      <c r="AU61" s="17"/>
      <c r="AV61" s="17"/>
      <c r="AW61" s="123"/>
      <c r="AX61" s="17"/>
      <c r="AY61" s="17"/>
      <c r="AZ61" s="17"/>
      <c r="BA61" s="17"/>
      <c r="BB61" s="17"/>
      <c r="BC61" s="17"/>
      <c r="BD61" s="17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259" t="s">
        <v>2394</v>
      </c>
    </row>
    <row r="62" spans="1:79" s="381" customFormat="1" ht="42" customHeight="1" x14ac:dyDescent="0.25">
      <c r="A62" s="367">
        <v>730007</v>
      </c>
      <c r="B62" s="12" t="s">
        <v>5</v>
      </c>
      <c r="C62" s="13" t="s">
        <v>208</v>
      </c>
      <c r="D62" s="10" t="s">
        <v>2345</v>
      </c>
      <c r="E62" s="12" t="s">
        <v>2346</v>
      </c>
      <c r="F62" s="16" t="s">
        <v>2349</v>
      </c>
      <c r="G62" s="10" t="s">
        <v>30</v>
      </c>
      <c r="H62" s="10" t="s">
        <v>145</v>
      </c>
      <c r="I62" s="16" t="s">
        <v>3</v>
      </c>
      <c r="J62" s="53">
        <v>45695</v>
      </c>
      <c r="K62" s="13" t="s">
        <v>2350</v>
      </c>
      <c r="L62" s="53">
        <f t="shared" si="11"/>
        <v>45702</v>
      </c>
      <c r="M62" s="53">
        <v>45720</v>
      </c>
      <c r="N62" s="92">
        <f>M62-L62</f>
        <v>18</v>
      </c>
      <c r="O62" s="10" t="s">
        <v>2372</v>
      </c>
      <c r="P62" s="10" t="s">
        <v>5</v>
      </c>
      <c r="Q62" s="21">
        <v>45728</v>
      </c>
      <c r="R62" s="10" t="s">
        <v>2778</v>
      </c>
      <c r="S62" s="21">
        <f>Q62+7</f>
        <v>45735</v>
      </c>
      <c r="T62" s="21">
        <v>45739</v>
      </c>
      <c r="U62" s="95">
        <f>T62-S62</f>
        <v>4</v>
      </c>
      <c r="V62" s="10" t="s">
        <v>2787</v>
      </c>
      <c r="W62" s="10"/>
      <c r="X62" s="21"/>
      <c r="Y62" s="10"/>
      <c r="Z62" s="10"/>
      <c r="AA62" s="21"/>
      <c r="AB62" s="95"/>
      <c r="AC62" s="10"/>
      <c r="AD62" s="10"/>
      <c r="AE62" s="21"/>
      <c r="AF62" s="10"/>
      <c r="AG62" s="10"/>
      <c r="AH62" s="21"/>
      <c r="AI62" s="95"/>
      <c r="AJ62" s="10"/>
      <c r="AK62" s="10"/>
      <c r="AL62" s="17"/>
      <c r="AM62" s="11"/>
      <c r="AN62" s="11"/>
      <c r="AO62" s="17"/>
      <c r="AP62" s="123"/>
      <c r="AQ62" s="17"/>
      <c r="AR62" s="17"/>
      <c r="AS62" s="17"/>
      <c r="AT62" s="17"/>
      <c r="AU62" s="17"/>
      <c r="AV62" s="17"/>
      <c r="AW62" s="123"/>
      <c r="AX62" s="17"/>
      <c r="AY62" s="17"/>
      <c r="AZ62" s="17"/>
      <c r="BA62" s="17"/>
      <c r="BB62" s="17"/>
      <c r="BC62" s="17"/>
      <c r="BD62" s="17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368"/>
    </row>
    <row r="63" spans="1:79" s="381" customFormat="1" ht="42" customHeight="1" x14ac:dyDescent="0.25">
      <c r="A63" s="367">
        <v>730007</v>
      </c>
      <c r="B63" s="12" t="s">
        <v>5</v>
      </c>
      <c r="C63" s="13" t="s">
        <v>588</v>
      </c>
      <c r="D63" s="10" t="s">
        <v>2376</v>
      </c>
      <c r="E63" s="12" t="s">
        <v>2378</v>
      </c>
      <c r="F63" s="16" t="s">
        <v>2380</v>
      </c>
      <c r="G63" s="10" t="s">
        <v>30</v>
      </c>
      <c r="H63" s="10" t="s">
        <v>145</v>
      </c>
      <c r="I63" s="16" t="s">
        <v>18</v>
      </c>
      <c r="J63" s="53">
        <v>45697</v>
      </c>
      <c r="K63" s="13" t="s">
        <v>2382</v>
      </c>
      <c r="L63" s="53">
        <f t="shared" ref="L63:L68" si="12">J63+7</f>
        <v>45704</v>
      </c>
      <c r="M63" s="53">
        <v>45735</v>
      </c>
      <c r="N63" s="92">
        <f>M63-L63</f>
        <v>31</v>
      </c>
      <c r="O63" s="10" t="s">
        <v>2392</v>
      </c>
      <c r="P63" s="10" t="s">
        <v>18</v>
      </c>
      <c r="Q63" s="21">
        <v>45738</v>
      </c>
      <c r="R63" s="10" t="s">
        <v>2871</v>
      </c>
      <c r="S63" s="21">
        <f>Q63+7</f>
        <v>45745</v>
      </c>
      <c r="T63" s="21">
        <v>45757</v>
      </c>
      <c r="U63" s="95">
        <f>T63-S63</f>
        <v>12</v>
      </c>
      <c r="V63" s="10" t="s">
        <v>2878</v>
      </c>
      <c r="W63" s="10" t="s">
        <v>5</v>
      </c>
      <c r="X63" s="21">
        <v>46089</v>
      </c>
      <c r="Y63" s="10" t="s">
        <v>5991</v>
      </c>
      <c r="Z63" s="53">
        <f>X63+7</f>
        <v>46096</v>
      </c>
      <c r="AA63" s="21">
        <v>46105</v>
      </c>
      <c r="AB63" s="92">
        <f>AA63-Z63</f>
        <v>9</v>
      </c>
      <c r="AC63" s="10" t="s">
        <v>6000</v>
      </c>
      <c r="AD63" s="10"/>
      <c r="AE63" s="21"/>
      <c r="AF63" s="10"/>
      <c r="AG63" s="10"/>
      <c r="AH63" s="21"/>
      <c r="AI63" s="95"/>
      <c r="AJ63" s="10"/>
      <c r="AK63" s="10"/>
      <c r="AL63" s="17"/>
      <c r="AM63" s="11"/>
      <c r="AN63" s="11"/>
      <c r="AO63" s="17"/>
      <c r="AP63" s="123"/>
      <c r="AQ63" s="17"/>
      <c r="AR63" s="17"/>
      <c r="AS63" s="17"/>
      <c r="AT63" s="17"/>
      <c r="AU63" s="17"/>
      <c r="AV63" s="17"/>
      <c r="AW63" s="123"/>
      <c r="AX63" s="17"/>
      <c r="AY63" s="17"/>
      <c r="AZ63" s="17"/>
      <c r="BA63" s="17"/>
      <c r="BB63" s="17"/>
      <c r="BC63" s="17"/>
      <c r="BD63" s="17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368"/>
    </row>
    <row r="64" spans="1:79" s="381" customFormat="1" ht="42" customHeight="1" x14ac:dyDescent="0.25">
      <c r="A64" s="367">
        <v>730007</v>
      </c>
      <c r="B64" s="12" t="s">
        <v>5</v>
      </c>
      <c r="C64" s="13" t="s">
        <v>2456</v>
      </c>
      <c r="D64" s="10" t="s">
        <v>2377</v>
      </c>
      <c r="E64" s="12" t="s">
        <v>2379</v>
      </c>
      <c r="F64" s="16" t="s">
        <v>2381</v>
      </c>
      <c r="G64" s="10" t="s">
        <v>30</v>
      </c>
      <c r="H64" s="10" t="s">
        <v>145</v>
      </c>
      <c r="I64" s="16" t="s">
        <v>3</v>
      </c>
      <c r="J64" s="53">
        <v>45697</v>
      </c>
      <c r="K64" s="13" t="s">
        <v>2383</v>
      </c>
      <c r="L64" s="53">
        <f t="shared" si="12"/>
        <v>45704</v>
      </c>
      <c r="M64" s="53">
        <v>45725</v>
      </c>
      <c r="N64" s="92">
        <f>M64-L64</f>
        <v>21</v>
      </c>
      <c r="O64" s="10" t="s">
        <v>2393</v>
      </c>
      <c r="P64" s="10" t="s">
        <v>3</v>
      </c>
      <c r="Q64" s="21">
        <v>45738</v>
      </c>
      <c r="R64" s="10" t="s">
        <v>2872</v>
      </c>
      <c r="S64" s="21">
        <f>Q64+7</f>
        <v>45745</v>
      </c>
      <c r="T64" s="21">
        <v>45753</v>
      </c>
      <c r="U64" s="95">
        <f>T64-S64</f>
        <v>8</v>
      </c>
      <c r="V64" s="10" t="s">
        <v>2879</v>
      </c>
      <c r="W64" s="10" t="s">
        <v>3</v>
      </c>
      <c r="X64" s="21">
        <v>45810</v>
      </c>
      <c r="Y64" s="150" t="s">
        <v>3438</v>
      </c>
      <c r="Z64" s="53">
        <f>X64+7</f>
        <v>45817</v>
      </c>
      <c r="AA64" s="21">
        <v>45823</v>
      </c>
      <c r="AB64" s="92">
        <f>AA64-Z64</f>
        <v>6</v>
      </c>
      <c r="AC64" s="10" t="s">
        <v>3454</v>
      </c>
      <c r="AD64" s="10" t="s">
        <v>18</v>
      </c>
      <c r="AE64" s="21">
        <v>45827</v>
      </c>
      <c r="AF64" s="150" t="s">
        <v>3506</v>
      </c>
      <c r="AG64" s="53">
        <f>AE64+7</f>
        <v>45834</v>
      </c>
      <c r="AH64" s="21">
        <v>45837</v>
      </c>
      <c r="AI64" s="92">
        <f>AH64-AG64</f>
        <v>3</v>
      </c>
      <c r="AJ64" s="10" t="s">
        <v>3508</v>
      </c>
      <c r="AK64" s="10" t="s">
        <v>5</v>
      </c>
      <c r="AL64" s="17">
        <v>46162</v>
      </c>
      <c r="AM64" s="11" t="s">
        <v>6877</v>
      </c>
      <c r="AN64" s="53">
        <f>AL64+7</f>
        <v>46169</v>
      </c>
      <c r="AO64" s="17">
        <v>46180</v>
      </c>
      <c r="AP64" s="123">
        <f>AO64-AN64</f>
        <v>11</v>
      </c>
      <c r="AQ64" s="17" t="s">
        <v>6890</v>
      </c>
      <c r="AR64" s="17"/>
      <c r="AS64" s="17"/>
      <c r="AT64" s="17"/>
      <c r="AU64" s="17"/>
      <c r="AV64" s="17"/>
      <c r="AW64" s="123"/>
      <c r="AX64" s="17"/>
      <c r="AY64" s="17"/>
      <c r="AZ64" s="17"/>
      <c r="BA64" s="17"/>
      <c r="BB64" s="17"/>
      <c r="BC64" s="17"/>
      <c r="BD64" s="17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368"/>
    </row>
    <row r="65" spans="1:79" s="381" customFormat="1" ht="42" customHeight="1" x14ac:dyDescent="0.25">
      <c r="A65" s="367">
        <v>730007</v>
      </c>
      <c r="B65" s="12" t="s">
        <v>5</v>
      </c>
      <c r="C65" s="13" t="s">
        <v>725</v>
      </c>
      <c r="D65" s="10" t="s">
        <v>2403</v>
      </c>
      <c r="E65" s="12" t="s">
        <v>2404</v>
      </c>
      <c r="F65" s="16" t="s">
        <v>2406</v>
      </c>
      <c r="G65" s="10" t="s">
        <v>30</v>
      </c>
      <c r="H65" s="10" t="s">
        <v>145</v>
      </c>
      <c r="I65" s="16" t="s">
        <v>3</v>
      </c>
      <c r="J65" s="53">
        <v>45699</v>
      </c>
      <c r="K65" s="13" t="s">
        <v>2407</v>
      </c>
      <c r="L65" s="53">
        <f t="shared" si="12"/>
        <v>45706</v>
      </c>
      <c r="M65" s="53">
        <v>45726</v>
      </c>
      <c r="N65" s="92">
        <f>M65-L65</f>
        <v>20</v>
      </c>
      <c r="O65" s="10" t="s">
        <v>2423</v>
      </c>
      <c r="P65" s="10" t="s">
        <v>3</v>
      </c>
      <c r="Q65" s="21">
        <v>45734</v>
      </c>
      <c r="R65" s="10" t="s">
        <v>2827</v>
      </c>
      <c r="S65" s="53">
        <f>Q65+7</f>
        <v>45741</v>
      </c>
      <c r="T65" s="21">
        <v>45754</v>
      </c>
      <c r="U65" s="95">
        <f>T65-S65</f>
        <v>13</v>
      </c>
      <c r="V65" s="10" t="s">
        <v>2843</v>
      </c>
      <c r="W65" s="10" t="s">
        <v>18</v>
      </c>
      <c r="X65" s="21">
        <v>45762</v>
      </c>
      <c r="Y65" s="10" t="s">
        <v>2994</v>
      </c>
      <c r="Z65" s="53">
        <f>X65+7</f>
        <v>45769</v>
      </c>
      <c r="AA65" s="21">
        <v>45782</v>
      </c>
      <c r="AB65" s="92">
        <f>AA65-Z65</f>
        <v>13</v>
      </c>
      <c r="AC65" s="10" t="s">
        <v>3185</v>
      </c>
      <c r="AD65" s="10" t="s">
        <v>5</v>
      </c>
      <c r="AE65" s="21">
        <v>46076</v>
      </c>
      <c r="AF65" s="10" t="s">
        <v>5890</v>
      </c>
      <c r="AG65" s="53">
        <f>AE65+7</f>
        <v>46083</v>
      </c>
      <c r="AH65" s="21">
        <v>46083</v>
      </c>
      <c r="AI65" s="92">
        <f>AH65-AG65</f>
        <v>0</v>
      </c>
      <c r="AJ65" s="10" t="s">
        <v>5892</v>
      </c>
      <c r="AK65" s="10"/>
      <c r="AL65" s="17"/>
      <c r="AM65" s="11"/>
      <c r="AN65" s="11"/>
      <c r="AO65" s="17"/>
      <c r="AP65" s="123"/>
      <c r="AQ65" s="17"/>
      <c r="AR65" s="17"/>
      <c r="AS65" s="17"/>
      <c r="AT65" s="17"/>
      <c r="AU65" s="17"/>
      <c r="AV65" s="17"/>
      <c r="AW65" s="123"/>
      <c r="AX65" s="17"/>
      <c r="AY65" s="17"/>
      <c r="AZ65" s="17"/>
      <c r="BA65" s="17"/>
      <c r="BB65" s="17"/>
      <c r="BC65" s="17"/>
      <c r="BD65" s="17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368"/>
    </row>
    <row r="66" spans="1:79" s="381" customFormat="1" ht="42" customHeight="1" x14ac:dyDescent="0.25">
      <c r="A66" s="367">
        <v>730007</v>
      </c>
      <c r="B66" s="12" t="s">
        <v>5</v>
      </c>
      <c r="C66" s="13" t="s">
        <v>208</v>
      </c>
      <c r="D66" s="10" t="s">
        <v>2479</v>
      </c>
      <c r="E66" s="12" t="s">
        <v>2481</v>
      </c>
      <c r="F66" s="16" t="s">
        <v>2484</v>
      </c>
      <c r="G66" s="10" t="s">
        <v>30</v>
      </c>
      <c r="H66" s="10" t="s">
        <v>145</v>
      </c>
      <c r="I66" s="16" t="s">
        <v>18</v>
      </c>
      <c r="J66" s="53">
        <v>45704</v>
      </c>
      <c r="K66" s="13" t="s">
        <v>2485</v>
      </c>
      <c r="L66" s="53">
        <f t="shared" si="12"/>
        <v>45711</v>
      </c>
      <c r="M66" s="53">
        <v>45735</v>
      </c>
      <c r="N66" s="92">
        <f>M66-L66</f>
        <v>24</v>
      </c>
      <c r="O66" s="10" t="s">
        <v>2492</v>
      </c>
      <c r="P66" s="10" t="s">
        <v>5</v>
      </c>
      <c r="Q66" s="21">
        <v>45736</v>
      </c>
      <c r="R66" s="150" t="s">
        <v>2861</v>
      </c>
      <c r="S66" s="53">
        <f>Q66+7</f>
        <v>45743</v>
      </c>
      <c r="T66" s="21">
        <v>45760</v>
      </c>
      <c r="U66" s="95">
        <f>T66-S66</f>
        <v>17</v>
      </c>
      <c r="V66" s="10" t="s">
        <v>2869</v>
      </c>
      <c r="W66" s="10"/>
      <c r="X66" s="21"/>
      <c r="Y66" s="10"/>
      <c r="Z66" s="10"/>
      <c r="AA66" s="21"/>
      <c r="AB66" s="95"/>
      <c r="AC66" s="10"/>
      <c r="AD66" s="10"/>
      <c r="AE66" s="21"/>
      <c r="AF66" s="10"/>
      <c r="AG66" s="10"/>
      <c r="AH66" s="21"/>
      <c r="AI66" s="95"/>
      <c r="AJ66" s="10"/>
      <c r="AK66" s="10"/>
      <c r="AL66" s="17"/>
      <c r="AM66" s="11"/>
      <c r="AN66" s="11"/>
      <c r="AO66" s="17"/>
      <c r="AP66" s="123"/>
      <c r="AQ66" s="17"/>
      <c r="AR66" s="17"/>
      <c r="AS66" s="17"/>
      <c r="AT66" s="17"/>
      <c r="AU66" s="17"/>
      <c r="AV66" s="17"/>
      <c r="AW66" s="123"/>
      <c r="AX66" s="17"/>
      <c r="AY66" s="17"/>
      <c r="AZ66" s="17"/>
      <c r="BA66" s="17"/>
      <c r="BB66" s="17"/>
      <c r="BC66" s="17"/>
      <c r="BD66" s="17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368"/>
    </row>
    <row r="67" spans="1:79" s="381" customFormat="1" ht="42" customHeight="1" x14ac:dyDescent="0.25">
      <c r="A67" s="367">
        <v>730007</v>
      </c>
      <c r="B67" s="12" t="s">
        <v>5</v>
      </c>
      <c r="C67" s="13" t="s">
        <v>54</v>
      </c>
      <c r="D67" s="10" t="s">
        <v>2480</v>
      </c>
      <c r="E67" s="12" t="s">
        <v>2482</v>
      </c>
      <c r="F67" s="16" t="s">
        <v>2486</v>
      </c>
      <c r="G67" s="10" t="s">
        <v>30</v>
      </c>
      <c r="H67" s="10" t="s">
        <v>145</v>
      </c>
      <c r="I67" s="16" t="s">
        <v>5</v>
      </c>
      <c r="J67" s="53">
        <v>45704</v>
      </c>
      <c r="K67" s="13" t="s">
        <v>2487</v>
      </c>
      <c r="L67" s="53">
        <f t="shared" si="12"/>
        <v>45711</v>
      </c>
      <c r="M67" s="53">
        <v>45727</v>
      </c>
      <c r="N67" s="92">
        <f t="shared" ref="N67:N72" si="13">M67-L67</f>
        <v>16</v>
      </c>
      <c r="O67" s="10" t="s">
        <v>2491</v>
      </c>
      <c r="P67" s="10"/>
      <c r="Q67" s="21"/>
      <c r="R67" s="10"/>
      <c r="S67" s="10"/>
      <c r="T67" s="21"/>
      <c r="U67" s="95"/>
      <c r="V67" s="10"/>
      <c r="W67" s="10"/>
      <c r="X67" s="21"/>
      <c r="Y67" s="10"/>
      <c r="Z67" s="10"/>
      <c r="AA67" s="21"/>
      <c r="AB67" s="95"/>
      <c r="AC67" s="10"/>
      <c r="AD67" s="10"/>
      <c r="AE67" s="21"/>
      <c r="AF67" s="10"/>
      <c r="AG67" s="10"/>
      <c r="AH67" s="21"/>
      <c r="AI67" s="95"/>
      <c r="AJ67" s="10"/>
      <c r="AK67" s="10"/>
      <c r="AL67" s="17"/>
      <c r="AM67" s="11"/>
      <c r="AN67" s="11"/>
      <c r="AO67" s="17"/>
      <c r="AP67" s="123"/>
      <c r="AQ67" s="17"/>
      <c r="AR67" s="17"/>
      <c r="AS67" s="17"/>
      <c r="AT67" s="17"/>
      <c r="AU67" s="17"/>
      <c r="AV67" s="17"/>
      <c r="AW67" s="123"/>
      <c r="AX67" s="17"/>
      <c r="AY67" s="17"/>
      <c r="AZ67" s="17"/>
      <c r="BA67" s="17"/>
      <c r="BB67" s="17"/>
      <c r="BC67" s="17"/>
      <c r="BD67" s="17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368"/>
    </row>
    <row r="68" spans="1:79" s="381" customFormat="1" ht="42" customHeight="1" x14ac:dyDescent="0.25">
      <c r="A68" s="367">
        <v>730007</v>
      </c>
      <c r="B68" s="12" t="s">
        <v>5</v>
      </c>
      <c r="C68" s="13" t="s">
        <v>2384</v>
      </c>
      <c r="D68" s="10" t="s">
        <v>2509</v>
      </c>
      <c r="E68" s="12" t="s">
        <v>2511</v>
      </c>
      <c r="F68" s="16" t="s">
        <v>2513</v>
      </c>
      <c r="G68" s="10" t="s">
        <v>30</v>
      </c>
      <c r="H68" s="10" t="s">
        <v>145</v>
      </c>
      <c r="I68" s="16" t="s">
        <v>3</v>
      </c>
      <c r="J68" s="53">
        <v>45706</v>
      </c>
      <c r="K68" s="13" t="s">
        <v>2514</v>
      </c>
      <c r="L68" s="53">
        <f t="shared" si="12"/>
        <v>45713</v>
      </c>
      <c r="M68" s="53">
        <v>45727</v>
      </c>
      <c r="N68" s="92">
        <f t="shared" si="13"/>
        <v>14</v>
      </c>
      <c r="O68" s="10" t="s">
        <v>2531</v>
      </c>
      <c r="P68" s="10" t="s">
        <v>3</v>
      </c>
      <c r="Q68" s="21">
        <v>45734</v>
      </c>
      <c r="R68" s="10" t="s">
        <v>2841</v>
      </c>
      <c r="S68" s="53">
        <f>Q68+7</f>
        <v>45741</v>
      </c>
      <c r="T68" s="21">
        <v>45741</v>
      </c>
      <c r="U68" s="92">
        <f>T68-S68</f>
        <v>0</v>
      </c>
      <c r="V68" s="10" t="s">
        <v>2848</v>
      </c>
      <c r="W68" s="10" t="s">
        <v>3</v>
      </c>
      <c r="X68" s="21">
        <v>45749</v>
      </c>
      <c r="Y68" s="10" t="s">
        <v>2936</v>
      </c>
      <c r="Z68" s="53">
        <f>X68+7</f>
        <v>45756</v>
      </c>
      <c r="AA68" s="21">
        <v>45757</v>
      </c>
      <c r="AB68" s="92">
        <f>AA68-Z68</f>
        <v>1</v>
      </c>
      <c r="AC68" s="10" t="s">
        <v>2939</v>
      </c>
      <c r="AD68" s="10" t="s">
        <v>3</v>
      </c>
      <c r="AE68" s="21">
        <v>45763</v>
      </c>
      <c r="AF68" s="10" t="s">
        <v>3003</v>
      </c>
      <c r="AG68" s="53">
        <f>AE68+7</f>
        <v>45770</v>
      </c>
      <c r="AH68" s="21">
        <v>45776</v>
      </c>
      <c r="AI68" s="92">
        <f>AH68-AG68</f>
        <v>6</v>
      </c>
      <c r="AJ68" s="10" t="s">
        <v>3017</v>
      </c>
      <c r="AK68" s="10" t="s">
        <v>18</v>
      </c>
      <c r="AL68" s="17">
        <v>45776</v>
      </c>
      <c r="AM68" s="11" t="s">
        <v>3120</v>
      </c>
      <c r="AN68" s="53">
        <f>AL68+7</f>
        <v>45783</v>
      </c>
      <c r="AO68" s="17">
        <v>45783</v>
      </c>
      <c r="AP68" s="123">
        <f>AO68-AN68</f>
        <v>0</v>
      </c>
      <c r="AQ68" s="17" t="s">
        <v>3130</v>
      </c>
      <c r="AR68" s="16" t="s">
        <v>5</v>
      </c>
      <c r="AS68" s="17">
        <v>45799</v>
      </c>
      <c r="AT68" s="17" t="s">
        <v>3335</v>
      </c>
      <c r="AU68" s="53">
        <f>AS68+7</f>
        <v>45806</v>
      </c>
      <c r="AV68" s="17">
        <v>45822</v>
      </c>
      <c r="AW68" s="123">
        <f>AV68-AU68</f>
        <v>16</v>
      </c>
      <c r="AX68" s="17" t="s">
        <v>3342</v>
      </c>
      <c r="AY68" s="17"/>
      <c r="AZ68" s="17"/>
      <c r="BA68" s="17"/>
      <c r="BB68" s="17"/>
      <c r="BC68" s="17"/>
      <c r="BD68" s="17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368"/>
    </row>
    <row r="69" spans="1:79" s="381" customFormat="1" ht="42" customHeight="1" x14ac:dyDescent="0.25">
      <c r="A69" s="367">
        <v>730007</v>
      </c>
      <c r="B69" s="58" t="s">
        <v>508</v>
      </c>
      <c r="C69" s="13" t="s">
        <v>627</v>
      </c>
      <c r="D69" s="10" t="s">
        <v>2510</v>
      </c>
      <c r="E69" s="12" t="s">
        <v>2512</v>
      </c>
      <c r="F69" s="16" t="s">
        <v>2515</v>
      </c>
      <c r="G69" s="10" t="s">
        <v>30</v>
      </c>
      <c r="H69" s="10" t="s">
        <v>145</v>
      </c>
      <c r="I69" s="16" t="s">
        <v>18</v>
      </c>
      <c r="J69" s="53">
        <v>45706</v>
      </c>
      <c r="K69" s="13" t="s">
        <v>2516</v>
      </c>
      <c r="L69" s="53">
        <f>J69+7</f>
        <v>45713</v>
      </c>
      <c r="M69" s="53">
        <v>45727</v>
      </c>
      <c r="N69" s="92">
        <f t="shared" si="13"/>
        <v>14</v>
      </c>
      <c r="O69" s="10" t="s">
        <v>2532</v>
      </c>
      <c r="P69" s="88" t="s">
        <v>508</v>
      </c>
      <c r="Q69" s="21">
        <v>45794</v>
      </c>
      <c r="R69" s="10" t="s">
        <v>3304</v>
      </c>
      <c r="S69" s="10" t="s">
        <v>626</v>
      </c>
      <c r="T69" s="21" t="s">
        <v>626</v>
      </c>
      <c r="U69" s="95" t="s">
        <v>626</v>
      </c>
      <c r="V69" s="10" t="s">
        <v>626</v>
      </c>
      <c r="W69" s="10"/>
      <c r="X69" s="21"/>
      <c r="Y69" s="10"/>
      <c r="Z69" s="10"/>
      <c r="AA69" s="21"/>
      <c r="AB69" s="95"/>
      <c r="AC69" s="10"/>
      <c r="AD69" s="10"/>
      <c r="AE69" s="21"/>
      <c r="AF69" s="10"/>
      <c r="AG69" s="10"/>
      <c r="AH69" s="21"/>
      <c r="AI69" s="95"/>
      <c r="AJ69" s="10"/>
      <c r="AK69" s="10"/>
      <c r="AL69" s="17"/>
      <c r="AM69" s="11"/>
      <c r="AN69" s="11"/>
      <c r="AO69" s="17"/>
      <c r="AP69" s="123"/>
      <c r="AQ69" s="17"/>
      <c r="AR69" s="17"/>
      <c r="AS69" s="17"/>
      <c r="AT69" s="17"/>
      <c r="AU69" s="17"/>
      <c r="AV69" s="17"/>
      <c r="AW69" s="123"/>
      <c r="AX69" s="17"/>
      <c r="AY69" s="17"/>
      <c r="AZ69" s="17"/>
      <c r="BA69" s="17"/>
      <c r="BB69" s="17"/>
      <c r="BC69" s="17"/>
      <c r="BD69" s="17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418" t="s">
        <v>3305</v>
      </c>
    </row>
    <row r="70" spans="1:79" s="381" customFormat="1" ht="42" customHeight="1" x14ac:dyDescent="0.25">
      <c r="A70" s="367">
        <v>730007</v>
      </c>
      <c r="B70" s="12" t="s">
        <v>5</v>
      </c>
      <c r="C70" s="13" t="s">
        <v>725</v>
      </c>
      <c r="D70" s="10" t="s">
        <v>2541</v>
      </c>
      <c r="E70" s="12" t="s">
        <v>2543</v>
      </c>
      <c r="F70" s="16" t="s">
        <v>2544</v>
      </c>
      <c r="G70" s="10" t="s">
        <v>30</v>
      </c>
      <c r="H70" s="10" t="s">
        <v>145</v>
      </c>
      <c r="I70" s="16" t="s">
        <v>18</v>
      </c>
      <c r="J70" s="53">
        <v>45708</v>
      </c>
      <c r="K70" s="13" t="s">
        <v>2540</v>
      </c>
      <c r="L70" s="53">
        <f>J70+7</f>
        <v>45715</v>
      </c>
      <c r="M70" s="53">
        <v>45734</v>
      </c>
      <c r="N70" s="92">
        <f t="shared" si="13"/>
        <v>19</v>
      </c>
      <c r="O70" s="10" t="s">
        <v>2557</v>
      </c>
      <c r="P70" s="10" t="s">
        <v>5</v>
      </c>
      <c r="Q70" s="21">
        <v>45736</v>
      </c>
      <c r="R70" s="150" t="s">
        <v>2860</v>
      </c>
      <c r="S70" s="53">
        <f>Q70+7</f>
        <v>45743</v>
      </c>
      <c r="T70" s="21">
        <v>45760</v>
      </c>
      <c r="U70" s="92">
        <f>T70-S70</f>
        <v>17</v>
      </c>
      <c r="V70" s="10" t="s">
        <v>2868</v>
      </c>
      <c r="W70" s="10" t="s">
        <v>18</v>
      </c>
      <c r="X70" s="21">
        <v>45955</v>
      </c>
      <c r="Y70" s="10" t="s">
        <v>4590</v>
      </c>
      <c r="Z70" s="53">
        <f>X70+7</f>
        <v>45962</v>
      </c>
      <c r="AA70" s="21">
        <v>45963</v>
      </c>
      <c r="AB70" s="92">
        <f>AA70-Z70</f>
        <v>1</v>
      </c>
      <c r="AC70" s="10" t="s">
        <v>4603</v>
      </c>
      <c r="AD70" s="10" t="s">
        <v>5</v>
      </c>
      <c r="AE70" s="21">
        <v>46137</v>
      </c>
      <c r="AF70" s="10" t="s">
        <v>6510</v>
      </c>
      <c r="AG70" s="53">
        <f>AE70+7</f>
        <v>46144</v>
      </c>
      <c r="AH70" s="21">
        <v>46146</v>
      </c>
      <c r="AI70" s="92">
        <f>AH70-AG70</f>
        <v>2</v>
      </c>
      <c r="AJ70" s="10" t="s">
        <v>6518</v>
      </c>
      <c r="AK70" s="10"/>
      <c r="AL70" s="17"/>
      <c r="AM70" s="11"/>
      <c r="AN70" s="11"/>
      <c r="AO70" s="17"/>
      <c r="AP70" s="123"/>
      <c r="AQ70" s="17"/>
      <c r="AR70" s="17"/>
      <c r="AS70" s="17"/>
      <c r="AT70" s="17"/>
      <c r="AU70" s="17"/>
      <c r="AV70" s="17"/>
      <c r="AW70" s="123"/>
      <c r="AX70" s="17"/>
      <c r="AY70" s="17"/>
      <c r="AZ70" s="17"/>
      <c r="BA70" s="17"/>
      <c r="BB70" s="17"/>
      <c r="BC70" s="17"/>
      <c r="BD70" s="17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368"/>
    </row>
    <row r="71" spans="1:79" s="381" customFormat="1" ht="42" customHeight="1" x14ac:dyDescent="0.25">
      <c r="A71" s="367">
        <v>730007</v>
      </c>
      <c r="B71" s="12" t="s">
        <v>5</v>
      </c>
      <c r="C71" s="13" t="s">
        <v>54</v>
      </c>
      <c r="D71" s="10" t="s">
        <v>2542</v>
      </c>
      <c r="E71" s="12" t="s">
        <v>2545</v>
      </c>
      <c r="F71" s="16" t="s">
        <v>2546</v>
      </c>
      <c r="G71" s="10" t="s">
        <v>30</v>
      </c>
      <c r="H71" s="10" t="s">
        <v>145</v>
      </c>
      <c r="I71" s="16" t="s">
        <v>5</v>
      </c>
      <c r="J71" s="53">
        <v>45708</v>
      </c>
      <c r="K71" s="13" t="s">
        <v>2547</v>
      </c>
      <c r="L71" s="53">
        <f>J71+7</f>
        <v>45715</v>
      </c>
      <c r="M71" s="53">
        <v>45734</v>
      </c>
      <c r="N71" s="92">
        <f t="shared" si="13"/>
        <v>19</v>
      </c>
      <c r="O71" s="10" t="s">
        <v>2558</v>
      </c>
      <c r="P71" s="10"/>
      <c r="Q71" s="21"/>
      <c r="R71" s="10"/>
      <c r="S71" s="10"/>
      <c r="T71" s="21"/>
      <c r="U71" s="95"/>
      <c r="V71" s="10"/>
      <c r="W71" s="10"/>
      <c r="X71" s="21"/>
      <c r="Y71" s="10"/>
      <c r="Z71" s="10"/>
      <c r="AA71" s="21"/>
      <c r="AB71" s="95"/>
      <c r="AC71" s="10"/>
      <c r="AD71" s="10"/>
      <c r="AE71" s="21"/>
      <c r="AF71" s="10"/>
      <c r="AG71" s="10"/>
      <c r="AH71" s="21"/>
      <c r="AI71" s="95"/>
      <c r="AJ71" s="10"/>
      <c r="AK71" s="10"/>
      <c r="AL71" s="17"/>
      <c r="AM71" s="11"/>
      <c r="AN71" s="11"/>
      <c r="AO71" s="17"/>
      <c r="AP71" s="123"/>
      <c r="AQ71" s="17"/>
      <c r="AR71" s="17"/>
      <c r="AS71" s="17"/>
      <c r="AT71" s="17"/>
      <c r="AU71" s="17"/>
      <c r="AV71" s="17"/>
      <c r="AW71" s="123"/>
      <c r="AX71" s="17"/>
      <c r="AY71" s="17"/>
      <c r="AZ71" s="17"/>
      <c r="BA71" s="17"/>
      <c r="BB71" s="17"/>
      <c r="BC71" s="17"/>
      <c r="BD71" s="17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368"/>
    </row>
    <row r="72" spans="1:79" s="381" customFormat="1" ht="42" customHeight="1" x14ac:dyDescent="0.25">
      <c r="A72" s="367">
        <v>730007</v>
      </c>
      <c r="B72" s="12" t="s">
        <v>5</v>
      </c>
      <c r="C72" s="13" t="s">
        <v>208</v>
      </c>
      <c r="D72" s="10" t="s">
        <v>2588</v>
      </c>
      <c r="E72" s="12" t="s">
        <v>2589</v>
      </c>
      <c r="F72" s="16" t="s">
        <v>2590</v>
      </c>
      <c r="G72" s="10" t="s">
        <v>30</v>
      </c>
      <c r="H72" s="10" t="s">
        <v>145</v>
      </c>
      <c r="I72" s="16" t="s">
        <v>5</v>
      </c>
      <c r="J72" s="53">
        <v>45711</v>
      </c>
      <c r="K72" s="13" t="s">
        <v>2591</v>
      </c>
      <c r="L72" s="53">
        <f t="shared" ref="L72:L77" si="14">J72+7</f>
        <v>45718</v>
      </c>
      <c r="M72" s="53">
        <v>45734</v>
      </c>
      <c r="N72" s="92">
        <f t="shared" si="13"/>
        <v>16</v>
      </c>
      <c r="O72" s="10" t="s">
        <v>2599</v>
      </c>
      <c r="P72" s="10" t="s">
        <v>5</v>
      </c>
      <c r="Q72" s="21">
        <v>46021</v>
      </c>
      <c r="R72" s="10" t="s">
        <v>5421</v>
      </c>
      <c r="S72" s="53">
        <f>Q72+7</f>
        <v>46028</v>
      </c>
      <c r="T72" s="21">
        <v>46026</v>
      </c>
      <c r="U72" s="92">
        <f>T72-S72</f>
        <v>-2</v>
      </c>
      <c r="V72" s="10" t="s">
        <v>5429</v>
      </c>
      <c r="W72" s="10"/>
      <c r="X72" s="21"/>
      <c r="Y72" s="10"/>
      <c r="Z72" s="10"/>
      <c r="AA72" s="21"/>
      <c r="AB72" s="95"/>
      <c r="AC72" s="10"/>
      <c r="AD72" s="10"/>
      <c r="AE72" s="21"/>
      <c r="AF72" s="10"/>
      <c r="AG72" s="10"/>
      <c r="AH72" s="21"/>
      <c r="AI72" s="95"/>
      <c r="AJ72" s="10"/>
      <c r="AK72" s="10"/>
      <c r="AL72" s="17"/>
      <c r="AM72" s="11"/>
      <c r="AN72" s="11"/>
      <c r="AO72" s="17"/>
      <c r="AP72" s="123"/>
      <c r="AQ72" s="17"/>
      <c r="AR72" s="17"/>
      <c r="AS72" s="17"/>
      <c r="AT72" s="17"/>
      <c r="AU72" s="17"/>
      <c r="AV72" s="17"/>
      <c r="AW72" s="123"/>
      <c r="AX72" s="17"/>
      <c r="AY72" s="17"/>
      <c r="AZ72" s="17"/>
      <c r="BA72" s="17"/>
      <c r="BB72" s="17"/>
      <c r="BC72" s="17"/>
      <c r="BD72" s="17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368"/>
    </row>
    <row r="73" spans="1:79" s="381" customFormat="1" ht="42" customHeight="1" x14ac:dyDescent="0.25">
      <c r="A73" s="367">
        <v>730007</v>
      </c>
      <c r="B73" s="12" t="s">
        <v>5</v>
      </c>
      <c r="C73" s="13" t="s">
        <v>54</v>
      </c>
      <c r="D73" s="10" t="s">
        <v>2600</v>
      </c>
      <c r="E73" s="12" t="s">
        <v>2602</v>
      </c>
      <c r="F73" s="16" t="s">
        <v>2603</v>
      </c>
      <c r="G73" s="10" t="s">
        <v>30</v>
      </c>
      <c r="H73" s="10" t="s">
        <v>145</v>
      </c>
      <c r="I73" s="16" t="s">
        <v>5</v>
      </c>
      <c r="J73" s="53">
        <v>45712</v>
      </c>
      <c r="K73" s="13" t="s">
        <v>2604</v>
      </c>
      <c r="L73" s="53">
        <f t="shared" si="14"/>
        <v>45719</v>
      </c>
      <c r="M73" s="53">
        <v>45735</v>
      </c>
      <c r="N73" s="92">
        <f t="shared" ref="N73:N79" si="15">M73-L73</f>
        <v>16</v>
      </c>
      <c r="O73" s="10" t="s">
        <v>2617</v>
      </c>
      <c r="P73" s="10"/>
      <c r="Q73" s="21"/>
      <c r="R73" s="10"/>
      <c r="S73" s="10"/>
      <c r="T73" s="21"/>
      <c r="U73" s="95"/>
      <c r="V73" s="10"/>
      <c r="W73" s="10"/>
      <c r="X73" s="21"/>
      <c r="Y73" s="10"/>
      <c r="Z73" s="10"/>
      <c r="AA73" s="21"/>
      <c r="AB73" s="95"/>
      <c r="AC73" s="10"/>
      <c r="AD73" s="10"/>
      <c r="AE73" s="21"/>
      <c r="AF73" s="10"/>
      <c r="AG73" s="10"/>
      <c r="AH73" s="21"/>
      <c r="AI73" s="95"/>
      <c r="AJ73" s="10"/>
      <c r="AK73" s="10"/>
      <c r="AL73" s="17"/>
      <c r="AM73" s="11"/>
      <c r="AN73" s="11"/>
      <c r="AO73" s="17"/>
      <c r="AP73" s="123"/>
      <c r="AQ73" s="17"/>
      <c r="AR73" s="17"/>
      <c r="AS73" s="17"/>
      <c r="AT73" s="17"/>
      <c r="AU73" s="17"/>
      <c r="AV73" s="17"/>
      <c r="AW73" s="123"/>
      <c r="AX73" s="17"/>
      <c r="AY73" s="17"/>
      <c r="AZ73" s="17"/>
      <c r="BA73" s="17"/>
      <c r="BB73" s="17"/>
      <c r="BC73" s="17"/>
      <c r="BD73" s="17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368"/>
    </row>
    <row r="74" spans="1:79" s="381" customFormat="1" ht="42" customHeight="1" x14ac:dyDescent="0.25">
      <c r="A74" s="367">
        <v>730007</v>
      </c>
      <c r="B74" s="12" t="s">
        <v>5</v>
      </c>
      <c r="C74" s="13" t="s">
        <v>54</v>
      </c>
      <c r="D74" s="10" t="s">
        <v>2601</v>
      </c>
      <c r="E74" s="12" t="s">
        <v>2605</v>
      </c>
      <c r="F74" s="16" t="s">
        <v>2606</v>
      </c>
      <c r="G74" s="10" t="s">
        <v>30</v>
      </c>
      <c r="H74" s="10" t="s">
        <v>145</v>
      </c>
      <c r="I74" s="16" t="s">
        <v>5</v>
      </c>
      <c r="J74" s="53">
        <v>45712</v>
      </c>
      <c r="K74" s="13" t="s">
        <v>2607</v>
      </c>
      <c r="L74" s="53">
        <f t="shared" si="14"/>
        <v>45719</v>
      </c>
      <c r="M74" s="53">
        <v>45735</v>
      </c>
      <c r="N74" s="92">
        <f t="shared" si="15"/>
        <v>16</v>
      </c>
      <c r="O74" s="10" t="s">
        <v>2618</v>
      </c>
      <c r="P74" s="16"/>
      <c r="Q74" s="21"/>
      <c r="R74" s="10"/>
      <c r="S74" s="10"/>
      <c r="T74" s="21"/>
      <c r="U74" s="95"/>
      <c r="V74" s="10"/>
      <c r="W74" s="16"/>
      <c r="X74" s="21"/>
      <c r="Y74" s="10"/>
      <c r="Z74" s="10"/>
      <c r="AA74" s="21"/>
      <c r="AB74" s="95"/>
      <c r="AC74" s="10"/>
      <c r="AD74" s="16"/>
      <c r="AE74" s="21"/>
      <c r="AF74" s="10"/>
      <c r="AG74" s="10"/>
      <c r="AH74" s="21"/>
      <c r="AI74" s="95"/>
      <c r="AJ74" s="10"/>
      <c r="AK74" s="10"/>
      <c r="AL74" s="17"/>
      <c r="AM74" s="11"/>
      <c r="AN74" s="11"/>
      <c r="AO74" s="17"/>
      <c r="AP74" s="123"/>
      <c r="AQ74" s="17"/>
      <c r="AR74" s="17"/>
      <c r="AS74" s="17"/>
      <c r="AT74" s="17"/>
      <c r="AU74" s="17"/>
      <c r="AV74" s="17"/>
      <c r="AW74" s="123"/>
      <c r="AX74" s="17"/>
      <c r="AY74" s="17"/>
      <c r="AZ74" s="17"/>
      <c r="BA74" s="17"/>
      <c r="BB74" s="17"/>
      <c r="BC74" s="17"/>
      <c r="BD74" s="17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368"/>
    </row>
    <row r="75" spans="1:79" s="381" customFormat="1" ht="42" customHeight="1" x14ac:dyDescent="0.25">
      <c r="A75" s="367">
        <v>730007</v>
      </c>
      <c r="B75" s="12" t="s">
        <v>5</v>
      </c>
      <c r="C75" s="13" t="s">
        <v>54</v>
      </c>
      <c r="D75" s="10" t="s">
        <v>2628</v>
      </c>
      <c r="E75" s="12" t="s">
        <v>2629</v>
      </c>
      <c r="F75" s="16" t="s">
        <v>2630</v>
      </c>
      <c r="G75" s="10" t="s">
        <v>30</v>
      </c>
      <c r="H75" s="10" t="s">
        <v>145</v>
      </c>
      <c r="I75" s="16" t="s">
        <v>5</v>
      </c>
      <c r="J75" s="53">
        <v>45721</v>
      </c>
      <c r="K75" s="13" t="s">
        <v>2672</v>
      </c>
      <c r="L75" s="53">
        <f t="shared" si="14"/>
        <v>45728</v>
      </c>
      <c r="M75" s="53">
        <v>45735</v>
      </c>
      <c r="N75" s="92">
        <f t="shared" si="15"/>
        <v>7</v>
      </c>
      <c r="O75" s="10" t="s">
        <v>2692</v>
      </c>
      <c r="P75" s="10"/>
      <c r="Q75" s="21"/>
      <c r="R75" s="10"/>
      <c r="S75" s="10"/>
      <c r="T75" s="21"/>
      <c r="U75" s="95"/>
      <c r="V75" s="10"/>
      <c r="W75" s="10"/>
      <c r="X75" s="21"/>
      <c r="Y75" s="10"/>
      <c r="Z75" s="10"/>
      <c r="AA75" s="21"/>
      <c r="AB75" s="95"/>
      <c r="AC75" s="10"/>
      <c r="AD75" s="10"/>
      <c r="AE75" s="21"/>
      <c r="AF75" s="10"/>
      <c r="AG75" s="10"/>
      <c r="AH75" s="21"/>
      <c r="AI75" s="95"/>
      <c r="AJ75" s="10"/>
      <c r="AK75" s="10"/>
      <c r="AL75" s="17"/>
      <c r="AM75" s="11"/>
      <c r="AN75" s="11"/>
      <c r="AO75" s="17"/>
      <c r="AP75" s="123"/>
      <c r="AQ75" s="17"/>
      <c r="AR75" s="17"/>
      <c r="AS75" s="17"/>
      <c r="AT75" s="17"/>
      <c r="AU75" s="17"/>
      <c r="AV75" s="17"/>
      <c r="AW75" s="123"/>
      <c r="AX75" s="17"/>
      <c r="AY75" s="17"/>
      <c r="AZ75" s="17"/>
      <c r="BA75" s="17"/>
      <c r="BB75" s="17"/>
      <c r="BC75" s="17"/>
      <c r="BD75" s="17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368"/>
    </row>
    <row r="76" spans="1:79" s="381" customFormat="1" ht="42" customHeight="1" x14ac:dyDescent="0.25">
      <c r="A76" s="367">
        <v>730007</v>
      </c>
      <c r="B76" s="12" t="s">
        <v>5</v>
      </c>
      <c r="C76" s="13" t="s">
        <v>54</v>
      </c>
      <c r="D76" s="10" t="s">
        <v>2668</v>
      </c>
      <c r="E76" s="12" t="s">
        <v>2669</v>
      </c>
      <c r="F76" s="16" t="s">
        <v>2670</v>
      </c>
      <c r="G76" s="10" t="s">
        <v>30</v>
      </c>
      <c r="H76" s="10" t="s">
        <v>145</v>
      </c>
      <c r="I76" s="16" t="s">
        <v>5</v>
      </c>
      <c r="J76" s="53">
        <v>45721</v>
      </c>
      <c r="K76" s="13" t="s">
        <v>2671</v>
      </c>
      <c r="L76" s="53">
        <f t="shared" si="14"/>
        <v>45728</v>
      </c>
      <c r="M76" s="53">
        <v>45735</v>
      </c>
      <c r="N76" s="92">
        <f t="shared" si="15"/>
        <v>7</v>
      </c>
      <c r="O76" s="10" t="s">
        <v>2693</v>
      </c>
      <c r="P76" s="10"/>
      <c r="Q76" s="21"/>
      <c r="R76" s="10"/>
      <c r="S76" s="10"/>
      <c r="T76" s="21"/>
      <c r="U76" s="95"/>
      <c r="V76" s="10"/>
      <c r="W76" s="10"/>
      <c r="X76" s="21"/>
      <c r="Y76" s="10"/>
      <c r="Z76" s="10"/>
      <c r="AA76" s="21"/>
      <c r="AB76" s="95"/>
      <c r="AC76" s="10"/>
      <c r="AD76" s="10"/>
      <c r="AE76" s="21"/>
      <c r="AF76" s="10"/>
      <c r="AG76" s="10"/>
      <c r="AH76" s="21"/>
      <c r="AI76" s="95"/>
      <c r="AJ76" s="10"/>
      <c r="AK76" s="10"/>
      <c r="AL76" s="17"/>
      <c r="AM76" s="11"/>
      <c r="AN76" s="11"/>
      <c r="AO76" s="17"/>
      <c r="AP76" s="123"/>
      <c r="AQ76" s="17"/>
      <c r="AR76" s="17"/>
      <c r="AS76" s="17"/>
      <c r="AT76" s="17"/>
      <c r="AU76" s="17"/>
      <c r="AV76" s="17"/>
      <c r="AW76" s="123"/>
      <c r="AX76" s="17"/>
      <c r="AY76" s="17"/>
      <c r="AZ76" s="17"/>
      <c r="BA76" s="17"/>
      <c r="BB76" s="17"/>
      <c r="BC76" s="17"/>
      <c r="BD76" s="17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368"/>
    </row>
    <row r="77" spans="1:79" s="381" customFormat="1" ht="42" customHeight="1" x14ac:dyDescent="0.25">
      <c r="A77" s="367">
        <v>730007</v>
      </c>
      <c r="B77" s="12" t="s">
        <v>3</v>
      </c>
      <c r="C77" s="13" t="s">
        <v>2456</v>
      </c>
      <c r="D77" s="10" t="s">
        <v>2726</v>
      </c>
      <c r="E77" s="12" t="s">
        <v>2727</v>
      </c>
      <c r="F77" s="16" t="s">
        <v>2728</v>
      </c>
      <c r="G77" s="10" t="s">
        <v>30</v>
      </c>
      <c r="H77" s="10" t="s">
        <v>145</v>
      </c>
      <c r="I77" s="16" t="s">
        <v>18</v>
      </c>
      <c r="J77" s="53">
        <v>45726</v>
      </c>
      <c r="K77" s="13" t="s">
        <v>2729</v>
      </c>
      <c r="L77" s="53">
        <f t="shared" si="14"/>
        <v>45733</v>
      </c>
      <c r="M77" s="53">
        <v>45735</v>
      </c>
      <c r="N77" s="92">
        <f t="shared" si="15"/>
        <v>2</v>
      </c>
      <c r="O77" s="10" t="s">
        <v>2756</v>
      </c>
      <c r="P77" s="10" t="s">
        <v>18</v>
      </c>
      <c r="Q77" s="21">
        <v>45805</v>
      </c>
      <c r="R77" s="10" t="s">
        <v>3394</v>
      </c>
      <c r="S77" s="53">
        <f>Q77+7</f>
        <v>45812</v>
      </c>
      <c r="T77" s="21">
        <v>45823</v>
      </c>
      <c r="U77" s="92">
        <f>T77-S77</f>
        <v>11</v>
      </c>
      <c r="V77" s="10" t="s">
        <v>3407</v>
      </c>
      <c r="W77" s="10" t="s">
        <v>18</v>
      </c>
      <c r="X77" s="21">
        <v>46070</v>
      </c>
      <c r="Y77" s="10" t="s">
        <v>5860</v>
      </c>
      <c r="Z77" s="53">
        <f>X77+7</f>
        <v>46077</v>
      </c>
      <c r="AA77" s="21">
        <v>46079</v>
      </c>
      <c r="AB77" s="92">
        <f>AA77-Z77</f>
        <v>2</v>
      </c>
      <c r="AC77" s="10" t="s">
        <v>5863</v>
      </c>
      <c r="AD77" s="10" t="s">
        <v>18</v>
      </c>
      <c r="AE77" s="21">
        <v>46085</v>
      </c>
      <c r="AF77" s="10" t="s">
        <v>5956</v>
      </c>
      <c r="AG77" s="53">
        <f>AE77+7</f>
        <v>46092</v>
      </c>
      <c r="AH77" s="21">
        <v>46098</v>
      </c>
      <c r="AI77" s="92">
        <f>AH77-AG77</f>
        <v>6</v>
      </c>
      <c r="AJ77" s="10" t="s">
        <v>5968</v>
      </c>
      <c r="AK77" s="12" t="s">
        <v>3</v>
      </c>
      <c r="AL77" s="17">
        <v>46202</v>
      </c>
      <c r="AM77" s="11" t="s">
        <v>7142</v>
      </c>
      <c r="AN77" s="53">
        <f>AL77+7</f>
        <v>46209</v>
      </c>
      <c r="AO77" s="17">
        <v>46215</v>
      </c>
      <c r="AP77" s="123">
        <f>AO77-AN77</f>
        <v>6</v>
      </c>
      <c r="AQ77" s="17" t="s">
        <v>7156</v>
      </c>
      <c r="AR77" s="17"/>
      <c r="AS77" s="17"/>
      <c r="AT77" s="17"/>
      <c r="AU77" s="17"/>
      <c r="AV77" s="17"/>
      <c r="AW77" s="123"/>
      <c r="AX77" s="17"/>
      <c r="AY77" s="17"/>
      <c r="AZ77" s="17"/>
      <c r="BA77" s="17"/>
      <c r="BB77" s="17"/>
      <c r="BC77" s="17"/>
      <c r="BD77" s="17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368"/>
    </row>
    <row r="78" spans="1:79" s="381" customFormat="1" ht="42" customHeight="1" x14ac:dyDescent="0.25">
      <c r="A78" s="367">
        <v>730007</v>
      </c>
      <c r="B78" s="12" t="s">
        <v>5</v>
      </c>
      <c r="C78" s="13" t="s">
        <v>54</v>
      </c>
      <c r="D78" s="10" t="s">
        <v>2768</v>
      </c>
      <c r="E78" s="12" t="s">
        <v>2771</v>
      </c>
      <c r="F78" s="16" t="s">
        <v>2767</v>
      </c>
      <c r="G78" s="10" t="s">
        <v>30</v>
      </c>
      <c r="H78" s="10" t="s">
        <v>145</v>
      </c>
      <c r="I78" s="16" t="s">
        <v>5</v>
      </c>
      <c r="J78" s="53">
        <v>45728</v>
      </c>
      <c r="K78" s="13" t="s">
        <v>2774</v>
      </c>
      <c r="L78" s="53">
        <f t="shared" ref="L78:L84" si="16">J78+7</f>
        <v>45735</v>
      </c>
      <c r="M78" s="53">
        <v>45739</v>
      </c>
      <c r="N78" s="92">
        <f t="shared" si="15"/>
        <v>4</v>
      </c>
      <c r="O78" s="10" t="s">
        <v>2785</v>
      </c>
      <c r="P78" s="10"/>
      <c r="Q78" s="21"/>
      <c r="R78" s="10"/>
      <c r="S78" s="10"/>
      <c r="T78" s="21"/>
      <c r="U78" s="95"/>
      <c r="V78" s="10"/>
      <c r="W78" s="10"/>
      <c r="X78" s="21"/>
      <c r="Y78" s="10"/>
      <c r="Z78" s="10"/>
      <c r="AA78" s="21"/>
      <c r="AB78" s="95"/>
      <c r="AC78" s="10"/>
      <c r="AD78" s="10"/>
      <c r="AE78" s="21"/>
      <c r="AF78" s="10"/>
      <c r="AG78" s="10"/>
      <c r="AH78" s="21"/>
      <c r="AI78" s="95"/>
      <c r="AJ78" s="10"/>
      <c r="AK78" s="10"/>
      <c r="AL78" s="17"/>
      <c r="AM78" s="11"/>
      <c r="AN78" s="11"/>
      <c r="AO78" s="17"/>
      <c r="AP78" s="123"/>
      <c r="AQ78" s="17"/>
      <c r="AR78" s="17"/>
      <c r="AS78" s="17"/>
      <c r="AT78" s="17"/>
      <c r="AU78" s="17"/>
      <c r="AV78" s="17"/>
      <c r="AW78" s="123"/>
      <c r="AX78" s="17"/>
      <c r="AY78" s="17"/>
      <c r="AZ78" s="17"/>
      <c r="BA78" s="17"/>
      <c r="BB78" s="17"/>
      <c r="BC78" s="17"/>
      <c r="BD78" s="17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368"/>
    </row>
    <row r="79" spans="1:79" s="381" customFormat="1" ht="42" customHeight="1" x14ac:dyDescent="0.25">
      <c r="A79" s="367">
        <v>730007</v>
      </c>
      <c r="B79" s="58" t="s">
        <v>508</v>
      </c>
      <c r="C79" s="13" t="s">
        <v>627</v>
      </c>
      <c r="D79" s="10" t="s">
        <v>2769</v>
      </c>
      <c r="E79" s="12" t="s">
        <v>2772</v>
      </c>
      <c r="F79" s="16" t="s">
        <v>2775</v>
      </c>
      <c r="G79" s="10" t="s">
        <v>30</v>
      </c>
      <c r="H79" s="10" t="s">
        <v>145</v>
      </c>
      <c r="I79" s="16" t="s">
        <v>3</v>
      </c>
      <c r="J79" s="53">
        <v>45734</v>
      </c>
      <c r="K79" s="13" t="s">
        <v>2828</v>
      </c>
      <c r="L79" s="53">
        <f t="shared" si="16"/>
        <v>45741</v>
      </c>
      <c r="M79" s="53">
        <v>45756</v>
      </c>
      <c r="N79" s="92">
        <f t="shared" si="15"/>
        <v>15</v>
      </c>
      <c r="O79" s="10" t="s">
        <v>2844</v>
      </c>
      <c r="P79" s="58" t="s">
        <v>508</v>
      </c>
      <c r="Q79" s="21">
        <v>45824</v>
      </c>
      <c r="R79" s="150" t="s">
        <v>3504</v>
      </c>
      <c r="S79" s="10"/>
      <c r="T79" s="21"/>
      <c r="U79" s="95"/>
      <c r="V79" s="10"/>
      <c r="W79" s="10"/>
      <c r="X79" s="21"/>
      <c r="Y79" s="10"/>
      <c r="Z79" s="10"/>
      <c r="AA79" s="21"/>
      <c r="AB79" s="95"/>
      <c r="AC79" s="10"/>
      <c r="AD79" s="10"/>
      <c r="AE79" s="21"/>
      <c r="AF79" s="10"/>
      <c r="AG79" s="10"/>
      <c r="AH79" s="21"/>
      <c r="AI79" s="95"/>
      <c r="AJ79" s="10"/>
      <c r="AK79" s="10"/>
      <c r="AL79" s="17"/>
      <c r="AM79" s="11"/>
      <c r="AN79" s="11"/>
      <c r="AO79" s="17"/>
      <c r="AP79" s="123"/>
      <c r="AQ79" s="17"/>
      <c r="AR79" s="17"/>
      <c r="AS79" s="17"/>
      <c r="AT79" s="17"/>
      <c r="AU79" s="17"/>
      <c r="AV79" s="17"/>
      <c r="AW79" s="123"/>
      <c r="AX79" s="17"/>
      <c r="AY79" s="17"/>
      <c r="AZ79" s="17"/>
      <c r="BA79" s="17"/>
      <c r="BB79" s="17"/>
      <c r="BC79" s="17"/>
      <c r="BD79" s="17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368"/>
    </row>
    <row r="80" spans="1:79" s="381" customFormat="1" ht="42" customHeight="1" x14ac:dyDescent="0.25">
      <c r="A80" s="367">
        <v>730007</v>
      </c>
      <c r="B80" s="12" t="s">
        <v>5</v>
      </c>
      <c r="C80" s="13" t="s">
        <v>54</v>
      </c>
      <c r="D80" s="10" t="s">
        <v>2770</v>
      </c>
      <c r="E80" s="12" t="s">
        <v>2773</v>
      </c>
      <c r="F80" s="16" t="s">
        <v>2776</v>
      </c>
      <c r="G80" s="10" t="s">
        <v>30</v>
      </c>
      <c r="H80" s="10" t="s">
        <v>145</v>
      </c>
      <c r="I80" s="16" t="s">
        <v>5</v>
      </c>
      <c r="J80" s="53">
        <v>45728</v>
      </c>
      <c r="K80" s="13" t="s">
        <v>2777</v>
      </c>
      <c r="L80" s="53">
        <f>J80+7</f>
        <v>45735</v>
      </c>
      <c r="M80" s="53">
        <v>45739</v>
      </c>
      <c r="N80" s="92">
        <f t="shared" ref="N80:N88" si="17">M80-L80</f>
        <v>4</v>
      </c>
      <c r="O80" s="10" t="s">
        <v>2786</v>
      </c>
      <c r="P80" s="10"/>
      <c r="Q80" s="21"/>
      <c r="R80" s="10"/>
      <c r="S80" s="10"/>
      <c r="T80" s="21"/>
      <c r="U80" s="95"/>
      <c r="V80" s="10"/>
      <c r="W80" s="10"/>
      <c r="X80" s="21"/>
      <c r="Y80" s="10"/>
      <c r="Z80" s="10"/>
      <c r="AA80" s="21"/>
      <c r="AB80" s="95"/>
      <c r="AC80" s="10"/>
      <c r="AD80" s="10"/>
      <c r="AE80" s="21"/>
      <c r="AF80" s="10"/>
      <c r="AG80" s="10"/>
      <c r="AH80" s="21"/>
      <c r="AI80" s="95"/>
      <c r="AJ80" s="10"/>
      <c r="AK80" s="10"/>
      <c r="AL80" s="17"/>
      <c r="AM80" s="11"/>
      <c r="AN80" s="11"/>
      <c r="AO80" s="17"/>
      <c r="AP80" s="123"/>
      <c r="AQ80" s="17"/>
      <c r="AR80" s="17"/>
      <c r="AS80" s="17"/>
      <c r="AT80" s="17"/>
      <c r="AU80" s="17"/>
      <c r="AV80" s="17"/>
      <c r="AW80" s="123"/>
      <c r="AX80" s="17"/>
      <c r="AY80" s="17"/>
      <c r="AZ80" s="17"/>
      <c r="BA80" s="17"/>
      <c r="BB80" s="17"/>
      <c r="BC80" s="17"/>
      <c r="BD80" s="17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368"/>
    </row>
    <row r="81" spans="1:79" s="381" customFormat="1" ht="42" customHeight="1" x14ac:dyDescent="0.25">
      <c r="A81" s="367">
        <v>730007</v>
      </c>
      <c r="B81" s="12" t="s">
        <v>5</v>
      </c>
      <c r="C81" s="13" t="s">
        <v>54</v>
      </c>
      <c r="D81" s="10" t="s">
        <v>2796</v>
      </c>
      <c r="E81" s="12" t="s">
        <v>2795</v>
      </c>
      <c r="F81" s="16" t="s">
        <v>2797</v>
      </c>
      <c r="G81" s="10" t="s">
        <v>30</v>
      </c>
      <c r="H81" s="10" t="s">
        <v>145</v>
      </c>
      <c r="I81" s="16" t="s">
        <v>5</v>
      </c>
      <c r="J81" s="53">
        <v>45729</v>
      </c>
      <c r="K81" s="13" t="s">
        <v>2798</v>
      </c>
      <c r="L81" s="53">
        <f t="shared" si="16"/>
        <v>45736</v>
      </c>
      <c r="M81" s="53">
        <v>45741</v>
      </c>
      <c r="N81" s="92">
        <f t="shared" si="17"/>
        <v>5</v>
      </c>
      <c r="O81" s="10" t="s">
        <v>2809</v>
      </c>
      <c r="P81" s="10"/>
      <c r="Q81" s="21"/>
      <c r="R81" s="10"/>
      <c r="S81" s="10"/>
      <c r="T81" s="21"/>
      <c r="U81" s="95"/>
      <c r="V81" s="10"/>
      <c r="W81" s="10"/>
      <c r="X81" s="21"/>
      <c r="Y81" s="10"/>
      <c r="Z81" s="10"/>
      <c r="AA81" s="21"/>
      <c r="AB81" s="95"/>
      <c r="AC81" s="10"/>
      <c r="AD81" s="10"/>
      <c r="AE81" s="21"/>
      <c r="AF81" s="10"/>
      <c r="AG81" s="10"/>
      <c r="AH81" s="21"/>
      <c r="AI81" s="95"/>
      <c r="AJ81" s="10"/>
      <c r="AK81" s="10"/>
      <c r="AL81" s="17"/>
      <c r="AM81" s="11"/>
      <c r="AN81" s="11"/>
      <c r="AO81" s="17"/>
      <c r="AP81" s="123"/>
      <c r="AQ81" s="17"/>
      <c r="AR81" s="17"/>
      <c r="AS81" s="17"/>
      <c r="AT81" s="17"/>
      <c r="AU81" s="17"/>
      <c r="AV81" s="17"/>
      <c r="AW81" s="123"/>
      <c r="AX81" s="17"/>
      <c r="AY81" s="17"/>
      <c r="AZ81" s="17"/>
      <c r="BA81" s="17"/>
      <c r="BB81" s="17"/>
      <c r="BC81" s="17"/>
      <c r="BD81" s="17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368"/>
    </row>
    <row r="82" spans="1:79" s="381" customFormat="1" ht="42" customHeight="1" x14ac:dyDescent="0.25">
      <c r="A82" s="367">
        <v>730007</v>
      </c>
      <c r="B82" s="58" t="s">
        <v>508</v>
      </c>
      <c r="C82" s="13" t="s">
        <v>627</v>
      </c>
      <c r="D82" s="10" t="s">
        <v>2813</v>
      </c>
      <c r="E82" s="12" t="s">
        <v>2814</v>
      </c>
      <c r="F82" s="16" t="s">
        <v>2815</v>
      </c>
      <c r="G82" s="10" t="s">
        <v>30</v>
      </c>
      <c r="H82" s="10" t="s">
        <v>145</v>
      </c>
      <c r="I82" s="16" t="s">
        <v>3</v>
      </c>
      <c r="J82" s="53">
        <v>45732</v>
      </c>
      <c r="K82" s="13" t="s">
        <v>2816</v>
      </c>
      <c r="L82" s="53">
        <f t="shared" si="16"/>
        <v>45739</v>
      </c>
      <c r="M82" s="53">
        <v>45754</v>
      </c>
      <c r="N82" s="92">
        <f t="shared" si="17"/>
        <v>15</v>
      </c>
      <c r="O82" s="10" t="s">
        <v>2947</v>
      </c>
      <c r="P82" s="58" t="s">
        <v>508</v>
      </c>
      <c r="Q82" s="21">
        <v>45824</v>
      </c>
      <c r="R82" s="150" t="s">
        <v>3504</v>
      </c>
      <c r="S82" s="10"/>
      <c r="T82" s="21"/>
      <c r="U82" s="95"/>
      <c r="V82" s="10"/>
      <c r="W82" s="10"/>
      <c r="X82" s="21"/>
      <c r="Y82" s="10"/>
      <c r="Z82" s="10"/>
      <c r="AA82" s="21"/>
      <c r="AB82" s="95"/>
      <c r="AC82" s="10"/>
      <c r="AD82" s="10"/>
      <c r="AE82" s="21"/>
      <c r="AF82" s="10"/>
      <c r="AG82" s="10"/>
      <c r="AH82" s="21"/>
      <c r="AI82" s="95"/>
      <c r="AJ82" s="10"/>
      <c r="AK82" s="10"/>
      <c r="AL82" s="17"/>
      <c r="AM82" s="11"/>
      <c r="AN82" s="11"/>
      <c r="AO82" s="17"/>
      <c r="AP82" s="123"/>
      <c r="AQ82" s="17"/>
      <c r="AR82" s="17"/>
      <c r="AS82" s="17"/>
      <c r="AT82" s="17"/>
      <c r="AU82" s="17"/>
      <c r="AV82" s="17"/>
      <c r="AW82" s="123"/>
      <c r="AX82" s="17"/>
      <c r="AY82" s="17"/>
      <c r="AZ82" s="17"/>
      <c r="BA82" s="17"/>
      <c r="BB82" s="17"/>
      <c r="BC82" s="17"/>
      <c r="BD82" s="17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368"/>
    </row>
    <row r="83" spans="1:79" s="381" customFormat="1" ht="42" customHeight="1" x14ac:dyDescent="0.25">
      <c r="A83" s="367">
        <v>730007</v>
      </c>
      <c r="B83" s="12" t="s">
        <v>5</v>
      </c>
      <c r="C83" s="13" t="s">
        <v>54</v>
      </c>
      <c r="D83" s="10" t="s">
        <v>2833</v>
      </c>
      <c r="E83" s="12" t="s">
        <v>2835</v>
      </c>
      <c r="F83" s="16" t="s">
        <v>2837</v>
      </c>
      <c r="G83" s="10" t="s">
        <v>30</v>
      </c>
      <c r="H83" s="10" t="s">
        <v>145</v>
      </c>
      <c r="I83" s="16" t="s">
        <v>5</v>
      </c>
      <c r="J83" s="53">
        <v>45734</v>
      </c>
      <c r="K83" s="13" t="s">
        <v>2839</v>
      </c>
      <c r="L83" s="53">
        <f>J83+7</f>
        <v>45741</v>
      </c>
      <c r="M83" s="53">
        <v>45756</v>
      </c>
      <c r="N83" s="92">
        <f t="shared" si="17"/>
        <v>15</v>
      </c>
      <c r="O83" s="10" t="s">
        <v>2846</v>
      </c>
      <c r="P83" s="10"/>
      <c r="Q83" s="21"/>
      <c r="R83" s="10"/>
      <c r="S83" s="10"/>
      <c r="T83" s="21"/>
      <c r="U83" s="95"/>
      <c r="V83" s="10"/>
      <c r="W83" s="10"/>
      <c r="X83" s="21"/>
      <c r="Y83" s="10"/>
      <c r="Z83" s="10"/>
      <c r="AA83" s="21"/>
      <c r="AB83" s="95"/>
      <c r="AC83" s="10"/>
      <c r="AD83" s="10"/>
      <c r="AE83" s="21"/>
      <c r="AF83" s="10"/>
      <c r="AG83" s="10"/>
      <c r="AH83" s="21"/>
      <c r="AI83" s="95"/>
      <c r="AJ83" s="10"/>
      <c r="AK83" s="10"/>
      <c r="AL83" s="17"/>
      <c r="AM83" s="11"/>
      <c r="AN83" s="11"/>
      <c r="AO83" s="17"/>
      <c r="AP83" s="123"/>
      <c r="AQ83" s="17"/>
      <c r="AR83" s="17"/>
      <c r="AS83" s="17"/>
      <c r="AT83" s="17"/>
      <c r="AU83" s="17"/>
      <c r="AV83" s="17"/>
      <c r="AW83" s="123"/>
      <c r="AX83" s="17"/>
      <c r="AY83" s="17"/>
      <c r="AZ83" s="17"/>
      <c r="BA83" s="17"/>
      <c r="BB83" s="17"/>
      <c r="BC83" s="17"/>
      <c r="BD83" s="17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368"/>
    </row>
    <row r="84" spans="1:79" s="381" customFormat="1" ht="42" customHeight="1" x14ac:dyDescent="0.25">
      <c r="A84" s="367">
        <v>730007</v>
      </c>
      <c r="B84" s="12" t="s">
        <v>5</v>
      </c>
      <c r="C84" s="13" t="s">
        <v>4883</v>
      </c>
      <c r="D84" s="10" t="s">
        <v>2834</v>
      </c>
      <c r="E84" s="12" t="s">
        <v>2836</v>
      </c>
      <c r="F84" s="16" t="s">
        <v>2838</v>
      </c>
      <c r="G84" s="10" t="s">
        <v>30</v>
      </c>
      <c r="H84" s="10" t="s">
        <v>145</v>
      </c>
      <c r="I84" s="16" t="s">
        <v>3</v>
      </c>
      <c r="J84" s="53">
        <v>45734</v>
      </c>
      <c r="K84" s="13" t="s">
        <v>2840</v>
      </c>
      <c r="L84" s="53">
        <f t="shared" si="16"/>
        <v>45741</v>
      </c>
      <c r="M84" s="53">
        <v>45757</v>
      </c>
      <c r="N84" s="92">
        <f t="shared" si="17"/>
        <v>16</v>
      </c>
      <c r="O84" s="10" t="s">
        <v>2847</v>
      </c>
      <c r="P84" s="10" t="s">
        <v>3</v>
      </c>
      <c r="Q84" s="21">
        <v>45764</v>
      </c>
      <c r="R84" s="10" t="s">
        <v>3012</v>
      </c>
      <c r="S84" s="53">
        <f>Q84+7</f>
        <v>45771</v>
      </c>
      <c r="T84" s="21">
        <v>45783</v>
      </c>
      <c r="U84" s="92">
        <f>T84-S84</f>
        <v>12</v>
      </c>
      <c r="V84" s="10" t="s">
        <v>3020</v>
      </c>
      <c r="W84" s="12" t="s">
        <v>3</v>
      </c>
      <c r="X84" s="21">
        <v>45858</v>
      </c>
      <c r="Y84" s="150" t="s">
        <v>3737</v>
      </c>
      <c r="Z84" s="53">
        <f>X84+7</f>
        <v>45865</v>
      </c>
      <c r="AA84" s="21">
        <v>45865</v>
      </c>
      <c r="AB84" s="92">
        <f>AA84-Z84</f>
        <v>0</v>
      </c>
      <c r="AC84" s="10" t="s">
        <v>3739</v>
      </c>
      <c r="AD84" s="10" t="s">
        <v>18</v>
      </c>
      <c r="AE84" s="21">
        <v>45867</v>
      </c>
      <c r="AF84" s="150" t="s">
        <v>3846</v>
      </c>
      <c r="AG84" s="21">
        <f>AE84+7</f>
        <v>45874</v>
      </c>
      <c r="AH84" s="21">
        <v>45875</v>
      </c>
      <c r="AI84" s="92">
        <f>AH84-AG84</f>
        <v>1</v>
      </c>
      <c r="AJ84" s="10" t="s">
        <v>3865</v>
      </c>
      <c r="AK84" s="10" t="s">
        <v>18</v>
      </c>
      <c r="AL84" s="17">
        <v>46058</v>
      </c>
      <c r="AM84" s="11" t="s">
        <v>5767</v>
      </c>
      <c r="AN84" s="21">
        <f>AL84+7</f>
        <v>46065</v>
      </c>
      <c r="AO84" s="21">
        <v>46076</v>
      </c>
      <c r="AP84" s="92">
        <f>AO84-AN84</f>
        <v>11</v>
      </c>
      <c r="AQ84" s="17" t="s">
        <v>5781</v>
      </c>
      <c r="AR84" s="17" t="s">
        <v>18</v>
      </c>
      <c r="AS84" s="17">
        <v>46151</v>
      </c>
      <c r="AT84" s="17" t="s">
        <v>6703</v>
      </c>
      <c r="AU84" s="21">
        <f>AS84+7</f>
        <v>46158</v>
      </c>
      <c r="AV84" s="21">
        <v>46160</v>
      </c>
      <c r="AW84" s="92">
        <f>AV84-AU84</f>
        <v>2</v>
      </c>
      <c r="AX84" s="17" t="s">
        <v>6716</v>
      </c>
      <c r="AY84" s="17" t="s">
        <v>5</v>
      </c>
      <c r="AZ84" s="17">
        <v>46162</v>
      </c>
      <c r="BA84" s="17" t="s">
        <v>6876</v>
      </c>
      <c r="BB84" s="21">
        <f>AZ84+7</f>
        <v>46169</v>
      </c>
      <c r="BC84" s="21">
        <v>46180</v>
      </c>
      <c r="BD84" s="92">
        <f>BC84-BB84</f>
        <v>11</v>
      </c>
      <c r="BE84" s="11" t="s">
        <v>6889</v>
      </c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368"/>
    </row>
    <row r="85" spans="1:79" s="381" customFormat="1" ht="42" customHeight="1" x14ac:dyDescent="0.25">
      <c r="A85" s="367">
        <v>730007</v>
      </c>
      <c r="B85" s="12" t="s">
        <v>5</v>
      </c>
      <c r="C85" s="13" t="s">
        <v>2456</v>
      </c>
      <c r="D85" s="10" t="s">
        <v>2862</v>
      </c>
      <c r="E85" s="12" t="s">
        <v>2863</v>
      </c>
      <c r="F85" s="16" t="s">
        <v>2864</v>
      </c>
      <c r="G85" s="10" t="s">
        <v>30</v>
      </c>
      <c r="H85" s="10" t="s">
        <v>145</v>
      </c>
      <c r="I85" s="16" t="s">
        <v>18</v>
      </c>
      <c r="J85" s="53">
        <v>45736</v>
      </c>
      <c r="K85" s="13" t="s">
        <v>2865</v>
      </c>
      <c r="L85" s="53">
        <f>J85+7</f>
        <v>45743</v>
      </c>
      <c r="M85" s="53">
        <v>45769</v>
      </c>
      <c r="N85" s="92">
        <f t="shared" si="17"/>
        <v>26</v>
      </c>
      <c r="O85" s="10" t="s">
        <v>2870</v>
      </c>
      <c r="P85" s="10" t="s">
        <v>18</v>
      </c>
      <c r="Q85" s="21">
        <v>45857</v>
      </c>
      <c r="R85" s="150" t="s">
        <v>3720</v>
      </c>
      <c r="S85" s="53">
        <f>Q85+7</f>
        <v>45864</v>
      </c>
      <c r="T85" s="21">
        <v>45864</v>
      </c>
      <c r="U85" s="92">
        <f>T85-S85</f>
        <v>0</v>
      </c>
      <c r="V85" s="10" t="s">
        <v>3730</v>
      </c>
      <c r="W85" s="10" t="s">
        <v>18</v>
      </c>
      <c r="X85" s="21">
        <v>45990</v>
      </c>
      <c r="Y85" s="10" t="s">
        <v>5068</v>
      </c>
      <c r="Z85" s="53">
        <f>X85+7</f>
        <v>45997</v>
      </c>
      <c r="AA85" s="21">
        <v>46006</v>
      </c>
      <c r="AB85" s="92">
        <f>AA85-Z85</f>
        <v>9</v>
      </c>
      <c r="AC85" s="10" t="s">
        <v>5083</v>
      </c>
      <c r="AD85" s="10" t="s">
        <v>5</v>
      </c>
      <c r="AE85" s="21">
        <v>46077</v>
      </c>
      <c r="AF85" s="10" t="s">
        <v>5894</v>
      </c>
      <c r="AG85" s="21">
        <f>AE85+7</f>
        <v>46084</v>
      </c>
      <c r="AH85" s="21">
        <v>46083</v>
      </c>
      <c r="AI85" s="92">
        <f>AH85-AG85</f>
        <v>-1</v>
      </c>
      <c r="AJ85" s="10" t="s">
        <v>5905</v>
      </c>
      <c r="AK85" s="10" t="s">
        <v>5</v>
      </c>
      <c r="AL85" s="17">
        <v>46254</v>
      </c>
      <c r="AM85" s="11" t="s">
        <v>7494</v>
      </c>
      <c r="AN85" s="21">
        <f>AL85+7</f>
        <v>46261</v>
      </c>
      <c r="AO85" s="17">
        <v>46261</v>
      </c>
      <c r="AP85" s="92">
        <f>AO85-AN85</f>
        <v>0</v>
      </c>
      <c r="AQ85" s="17" t="s">
        <v>7498</v>
      </c>
      <c r="AR85" s="17"/>
      <c r="AS85" s="17"/>
      <c r="AT85" s="17"/>
      <c r="AU85" s="17"/>
      <c r="AV85" s="17"/>
      <c r="AW85" s="123"/>
      <c r="AX85" s="17"/>
      <c r="AY85" s="17"/>
      <c r="AZ85" s="17"/>
      <c r="BA85" s="17"/>
      <c r="BB85" s="17"/>
      <c r="BC85" s="17"/>
      <c r="BD85" s="17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368"/>
    </row>
    <row r="86" spans="1:79" s="381" customFormat="1" ht="42" customHeight="1" x14ac:dyDescent="0.25">
      <c r="A86" s="367">
        <v>730007</v>
      </c>
      <c r="B86" s="12" t="s">
        <v>18</v>
      </c>
      <c r="C86" s="13" t="s">
        <v>2456</v>
      </c>
      <c r="D86" s="10" t="s">
        <v>2874</v>
      </c>
      <c r="E86" s="12" t="s">
        <v>2875</v>
      </c>
      <c r="F86" s="16" t="s">
        <v>2876</v>
      </c>
      <c r="G86" s="10" t="s">
        <v>30</v>
      </c>
      <c r="H86" s="10" t="s">
        <v>145</v>
      </c>
      <c r="I86" s="16" t="s">
        <v>3</v>
      </c>
      <c r="J86" s="53">
        <v>45738</v>
      </c>
      <c r="K86" s="13" t="s">
        <v>2877</v>
      </c>
      <c r="L86" s="53">
        <f t="shared" ref="L86:L91" si="18">J86+7</f>
        <v>45745</v>
      </c>
      <c r="M86" s="53">
        <v>45760</v>
      </c>
      <c r="N86" s="92">
        <f t="shared" si="17"/>
        <v>15</v>
      </c>
      <c r="O86" s="10" t="s">
        <v>2881</v>
      </c>
      <c r="P86" s="10" t="s">
        <v>3</v>
      </c>
      <c r="Q86" s="21">
        <v>45801</v>
      </c>
      <c r="R86" s="10" t="s">
        <v>3351</v>
      </c>
      <c r="S86" s="53">
        <f t="shared" ref="S86:S91" si="19">Q86+7</f>
        <v>45808</v>
      </c>
      <c r="T86" s="21">
        <v>45825</v>
      </c>
      <c r="U86" s="92">
        <f>T86-S86</f>
        <v>17</v>
      </c>
      <c r="V86" s="10" t="s">
        <v>3356</v>
      </c>
      <c r="W86" s="12" t="s">
        <v>3</v>
      </c>
      <c r="X86" s="21">
        <v>45850</v>
      </c>
      <c r="Y86" s="150" t="s">
        <v>3640</v>
      </c>
      <c r="Z86" s="53">
        <f>X86+7</f>
        <v>45857</v>
      </c>
      <c r="AA86" s="21">
        <v>45869</v>
      </c>
      <c r="AB86" s="92">
        <f>AA86-Z86</f>
        <v>12</v>
      </c>
      <c r="AC86" s="10" t="s">
        <v>3642</v>
      </c>
      <c r="AD86" s="10" t="s">
        <v>18</v>
      </c>
      <c r="AE86" s="21">
        <v>45896</v>
      </c>
      <c r="AF86" s="10" t="s">
        <v>4051</v>
      </c>
      <c r="AG86" s="21">
        <f>AE86+7</f>
        <v>45903</v>
      </c>
      <c r="AH86" s="21">
        <v>45908</v>
      </c>
      <c r="AI86" s="92">
        <f>AH86-AG86</f>
        <v>5</v>
      </c>
      <c r="AJ86" s="10" t="s">
        <v>4073</v>
      </c>
      <c r="AK86" s="10" t="s">
        <v>18</v>
      </c>
      <c r="AL86" s="17">
        <v>46210</v>
      </c>
      <c r="AM86" s="11" t="s">
        <v>7234</v>
      </c>
      <c r="AN86" s="21">
        <f>AL86+7</f>
        <v>46217</v>
      </c>
      <c r="AO86" s="21">
        <v>46219</v>
      </c>
      <c r="AP86" s="92">
        <f>AO86-AN86</f>
        <v>2</v>
      </c>
      <c r="AQ86" s="17" t="s">
        <v>7243</v>
      </c>
      <c r="AR86" s="17"/>
      <c r="AS86" s="17"/>
      <c r="AT86" s="17"/>
      <c r="AU86" s="17"/>
      <c r="AV86" s="17"/>
      <c r="AW86" s="123"/>
      <c r="AX86" s="17"/>
      <c r="AY86" s="17"/>
      <c r="AZ86" s="17"/>
      <c r="BA86" s="17"/>
      <c r="BB86" s="17"/>
      <c r="BC86" s="17"/>
      <c r="BD86" s="17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368"/>
    </row>
    <row r="87" spans="1:79" s="381" customFormat="1" ht="42" customHeight="1" x14ac:dyDescent="0.25">
      <c r="A87" s="367">
        <v>730007</v>
      </c>
      <c r="B87" s="58" t="s">
        <v>508</v>
      </c>
      <c r="C87" s="13" t="s">
        <v>627</v>
      </c>
      <c r="D87" s="10" t="s">
        <v>2929</v>
      </c>
      <c r="E87" s="12" t="s">
        <v>2930</v>
      </c>
      <c r="F87" s="16" t="s">
        <v>2931</v>
      </c>
      <c r="G87" s="10" t="s">
        <v>30</v>
      </c>
      <c r="H87" s="10" t="s">
        <v>145</v>
      </c>
      <c r="I87" s="16" t="s">
        <v>3</v>
      </c>
      <c r="J87" s="53">
        <v>45743</v>
      </c>
      <c r="K87" s="13" t="s">
        <v>2932</v>
      </c>
      <c r="L87" s="53">
        <f t="shared" si="18"/>
        <v>45750</v>
      </c>
      <c r="M87" s="53">
        <v>45770</v>
      </c>
      <c r="N87" s="92">
        <f t="shared" si="17"/>
        <v>20</v>
      </c>
      <c r="O87" s="10" t="s">
        <v>2935</v>
      </c>
      <c r="P87" s="10" t="s">
        <v>508</v>
      </c>
      <c r="Q87" s="21">
        <v>45921</v>
      </c>
      <c r="R87" s="10" t="s">
        <v>4251</v>
      </c>
      <c r="S87" s="10" t="s">
        <v>626</v>
      </c>
      <c r="T87" s="21" t="s">
        <v>626</v>
      </c>
      <c r="U87" s="95" t="s">
        <v>626</v>
      </c>
      <c r="V87" s="10" t="s">
        <v>626</v>
      </c>
      <c r="W87" s="10"/>
      <c r="X87" s="21"/>
      <c r="Y87" s="10"/>
      <c r="Z87" s="10"/>
      <c r="AA87" s="21"/>
      <c r="AB87" s="95"/>
      <c r="AC87" s="10"/>
      <c r="AD87" s="10"/>
      <c r="AE87" s="21"/>
      <c r="AF87" s="10"/>
      <c r="AG87" s="10"/>
      <c r="AH87" s="21"/>
      <c r="AI87" s="95"/>
      <c r="AJ87" s="10"/>
      <c r="AK87" s="10"/>
      <c r="AL87" s="17"/>
      <c r="AM87" s="11"/>
      <c r="AN87" s="11"/>
      <c r="AO87" s="17"/>
      <c r="AP87" s="123"/>
      <c r="AQ87" s="17"/>
      <c r="AR87" s="17"/>
      <c r="AS87" s="17"/>
      <c r="AT87" s="17"/>
      <c r="AU87" s="17"/>
      <c r="AV87" s="17"/>
      <c r="AW87" s="123"/>
      <c r="AX87" s="17"/>
      <c r="AY87" s="17"/>
      <c r="AZ87" s="17"/>
      <c r="BA87" s="17"/>
      <c r="BB87" s="17"/>
      <c r="BC87" s="17"/>
      <c r="BD87" s="17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368"/>
    </row>
    <row r="88" spans="1:79" s="381" customFormat="1" ht="42" customHeight="1" x14ac:dyDescent="0.25">
      <c r="A88" s="367">
        <v>730007</v>
      </c>
      <c r="B88" s="12" t="s">
        <v>5</v>
      </c>
      <c r="C88" s="13" t="s">
        <v>725</v>
      </c>
      <c r="D88" s="10" t="s">
        <v>2981</v>
      </c>
      <c r="E88" s="12" t="s">
        <v>2983</v>
      </c>
      <c r="F88" s="16" t="s">
        <v>2985</v>
      </c>
      <c r="G88" s="10" t="s">
        <v>30</v>
      </c>
      <c r="H88" s="10" t="s">
        <v>145</v>
      </c>
      <c r="I88" s="16" t="s">
        <v>18</v>
      </c>
      <c r="J88" s="53">
        <v>45762</v>
      </c>
      <c r="K88" s="13" t="s">
        <v>2986</v>
      </c>
      <c r="L88" s="53">
        <f t="shared" si="18"/>
        <v>45769</v>
      </c>
      <c r="M88" s="53">
        <v>45778</v>
      </c>
      <c r="N88" s="92">
        <f t="shared" si="17"/>
        <v>9</v>
      </c>
      <c r="O88" s="10" t="s">
        <v>3001</v>
      </c>
      <c r="P88" s="16" t="s">
        <v>18</v>
      </c>
      <c r="Q88" s="21">
        <v>45783</v>
      </c>
      <c r="R88" s="10" t="s">
        <v>3200</v>
      </c>
      <c r="S88" s="53">
        <f t="shared" si="19"/>
        <v>45790</v>
      </c>
      <c r="T88" s="21">
        <v>45791</v>
      </c>
      <c r="U88" s="92">
        <f>T88-S88</f>
        <v>1</v>
      </c>
      <c r="V88" s="10" t="s">
        <v>3220</v>
      </c>
      <c r="W88" s="10" t="s">
        <v>18</v>
      </c>
      <c r="X88" s="21">
        <v>46053</v>
      </c>
      <c r="Y88" s="10" t="s">
        <v>5708</v>
      </c>
      <c r="Z88" s="21">
        <f t="shared" ref="Z88:Z94" si="20">X88+7</f>
        <v>46060</v>
      </c>
      <c r="AA88" s="21">
        <v>46058</v>
      </c>
      <c r="AB88" s="92">
        <f>AA88-Z88</f>
        <v>-2</v>
      </c>
      <c r="AC88" s="10" t="s">
        <v>5731</v>
      </c>
      <c r="AD88" s="12" t="s">
        <v>5</v>
      </c>
      <c r="AE88" s="21">
        <v>46065</v>
      </c>
      <c r="AF88" s="10" t="s">
        <v>5842</v>
      </c>
      <c r="AG88" s="21">
        <f>AE88+7</f>
        <v>46072</v>
      </c>
      <c r="AH88" s="21">
        <v>46071</v>
      </c>
      <c r="AI88" s="95">
        <f>AH88-AG88</f>
        <v>-1</v>
      </c>
      <c r="AJ88" s="10" t="s">
        <v>5853</v>
      </c>
      <c r="AK88" s="10"/>
      <c r="AL88" s="17"/>
      <c r="AM88" s="11"/>
      <c r="AN88" s="11"/>
      <c r="AO88" s="17"/>
      <c r="AP88" s="123"/>
      <c r="AQ88" s="17"/>
      <c r="AR88" s="17"/>
      <c r="AS88" s="17"/>
      <c r="AT88" s="17"/>
      <c r="AU88" s="17"/>
      <c r="AV88" s="17"/>
      <c r="AW88" s="123"/>
      <c r="AX88" s="17"/>
      <c r="AY88" s="17"/>
      <c r="AZ88" s="17"/>
      <c r="BA88" s="17"/>
      <c r="BB88" s="17"/>
      <c r="BC88" s="17"/>
      <c r="BD88" s="17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368"/>
    </row>
    <row r="89" spans="1:79" s="381" customFormat="1" ht="42" customHeight="1" x14ac:dyDescent="0.25">
      <c r="A89" s="367">
        <v>730007</v>
      </c>
      <c r="B89" s="12" t="s">
        <v>5</v>
      </c>
      <c r="C89" s="13" t="s">
        <v>2456</v>
      </c>
      <c r="D89" s="10" t="s">
        <v>2982</v>
      </c>
      <c r="E89" s="12" t="s">
        <v>2984</v>
      </c>
      <c r="F89" s="16" t="s">
        <v>2987</v>
      </c>
      <c r="G89" s="10" t="s">
        <v>30</v>
      </c>
      <c r="H89" s="10" t="s">
        <v>145</v>
      </c>
      <c r="I89" s="16" t="s">
        <v>3</v>
      </c>
      <c r="J89" s="53">
        <v>45762</v>
      </c>
      <c r="K89" s="13" t="s">
        <v>2988</v>
      </c>
      <c r="L89" s="53">
        <f t="shared" si="18"/>
        <v>45769</v>
      </c>
      <c r="M89" s="53">
        <v>45781</v>
      </c>
      <c r="N89" s="92">
        <f t="shared" ref="N89:N94" si="21">M89-L89</f>
        <v>12</v>
      </c>
      <c r="O89" s="10" t="s">
        <v>3002</v>
      </c>
      <c r="P89" s="10" t="s">
        <v>3</v>
      </c>
      <c r="Q89" s="21">
        <v>45797</v>
      </c>
      <c r="R89" s="10" t="s">
        <v>3324</v>
      </c>
      <c r="S89" s="53">
        <f t="shared" si="19"/>
        <v>45804</v>
      </c>
      <c r="T89" s="21">
        <v>45810</v>
      </c>
      <c r="U89" s="95"/>
      <c r="V89" s="10" t="s">
        <v>3333</v>
      </c>
      <c r="W89" s="12" t="s">
        <v>3</v>
      </c>
      <c r="X89" s="21">
        <v>45812</v>
      </c>
      <c r="Y89" s="150" t="s">
        <v>3479</v>
      </c>
      <c r="Z89" s="21">
        <f t="shared" si="20"/>
        <v>45819</v>
      </c>
      <c r="AA89" s="21">
        <v>45824</v>
      </c>
      <c r="AB89" s="92">
        <f>AA89-Z89</f>
        <v>5</v>
      </c>
      <c r="AC89" s="10" t="s">
        <v>3476</v>
      </c>
      <c r="AD89" s="10" t="s">
        <v>18</v>
      </c>
      <c r="AE89" s="21">
        <v>45838</v>
      </c>
      <c r="AF89" s="150" t="s">
        <v>3560</v>
      </c>
      <c r="AG89" s="21">
        <f>AE89+7</f>
        <v>45845</v>
      </c>
      <c r="AH89" s="21">
        <v>45851</v>
      </c>
      <c r="AI89" s="95">
        <f>AH89-AG89</f>
        <v>6</v>
      </c>
      <c r="AJ89" s="10" t="s">
        <v>3570</v>
      </c>
      <c r="AK89" s="10" t="s">
        <v>5</v>
      </c>
      <c r="AL89" s="17">
        <v>46203</v>
      </c>
      <c r="AM89" s="11" t="s">
        <v>7151</v>
      </c>
      <c r="AN89" s="21">
        <f>AL89+7</f>
        <v>46210</v>
      </c>
      <c r="AO89" s="21">
        <v>46215</v>
      </c>
      <c r="AP89" s="92">
        <f>AO89-AN89</f>
        <v>5</v>
      </c>
      <c r="AQ89" s="17" t="s">
        <v>7163</v>
      </c>
      <c r="AR89" s="17"/>
      <c r="AS89" s="17"/>
      <c r="AT89" s="17"/>
      <c r="AU89" s="17"/>
      <c r="AV89" s="17"/>
      <c r="AW89" s="123"/>
      <c r="AX89" s="17"/>
      <c r="AY89" s="17"/>
      <c r="AZ89" s="17"/>
      <c r="BA89" s="17"/>
      <c r="BB89" s="17"/>
      <c r="BC89" s="17"/>
      <c r="BD89" s="17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368"/>
    </row>
    <row r="90" spans="1:79" s="407" customFormat="1" ht="42" customHeight="1" x14ac:dyDescent="0.25">
      <c r="A90" s="419">
        <v>730007</v>
      </c>
      <c r="B90" s="358" t="s">
        <v>4</v>
      </c>
      <c r="C90" s="362" t="s">
        <v>588</v>
      </c>
      <c r="D90" s="355" t="s">
        <v>2989</v>
      </c>
      <c r="E90" s="358" t="s">
        <v>2990</v>
      </c>
      <c r="F90" s="347" t="s">
        <v>2991</v>
      </c>
      <c r="G90" s="355" t="s">
        <v>30</v>
      </c>
      <c r="H90" s="355" t="s">
        <v>145</v>
      </c>
      <c r="I90" s="347" t="s">
        <v>18</v>
      </c>
      <c r="J90" s="363">
        <v>45762</v>
      </c>
      <c r="K90" s="362" t="s">
        <v>2992</v>
      </c>
      <c r="L90" s="363">
        <f t="shared" si="18"/>
        <v>45769</v>
      </c>
      <c r="M90" s="363">
        <v>45781</v>
      </c>
      <c r="N90" s="360">
        <f t="shared" si="21"/>
        <v>12</v>
      </c>
      <c r="O90" s="355" t="s">
        <v>3005</v>
      </c>
      <c r="P90" s="347" t="s">
        <v>18</v>
      </c>
      <c r="Q90" s="364">
        <v>45808</v>
      </c>
      <c r="R90" s="355" t="s">
        <v>3415</v>
      </c>
      <c r="S90" s="363">
        <f t="shared" si="19"/>
        <v>45815</v>
      </c>
      <c r="T90" s="364">
        <v>45823</v>
      </c>
      <c r="U90" s="360">
        <f>T90-S90</f>
        <v>8</v>
      </c>
      <c r="V90" s="355" t="s">
        <v>3429</v>
      </c>
      <c r="W90" s="355" t="s">
        <v>4</v>
      </c>
      <c r="X90" s="364">
        <v>46257</v>
      </c>
      <c r="Y90" s="355" t="s">
        <v>7507</v>
      </c>
      <c r="Z90" s="364">
        <f t="shared" si="20"/>
        <v>46264</v>
      </c>
      <c r="AA90" s="364"/>
      <c r="AB90" s="360">
        <f>AA90-Z90</f>
        <v>-46264</v>
      </c>
      <c r="AC90" s="355" t="s">
        <v>7518</v>
      </c>
      <c r="AD90" s="355"/>
      <c r="AE90" s="364"/>
      <c r="AF90" s="355"/>
      <c r="AG90" s="355"/>
      <c r="AH90" s="364"/>
      <c r="AI90" s="365"/>
      <c r="AJ90" s="355"/>
      <c r="AK90" s="355"/>
      <c r="AL90" s="351"/>
      <c r="AM90" s="345"/>
      <c r="AN90" s="345"/>
      <c r="AO90" s="351"/>
      <c r="AP90" s="366"/>
      <c r="AQ90" s="351"/>
      <c r="AR90" s="351"/>
      <c r="AS90" s="351"/>
      <c r="AT90" s="351"/>
      <c r="AU90" s="351"/>
      <c r="AV90" s="351"/>
      <c r="AW90" s="366"/>
      <c r="AX90" s="351"/>
      <c r="AY90" s="351"/>
      <c r="AZ90" s="351"/>
      <c r="BA90" s="351"/>
      <c r="BB90" s="351"/>
      <c r="BC90" s="351"/>
      <c r="BD90" s="351"/>
      <c r="BE90" s="345"/>
      <c r="BF90" s="345"/>
      <c r="BG90" s="345"/>
      <c r="BH90" s="345"/>
      <c r="BI90" s="345"/>
      <c r="BJ90" s="345"/>
      <c r="BK90" s="345"/>
      <c r="BL90" s="345"/>
      <c r="BM90" s="345"/>
      <c r="BN90" s="345"/>
      <c r="BO90" s="345"/>
      <c r="BP90" s="345"/>
      <c r="BQ90" s="345"/>
      <c r="BR90" s="345"/>
      <c r="BS90" s="345"/>
      <c r="BT90" s="345"/>
      <c r="BU90" s="345"/>
      <c r="BV90" s="345"/>
      <c r="BW90" s="345"/>
      <c r="BX90" s="345"/>
      <c r="BY90" s="345"/>
      <c r="BZ90" s="345"/>
      <c r="CA90" s="420"/>
    </row>
    <row r="91" spans="1:79" s="381" customFormat="1" ht="42" customHeight="1" x14ac:dyDescent="0.25">
      <c r="A91" s="367">
        <v>730007</v>
      </c>
      <c r="B91" s="12" t="s">
        <v>5</v>
      </c>
      <c r="C91" s="13" t="s">
        <v>725</v>
      </c>
      <c r="D91" s="10" t="s">
        <v>3089</v>
      </c>
      <c r="E91" s="12" t="s">
        <v>3090</v>
      </c>
      <c r="F91" s="16" t="s">
        <v>3091</v>
      </c>
      <c r="G91" s="10" t="s">
        <v>30</v>
      </c>
      <c r="H91" s="10" t="s">
        <v>145</v>
      </c>
      <c r="I91" s="16" t="s">
        <v>3</v>
      </c>
      <c r="J91" s="53">
        <v>45773</v>
      </c>
      <c r="K91" s="13" t="s">
        <v>3092</v>
      </c>
      <c r="L91" s="53">
        <f t="shared" si="18"/>
        <v>45780</v>
      </c>
      <c r="M91" s="53">
        <v>45788</v>
      </c>
      <c r="N91" s="92">
        <f t="shared" si="21"/>
        <v>8</v>
      </c>
      <c r="O91" s="10" t="s">
        <v>3103</v>
      </c>
      <c r="P91" s="12" t="s">
        <v>3</v>
      </c>
      <c r="Q91" s="21">
        <v>45855</v>
      </c>
      <c r="R91" s="150" t="s">
        <v>3692</v>
      </c>
      <c r="S91" s="53">
        <f t="shared" si="19"/>
        <v>45862</v>
      </c>
      <c r="T91" s="21">
        <v>45861</v>
      </c>
      <c r="U91" s="92">
        <f>T91-S91</f>
        <v>-1</v>
      </c>
      <c r="V91" s="10" t="s">
        <v>3695</v>
      </c>
      <c r="W91" s="10" t="s">
        <v>18</v>
      </c>
      <c r="X91" s="21">
        <v>45866</v>
      </c>
      <c r="Y91" s="150" t="s">
        <v>3828</v>
      </c>
      <c r="Z91" s="21">
        <f t="shared" si="20"/>
        <v>45873</v>
      </c>
      <c r="AA91" s="21">
        <v>45869</v>
      </c>
      <c r="AB91" s="92">
        <f>AA91-Z91</f>
        <v>-4</v>
      </c>
      <c r="AC91" s="10" t="s">
        <v>3842</v>
      </c>
      <c r="AD91" s="12" t="s">
        <v>5</v>
      </c>
      <c r="AE91" s="21">
        <v>46064</v>
      </c>
      <c r="AF91" s="10" t="s">
        <v>5826</v>
      </c>
      <c r="AG91" s="21">
        <f>AE91+7</f>
        <v>46071</v>
      </c>
      <c r="AH91" s="21">
        <v>46071</v>
      </c>
      <c r="AI91" s="95">
        <f>AH91-AG91</f>
        <v>0</v>
      </c>
      <c r="AJ91" s="10" t="s">
        <v>5835</v>
      </c>
      <c r="AK91" s="10"/>
      <c r="AL91" s="17"/>
      <c r="AM91" s="11"/>
      <c r="AN91" s="11"/>
      <c r="AO91" s="17"/>
      <c r="AP91" s="123"/>
      <c r="AQ91" s="17"/>
      <c r="AR91" s="17"/>
      <c r="AS91" s="17"/>
      <c r="AT91" s="17"/>
      <c r="AU91" s="17"/>
      <c r="AV91" s="17"/>
      <c r="AW91" s="123"/>
      <c r="AX91" s="17"/>
      <c r="AY91" s="17"/>
      <c r="AZ91" s="17"/>
      <c r="BA91" s="17"/>
      <c r="BB91" s="17"/>
      <c r="BC91" s="17"/>
      <c r="BD91" s="17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368"/>
    </row>
    <row r="92" spans="1:79" s="381" customFormat="1" ht="42" customHeight="1" x14ac:dyDescent="0.25">
      <c r="A92" s="367">
        <v>730007</v>
      </c>
      <c r="B92" s="12" t="s">
        <v>5</v>
      </c>
      <c r="C92" s="13" t="s">
        <v>588</v>
      </c>
      <c r="D92" s="10" t="s">
        <v>3138</v>
      </c>
      <c r="E92" s="12" t="s">
        <v>3139</v>
      </c>
      <c r="F92" s="16" t="s">
        <v>3140</v>
      </c>
      <c r="G92" s="10" t="s">
        <v>30</v>
      </c>
      <c r="H92" s="10" t="s">
        <v>145</v>
      </c>
      <c r="I92" s="16" t="s">
        <v>3</v>
      </c>
      <c r="J92" s="53">
        <v>45778</v>
      </c>
      <c r="K92" s="13" t="s">
        <v>3141</v>
      </c>
      <c r="L92" s="53">
        <f t="shared" ref="L92:L108" si="22">J92+7</f>
        <v>45785</v>
      </c>
      <c r="M92" s="53">
        <v>45790</v>
      </c>
      <c r="N92" s="92">
        <f t="shared" si="21"/>
        <v>5</v>
      </c>
      <c r="O92" s="10" t="s">
        <v>3166</v>
      </c>
      <c r="P92" s="10" t="s">
        <v>3</v>
      </c>
      <c r="Q92" s="21">
        <v>45799</v>
      </c>
      <c r="R92" s="10" t="s">
        <v>3340</v>
      </c>
      <c r="S92" s="53">
        <f t="shared" ref="S92:S98" si="23">Q92+7</f>
        <v>45806</v>
      </c>
      <c r="T92" s="21">
        <v>45823</v>
      </c>
      <c r="U92" s="92">
        <f t="shared" ref="U92:U97" si="24">T92-S92</f>
        <v>17</v>
      </c>
      <c r="V92" s="10" t="s">
        <v>3348</v>
      </c>
      <c r="W92" s="10" t="s">
        <v>5</v>
      </c>
      <c r="X92" s="21">
        <v>45825</v>
      </c>
      <c r="Y92" s="150" t="s">
        <v>3505</v>
      </c>
      <c r="Z92" s="21">
        <f t="shared" si="20"/>
        <v>45832</v>
      </c>
      <c r="AA92" s="21">
        <v>45833</v>
      </c>
      <c r="AB92" s="92">
        <f t="shared" ref="AB92:AB98" si="25">AA92-Z92</f>
        <v>1</v>
      </c>
      <c r="AC92" s="10" t="s">
        <v>3528</v>
      </c>
      <c r="AD92" s="10"/>
      <c r="AE92" s="21"/>
      <c r="AF92" s="10"/>
      <c r="AG92" s="10"/>
      <c r="AH92" s="21"/>
      <c r="AI92" s="95"/>
      <c r="AJ92" s="10"/>
      <c r="AK92" s="10"/>
      <c r="AL92" s="17"/>
      <c r="AM92" s="11"/>
      <c r="AN92" s="11"/>
      <c r="AO92" s="17"/>
      <c r="AP92" s="123"/>
      <c r="AQ92" s="17"/>
      <c r="AR92" s="17"/>
      <c r="AS92" s="17"/>
      <c r="AT92" s="17"/>
      <c r="AU92" s="17"/>
      <c r="AV92" s="17"/>
      <c r="AW92" s="123"/>
      <c r="AX92" s="17"/>
      <c r="AY92" s="17"/>
      <c r="AZ92" s="17"/>
      <c r="BA92" s="17"/>
      <c r="BB92" s="17"/>
      <c r="BC92" s="17"/>
      <c r="BD92" s="17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368"/>
    </row>
    <row r="93" spans="1:79" s="381" customFormat="1" ht="42" customHeight="1" x14ac:dyDescent="0.25">
      <c r="A93" s="367">
        <v>730007</v>
      </c>
      <c r="B93" s="12" t="s">
        <v>18</v>
      </c>
      <c r="C93" s="13" t="s">
        <v>725</v>
      </c>
      <c r="D93" s="10" t="s">
        <v>3175</v>
      </c>
      <c r="E93" s="12" t="s">
        <v>3176</v>
      </c>
      <c r="F93" s="16" t="s">
        <v>3177</v>
      </c>
      <c r="G93" s="10" t="s">
        <v>30</v>
      </c>
      <c r="H93" s="10" t="s">
        <v>145</v>
      </c>
      <c r="I93" s="16" t="s">
        <v>18</v>
      </c>
      <c r="J93" s="53">
        <v>45781</v>
      </c>
      <c r="K93" s="13" t="s">
        <v>3178</v>
      </c>
      <c r="L93" s="53">
        <f t="shared" si="22"/>
        <v>45788</v>
      </c>
      <c r="M93" s="53">
        <v>45788</v>
      </c>
      <c r="N93" s="92">
        <f t="shared" si="21"/>
        <v>0</v>
      </c>
      <c r="O93" s="10" t="s">
        <v>3183</v>
      </c>
      <c r="P93" s="10" t="s">
        <v>18</v>
      </c>
      <c r="Q93" s="21">
        <v>46082</v>
      </c>
      <c r="R93" s="10" t="s">
        <v>5919</v>
      </c>
      <c r="S93" s="53">
        <f t="shared" si="23"/>
        <v>46089</v>
      </c>
      <c r="T93" s="21">
        <v>46092</v>
      </c>
      <c r="U93" s="92">
        <f t="shared" si="24"/>
        <v>3</v>
      </c>
      <c r="V93" s="10" t="s">
        <v>5938</v>
      </c>
      <c r="W93" s="10" t="s">
        <v>18</v>
      </c>
      <c r="X93" s="21">
        <v>46097</v>
      </c>
      <c r="Y93" s="10" t="s">
        <v>6091</v>
      </c>
      <c r="Z93" s="21">
        <f t="shared" si="20"/>
        <v>46104</v>
      </c>
      <c r="AA93" s="21">
        <v>46105</v>
      </c>
      <c r="AB93" s="92">
        <f t="shared" si="25"/>
        <v>1</v>
      </c>
      <c r="AC93" s="10" t="s">
        <v>6099</v>
      </c>
      <c r="AD93" s="10" t="s">
        <v>18</v>
      </c>
      <c r="AE93" s="21">
        <v>46111</v>
      </c>
      <c r="AF93" s="10" t="s">
        <v>6190</v>
      </c>
      <c r="AG93" s="21">
        <f>AE93+7</f>
        <v>46118</v>
      </c>
      <c r="AH93" s="21">
        <v>46125</v>
      </c>
      <c r="AI93" s="95">
        <f>AH93-AG93</f>
        <v>7</v>
      </c>
      <c r="AJ93" s="10" t="s">
        <v>6359</v>
      </c>
      <c r="AK93" s="10"/>
      <c r="AL93" s="17"/>
      <c r="AM93" s="11"/>
      <c r="AN93" s="11"/>
      <c r="AO93" s="17"/>
      <c r="AP93" s="123"/>
      <c r="AQ93" s="17"/>
      <c r="AR93" s="17"/>
      <c r="AS93" s="17"/>
      <c r="AT93" s="17"/>
      <c r="AU93" s="17"/>
      <c r="AV93" s="17"/>
      <c r="AW93" s="123"/>
      <c r="AX93" s="17"/>
      <c r="AY93" s="17"/>
      <c r="AZ93" s="17"/>
      <c r="BA93" s="17"/>
      <c r="BB93" s="17"/>
      <c r="BC93" s="17"/>
      <c r="BD93" s="17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368"/>
    </row>
    <row r="94" spans="1:79" s="381" customFormat="1" ht="42" customHeight="1" x14ac:dyDescent="0.25">
      <c r="A94" s="367">
        <v>730007</v>
      </c>
      <c r="B94" s="152" t="s">
        <v>5</v>
      </c>
      <c r="C94" s="13" t="s">
        <v>2456</v>
      </c>
      <c r="D94" s="10" t="s">
        <v>3234</v>
      </c>
      <c r="E94" s="12" t="s">
        <v>3235</v>
      </c>
      <c r="F94" s="16" t="s">
        <v>3236</v>
      </c>
      <c r="G94" s="10" t="s">
        <v>30</v>
      </c>
      <c r="H94" s="10" t="s">
        <v>145</v>
      </c>
      <c r="I94" s="16" t="s">
        <v>3</v>
      </c>
      <c r="J94" s="53">
        <v>45786</v>
      </c>
      <c r="K94" s="13" t="s">
        <v>3237</v>
      </c>
      <c r="L94" s="53">
        <f t="shared" si="22"/>
        <v>45793</v>
      </c>
      <c r="M94" s="53">
        <v>45798</v>
      </c>
      <c r="N94" s="92">
        <f t="shared" si="21"/>
        <v>5</v>
      </c>
      <c r="O94" s="10" t="s">
        <v>3248</v>
      </c>
      <c r="P94" s="152" t="s">
        <v>3</v>
      </c>
      <c r="Q94" s="21">
        <v>45864</v>
      </c>
      <c r="R94" s="10" t="s">
        <v>3790</v>
      </c>
      <c r="S94" s="53">
        <f t="shared" si="23"/>
        <v>45871</v>
      </c>
      <c r="T94" s="21">
        <v>45869</v>
      </c>
      <c r="U94" s="92">
        <f t="shared" si="24"/>
        <v>-2</v>
      </c>
      <c r="V94" s="10" t="s">
        <v>3800</v>
      </c>
      <c r="W94" s="10" t="s">
        <v>18</v>
      </c>
      <c r="X94" s="21">
        <v>45874</v>
      </c>
      <c r="Y94" s="10" t="s">
        <v>3885</v>
      </c>
      <c r="Z94" s="21">
        <f t="shared" si="20"/>
        <v>45881</v>
      </c>
      <c r="AA94" s="21">
        <v>45879</v>
      </c>
      <c r="AB94" s="92">
        <f t="shared" si="25"/>
        <v>-2</v>
      </c>
      <c r="AC94" s="10" t="s">
        <v>3898</v>
      </c>
      <c r="AD94" s="10" t="s">
        <v>18</v>
      </c>
      <c r="AE94" s="21">
        <v>46053</v>
      </c>
      <c r="AF94" s="10" t="s">
        <v>5700</v>
      </c>
      <c r="AG94" s="21">
        <f>AE94+7</f>
        <v>46060</v>
      </c>
      <c r="AH94" s="21">
        <v>46058</v>
      </c>
      <c r="AI94" s="95">
        <f>AH94-AG94</f>
        <v>-2</v>
      </c>
      <c r="AJ94" s="10" t="s">
        <v>5732</v>
      </c>
      <c r="AK94" s="10" t="s">
        <v>5</v>
      </c>
      <c r="AL94" s="17">
        <v>46154</v>
      </c>
      <c r="AM94" s="11" t="s">
        <v>6760</v>
      </c>
      <c r="AN94" s="21">
        <f>AL94+7</f>
        <v>46161</v>
      </c>
      <c r="AO94" s="21">
        <v>46173</v>
      </c>
      <c r="AP94" s="92">
        <f>AO94-AN94</f>
        <v>12</v>
      </c>
      <c r="AQ94" s="17" t="s">
        <v>6784</v>
      </c>
      <c r="AR94" s="17"/>
      <c r="AS94" s="17"/>
      <c r="AT94" s="17"/>
      <c r="AU94" s="17"/>
      <c r="AV94" s="17"/>
      <c r="AW94" s="123"/>
      <c r="AX94" s="17"/>
      <c r="AY94" s="17"/>
      <c r="AZ94" s="17"/>
      <c r="BA94" s="17"/>
      <c r="BB94" s="17"/>
      <c r="BC94" s="17"/>
      <c r="BD94" s="17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368"/>
    </row>
    <row r="95" spans="1:79" s="381" customFormat="1" ht="42" customHeight="1" x14ac:dyDescent="0.25">
      <c r="A95" s="367">
        <v>730007</v>
      </c>
      <c r="B95" s="182" t="s">
        <v>508</v>
      </c>
      <c r="C95" s="155" t="s">
        <v>627</v>
      </c>
      <c r="D95" s="10" t="s">
        <v>6228</v>
      </c>
      <c r="E95" s="12" t="s">
        <v>626</v>
      </c>
      <c r="F95" s="16" t="s">
        <v>6223</v>
      </c>
      <c r="G95" s="10" t="s">
        <v>30</v>
      </c>
      <c r="H95" s="10" t="s">
        <v>145</v>
      </c>
      <c r="I95" s="16" t="s">
        <v>508</v>
      </c>
      <c r="J95" s="53">
        <v>46116</v>
      </c>
      <c r="K95" s="13" t="s">
        <v>6229</v>
      </c>
      <c r="L95" s="53" t="s">
        <v>626</v>
      </c>
      <c r="M95" s="53" t="s">
        <v>626</v>
      </c>
      <c r="N95" s="92" t="s">
        <v>626</v>
      </c>
      <c r="O95" s="10" t="s">
        <v>626</v>
      </c>
      <c r="P95" s="152"/>
      <c r="Q95" s="21"/>
      <c r="R95" s="10"/>
      <c r="S95" s="53"/>
      <c r="T95" s="21"/>
      <c r="U95" s="92"/>
      <c r="V95" s="10"/>
      <c r="W95" s="10"/>
      <c r="X95" s="21"/>
      <c r="Y95" s="10"/>
      <c r="Z95" s="21"/>
      <c r="AA95" s="21"/>
      <c r="AB95" s="92"/>
      <c r="AC95" s="10"/>
      <c r="AD95" s="10"/>
      <c r="AE95" s="21"/>
      <c r="AF95" s="10"/>
      <c r="AG95" s="21"/>
      <c r="AH95" s="21"/>
      <c r="AI95" s="95"/>
      <c r="AJ95" s="10"/>
      <c r="AK95" s="10"/>
      <c r="AL95" s="17"/>
      <c r="AM95" s="11"/>
      <c r="AN95" s="11"/>
      <c r="AO95" s="17"/>
      <c r="AP95" s="123"/>
      <c r="AQ95" s="17"/>
      <c r="AR95" s="17"/>
      <c r="AS95" s="17"/>
      <c r="AT95" s="17"/>
      <c r="AU95" s="17"/>
      <c r="AV95" s="17"/>
      <c r="AW95" s="123"/>
      <c r="AX95" s="17"/>
      <c r="AY95" s="17"/>
      <c r="AZ95" s="17"/>
      <c r="BA95" s="17"/>
      <c r="BB95" s="17"/>
      <c r="BC95" s="17"/>
      <c r="BD95" s="17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368"/>
    </row>
    <row r="96" spans="1:79" s="408" customFormat="1" ht="42" customHeight="1" x14ac:dyDescent="0.25">
      <c r="A96" s="421" t="s">
        <v>3256</v>
      </c>
      <c r="B96" s="182" t="s">
        <v>508</v>
      </c>
      <c r="C96" s="155" t="s">
        <v>627</v>
      </c>
      <c r="D96" s="152" t="s">
        <v>3319</v>
      </c>
      <c r="E96" s="152" t="s">
        <v>3318</v>
      </c>
      <c r="F96" s="153" t="s">
        <v>3317</v>
      </c>
      <c r="G96" s="157" t="s">
        <v>30</v>
      </c>
      <c r="H96" s="157" t="s">
        <v>145</v>
      </c>
      <c r="I96" s="153" t="s">
        <v>3</v>
      </c>
      <c r="J96" s="154">
        <v>45795</v>
      </c>
      <c r="K96" s="155" t="s">
        <v>3320</v>
      </c>
      <c r="L96" s="154">
        <f t="shared" si="22"/>
        <v>45802</v>
      </c>
      <c r="M96" s="154" t="s">
        <v>3416</v>
      </c>
      <c r="N96" s="156">
        <f>M96-L96</f>
        <v>7</v>
      </c>
      <c r="O96" s="157" t="s">
        <v>3328</v>
      </c>
      <c r="P96" s="157" t="s">
        <v>508</v>
      </c>
      <c r="Q96" s="158">
        <v>45878</v>
      </c>
      <c r="R96" s="10" t="s">
        <v>3904</v>
      </c>
      <c r="S96" s="157"/>
      <c r="T96" s="158"/>
      <c r="U96" s="159"/>
      <c r="V96" s="157"/>
      <c r="W96" s="157"/>
      <c r="X96" s="158"/>
      <c r="Y96" s="157"/>
      <c r="Z96" s="157"/>
      <c r="AA96" s="158"/>
      <c r="AB96" s="159"/>
      <c r="AC96" s="10"/>
      <c r="AD96" s="157"/>
      <c r="AE96" s="158"/>
      <c r="AF96" s="157"/>
      <c r="AG96" s="157"/>
      <c r="AH96" s="158"/>
      <c r="AI96" s="159"/>
      <c r="AJ96" s="10"/>
      <c r="AK96" s="157"/>
      <c r="AL96" s="160"/>
      <c r="AM96" s="161"/>
      <c r="AN96" s="161"/>
      <c r="AO96" s="160"/>
      <c r="AP96" s="162"/>
      <c r="AQ96" s="160"/>
      <c r="AR96" s="160"/>
      <c r="AS96" s="160"/>
      <c r="AT96" s="160"/>
      <c r="AU96" s="160"/>
      <c r="AV96" s="160"/>
      <c r="AW96" s="162"/>
      <c r="AX96" s="160"/>
      <c r="AY96" s="160"/>
      <c r="AZ96" s="160"/>
      <c r="BA96" s="160"/>
      <c r="BB96" s="160"/>
      <c r="BC96" s="160"/>
      <c r="BD96" s="160"/>
      <c r="BE96" s="161"/>
      <c r="BF96" s="161"/>
      <c r="BG96" s="161"/>
      <c r="BH96" s="161"/>
      <c r="BI96" s="161"/>
      <c r="BJ96" s="161"/>
      <c r="BK96" s="161"/>
      <c r="BL96" s="161"/>
      <c r="BM96" s="161"/>
      <c r="BN96" s="161"/>
      <c r="BO96" s="161"/>
      <c r="BP96" s="161"/>
      <c r="BQ96" s="161"/>
      <c r="BR96" s="161"/>
      <c r="BS96" s="161"/>
      <c r="BT96" s="161"/>
      <c r="BU96" s="161"/>
      <c r="BV96" s="161"/>
      <c r="BW96" s="161"/>
      <c r="BX96" s="161"/>
      <c r="BY96" s="161"/>
      <c r="BZ96" s="161"/>
      <c r="CA96" s="422"/>
    </row>
    <row r="97" spans="1:79" s="408" customFormat="1" ht="42" customHeight="1" x14ac:dyDescent="0.25">
      <c r="A97" s="421" t="s">
        <v>3256</v>
      </c>
      <c r="B97" s="182" t="s">
        <v>508</v>
      </c>
      <c r="C97" s="155" t="s">
        <v>627</v>
      </c>
      <c r="D97" s="152" t="s">
        <v>3521</v>
      </c>
      <c r="E97" s="152" t="s">
        <v>3522</v>
      </c>
      <c r="F97" s="153" t="s">
        <v>3523</v>
      </c>
      <c r="G97" s="157" t="s">
        <v>30</v>
      </c>
      <c r="H97" s="157" t="s">
        <v>145</v>
      </c>
      <c r="I97" s="153" t="s">
        <v>3</v>
      </c>
      <c r="J97" s="154">
        <v>45832</v>
      </c>
      <c r="K97" s="164" t="s">
        <v>3524</v>
      </c>
      <c r="L97" s="154">
        <f t="shared" si="22"/>
        <v>45839</v>
      </c>
      <c r="M97" s="154">
        <v>45846</v>
      </c>
      <c r="N97" s="92">
        <f>M97-L97</f>
        <v>7</v>
      </c>
      <c r="O97" s="157" t="s">
        <v>3527</v>
      </c>
      <c r="P97" s="10" t="s">
        <v>3</v>
      </c>
      <c r="Q97" s="158">
        <v>45865</v>
      </c>
      <c r="R97" s="10" t="s">
        <v>3804</v>
      </c>
      <c r="S97" s="53">
        <f t="shared" si="23"/>
        <v>45872</v>
      </c>
      <c r="T97" s="158">
        <v>45872</v>
      </c>
      <c r="U97" s="92">
        <f t="shared" si="24"/>
        <v>0</v>
      </c>
      <c r="V97" s="157" t="s">
        <v>3815</v>
      </c>
      <c r="W97" s="157" t="s">
        <v>3</v>
      </c>
      <c r="X97" s="158">
        <v>45875</v>
      </c>
      <c r="Y97" s="157" t="s">
        <v>3888</v>
      </c>
      <c r="Z97" s="21">
        <f>X97+7</f>
        <v>45882</v>
      </c>
      <c r="AA97" s="158">
        <v>45887</v>
      </c>
      <c r="AB97" s="92">
        <f t="shared" si="25"/>
        <v>5</v>
      </c>
      <c r="AC97" s="10" t="s">
        <v>3899</v>
      </c>
      <c r="AD97" s="157" t="s">
        <v>508</v>
      </c>
      <c r="AE97" s="158">
        <v>45971</v>
      </c>
      <c r="AF97" s="157" t="s">
        <v>4806</v>
      </c>
      <c r="AG97" s="157"/>
      <c r="AH97" s="158"/>
      <c r="AI97" s="159"/>
      <c r="AJ97" s="10"/>
      <c r="AK97" s="157"/>
      <c r="AL97" s="160"/>
      <c r="AM97" s="161"/>
      <c r="AN97" s="161"/>
      <c r="AO97" s="160"/>
      <c r="AP97" s="162"/>
      <c r="AQ97" s="160"/>
      <c r="AR97" s="160"/>
      <c r="AS97" s="160"/>
      <c r="AT97" s="160"/>
      <c r="AU97" s="160"/>
      <c r="AV97" s="160"/>
      <c r="AW97" s="162"/>
      <c r="AX97" s="160"/>
      <c r="AY97" s="160"/>
      <c r="AZ97" s="160"/>
      <c r="BA97" s="160"/>
      <c r="BB97" s="160"/>
      <c r="BC97" s="160"/>
      <c r="BD97" s="160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422"/>
    </row>
    <row r="98" spans="1:79" s="381" customFormat="1" ht="42" customHeight="1" x14ac:dyDescent="0.25">
      <c r="A98" s="421" t="s">
        <v>3256</v>
      </c>
      <c r="B98" s="152" t="s">
        <v>5</v>
      </c>
      <c r="C98" s="155" t="s">
        <v>725</v>
      </c>
      <c r="D98" s="152" t="s">
        <v>3633</v>
      </c>
      <c r="E98" s="152" t="s">
        <v>3634</v>
      </c>
      <c r="F98" s="153" t="s">
        <v>3908</v>
      </c>
      <c r="G98" s="157" t="s">
        <v>30</v>
      </c>
      <c r="H98" s="157" t="s">
        <v>145</v>
      </c>
      <c r="I98" s="153" t="s">
        <v>3</v>
      </c>
      <c r="J98" s="53" t="s">
        <v>3636</v>
      </c>
      <c r="K98" s="164" t="s">
        <v>3635</v>
      </c>
      <c r="L98" s="154">
        <f t="shared" si="22"/>
        <v>45855</v>
      </c>
      <c r="M98" s="154">
        <v>45858</v>
      </c>
      <c r="N98" s="92">
        <f>M98-L98</f>
        <v>3</v>
      </c>
      <c r="O98" s="157" t="s">
        <v>3638</v>
      </c>
      <c r="P98" s="157" t="s">
        <v>18</v>
      </c>
      <c r="Q98" s="21">
        <v>45871</v>
      </c>
      <c r="R98" s="10" t="s">
        <v>3857</v>
      </c>
      <c r="S98" s="53">
        <f t="shared" si="23"/>
        <v>45878</v>
      </c>
      <c r="T98" s="21">
        <v>45879</v>
      </c>
      <c r="U98" s="95"/>
      <c r="V98" s="157" t="s">
        <v>3858</v>
      </c>
      <c r="W98" s="10" t="s">
        <v>18</v>
      </c>
      <c r="X98" s="21">
        <v>46058</v>
      </c>
      <c r="Y98" s="10" t="s">
        <v>5766</v>
      </c>
      <c r="Z98" s="21">
        <f>X98+7</f>
        <v>46065</v>
      </c>
      <c r="AA98" s="21">
        <v>46071</v>
      </c>
      <c r="AB98" s="92">
        <f t="shared" si="25"/>
        <v>6</v>
      </c>
      <c r="AC98" s="10" t="s">
        <v>5780</v>
      </c>
      <c r="AD98" s="10" t="s">
        <v>5</v>
      </c>
      <c r="AE98" s="21">
        <v>46088</v>
      </c>
      <c r="AF98" s="10" t="s">
        <v>5980</v>
      </c>
      <c r="AG98" s="21">
        <f>AE98+7</f>
        <v>46095</v>
      </c>
      <c r="AH98" s="21">
        <v>46098</v>
      </c>
      <c r="AI98" s="95">
        <f>AH98-AG98</f>
        <v>3</v>
      </c>
      <c r="AJ98" s="10" t="s">
        <v>5992</v>
      </c>
      <c r="AK98" s="10"/>
      <c r="AL98" s="17"/>
      <c r="AM98" s="11"/>
      <c r="AN98" s="11"/>
      <c r="AO98" s="17"/>
      <c r="AP98" s="123"/>
      <c r="AQ98" s="17"/>
      <c r="AR98" s="17"/>
      <c r="AS98" s="17"/>
      <c r="AT98" s="17"/>
      <c r="AU98" s="17"/>
      <c r="AV98" s="17"/>
      <c r="AW98" s="123"/>
      <c r="AX98" s="17"/>
      <c r="AY98" s="17"/>
      <c r="AZ98" s="17"/>
      <c r="BA98" s="17"/>
      <c r="BB98" s="17"/>
      <c r="BC98" s="17"/>
      <c r="BD98" s="17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368"/>
    </row>
    <row r="99" spans="1:79" s="381" customFormat="1" ht="42" customHeight="1" x14ac:dyDescent="0.25">
      <c r="A99" s="421" t="s">
        <v>3256</v>
      </c>
      <c r="B99" s="152" t="s">
        <v>5</v>
      </c>
      <c r="C99" s="155" t="s">
        <v>2456</v>
      </c>
      <c r="D99" s="152" t="s">
        <v>3651</v>
      </c>
      <c r="E99" s="152" t="s">
        <v>3652</v>
      </c>
      <c r="F99" s="153" t="s">
        <v>3653</v>
      </c>
      <c r="G99" s="157" t="s">
        <v>30</v>
      </c>
      <c r="H99" s="157" t="s">
        <v>145</v>
      </c>
      <c r="I99" s="153" t="s">
        <v>3</v>
      </c>
      <c r="J99" s="53">
        <v>45851</v>
      </c>
      <c r="K99" s="164" t="s">
        <v>3654</v>
      </c>
      <c r="L99" s="154">
        <f t="shared" si="22"/>
        <v>45858</v>
      </c>
      <c r="M99" s="154">
        <v>45860</v>
      </c>
      <c r="N99" s="92" t="s">
        <v>3743</v>
      </c>
      <c r="O99" s="157" t="s">
        <v>3661</v>
      </c>
      <c r="P99" s="10" t="s">
        <v>3</v>
      </c>
      <c r="Q99" s="21">
        <v>45862</v>
      </c>
      <c r="R99" s="10" t="s">
        <v>3775</v>
      </c>
      <c r="S99" s="154">
        <f>Q99+7</f>
        <v>45869</v>
      </c>
      <c r="T99" s="21">
        <v>45869</v>
      </c>
      <c r="U99" s="92">
        <f>T99-S99</f>
        <v>0</v>
      </c>
      <c r="V99" s="157" t="s">
        <v>3784</v>
      </c>
      <c r="W99" s="10" t="s">
        <v>18</v>
      </c>
      <c r="X99" s="21">
        <v>45871</v>
      </c>
      <c r="Y99" s="150" t="s">
        <v>3855</v>
      </c>
      <c r="Z99" s="21">
        <f>X99+7</f>
        <v>45878</v>
      </c>
      <c r="AA99" s="21">
        <v>45880</v>
      </c>
      <c r="AB99" s="92">
        <f>AA99-Z99</f>
        <v>2</v>
      </c>
      <c r="AC99" s="10" t="s">
        <v>3859</v>
      </c>
      <c r="AD99" s="10" t="s">
        <v>18</v>
      </c>
      <c r="AE99" s="21">
        <v>46091</v>
      </c>
      <c r="AF99" s="10" t="s">
        <v>6010</v>
      </c>
      <c r="AG99" s="21">
        <f>AE99+7</f>
        <v>46098</v>
      </c>
      <c r="AH99" s="21">
        <v>46105</v>
      </c>
      <c r="AI99" s="95">
        <f>AH99-AG99</f>
        <v>7</v>
      </c>
      <c r="AJ99" s="10" t="s">
        <v>6016</v>
      </c>
      <c r="AK99" s="10" t="s">
        <v>5</v>
      </c>
      <c r="AL99" s="17">
        <v>46107</v>
      </c>
      <c r="AM99" s="11" t="s">
        <v>6154</v>
      </c>
      <c r="AN99" s="154">
        <f>AL99+7</f>
        <v>46114</v>
      </c>
      <c r="AO99" s="17">
        <v>46118</v>
      </c>
      <c r="AP99" s="92">
        <f>AO99-AN99</f>
        <v>4</v>
      </c>
      <c r="AQ99" s="17" t="s">
        <v>6158</v>
      </c>
      <c r="AR99" s="17"/>
      <c r="AS99" s="17"/>
      <c r="AT99" s="17"/>
      <c r="AU99" s="17"/>
      <c r="AV99" s="17"/>
      <c r="AW99" s="123"/>
      <c r="AX99" s="17"/>
      <c r="AY99" s="17"/>
      <c r="AZ99" s="17"/>
      <c r="BA99" s="17"/>
      <c r="BB99" s="17"/>
      <c r="BC99" s="17"/>
      <c r="BD99" s="17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368"/>
    </row>
    <row r="100" spans="1:79" s="381" customFormat="1" ht="42" customHeight="1" x14ac:dyDescent="0.25">
      <c r="A100" s="421" t="s">
        <v>3256</v>
      </c>
      <c r="B100" s="12" t="s">
        <v>5</v>
      </c>
      <c r="C100" s="155" t="s">
        <v>54</v>
      </c>
      <c r="D100" s="152" t="s">
        <v>3655</v>
      </c>
      <c r="E100" s="152" t="s">
        <v>3656</v>
      </c>
      <c r="F100" s="153" t="s">
        <v>3657</v>
      </c>
      <c r="G100" s="157" t="s">
        <v>30</v>
      </c>
      <c r="H100" s="157" t="s">
        <v>145</v>
      </c>
      <c r="I100" s="16" t="s">
        <v>5</v>
      </c>
      <c r="J100" s="53">
        <v>45851</v>
      </c>
      <c r="K100" s="164" t="s">
        <v>3658</v>
      </c>
      <c r="L100" s="154">
        <f t="shared" si="22"/>
        <v>45858</v>
      </c>
      <c r="M100" s="154">
        <v>45859</v>
      </c>
      <c r="N100" s="92">
        <f t="shared" ref="N100:N106" si="26">M100-L100</f>
        <v>1</v>
      </c>
      <c r="O100" s="157" t="s">
        <v>3662</v>
      </c>
      <c r="P100" s="10"/>
      <c r="Q100" s="21"/>
      <c r="R100" s="10"/>
      <c r="S100" s="10"/>
      <c r="T100" s="21"/>
      <c r="U100" s="95"/>
      <c r="V100" s="157"/>
      <c r="W100" s="10"/>
      <c r="X100" s="21"/>
      <c r="Y100" s="10"/>
      <c r="Z100" s="10"/>
      <c r="AA100" s="21"/>
      <c r="AB100" s="95"/>
      <c r="AC100" s="10"/>
      <c r="AD100" s="10"/>
      <c r="AE100" s="21"/>
      <c r="AF100" s="10"/>
      <c r="AG100" s="10"/>
      <c r="AH100" s="21"/>
      <c r="AI100" s="95"/>
      <c r="AJ100" s="10"/>
      <c r="AK100" s="10"/>
      <c r="AL100" s="17"/>
      <c r="AM100" s="11"/>
      <c r="AN100" s="11"/>
      <c r="AO100" s="17"/>
      <c r="AP100" s="123"/>
      <c r="AQ100" s="17"/>
      <c r="AR100" s="17"/>
      <c r="AS100" s="17"/>
      <c r="AT100" s="17"/>
      <c r="AU100" s="17"/>
      <c r="AV100" s="17"/>
      <c r="AW100" s="123"/>
      <c r="AX100" s="17"/>
      <c r="AY100" s="17"/>
      <c r="AZ100" s="17"/>
      <c r="BA100" s="17"/>
      <c r="BB100" s="17"/>
      <c r="BC100" s="17"/>
      <c r="BD100" s="17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368"/>
    </row>
    <row r="101" spans="1:79" s="381" customFormat="1" ht="42" customHeight="1" x14ac:dyDescent="0.25">
      <c r="A101" s="421" t="s">
        <v>3256</v>
      </c>
      <c r="B101" s="23" t="s">
        <v>18</v>
      </c>
      <c r="C101" s="155" t="s">
        <v>725</v>
      </c>
      <c r="D101" s="152" t="s">
        <v>3676</v>
      </c>
      <c r="E101" s="152" t="s">
        <v>3677</v>
      </c>
      <c r="F101" s="153" t="s">
        <v>3678</v>
      </c>
      <c r="G101" s="157" t="s">
        <v>30</v>
      </c>
      <c r="H101" s="157" t="s">
        <v>145</v>
      </c>
      <c r="I101" s="23" t="s">
        <v>3</v>
      </c>
      <c r="J101" s="53">
        <v>45854</v>
      </c>
      <c r="K101" s="164" t="s">
        <v>3679</v>
      </c>
      <c r="L101" s="154">
        <f t="shared" si="22"/>
        <v>45861</v>
      </c>
      <c r="M101" s="154">
        <v>45865</v>
      </c>
      <c r="N101" s="92">
        <f t="shared" si="26"/>
        <v>4</v>
      </c>
      <c r="O101" s="157" t="s">
        <v>3690</v>
      </c>
      <c r="P101" s="10" t="s">
        <v>18</v>
      </c>
      <c r="Q101" s="21">
        <v>45917</v>
      </c>
      <c r="R101" s="10" t="s">
        <v>4219</v>
      </c>
      <c r="S101" s="154">
        <f t="shared" ref="S101:S106" si="27">Q101+7</f>
        <v>45924</v>
      </c>
      <c r="T101" s="21">
        <v>45927</v>
      </c>
      <c r="U101" s="92">
        <f>T101-S101</f>
        <v>3</v>
      </c>
      <c r="V101" s="157" t="s">
        <v>4230</v>
      </c>
      <c r="W101" s="10" t="s">
        <v>18</v>
      </c>
      <c r="X101" s="21">
        <v>46121</v>
      </c>
      <c r="Y101" s="10" t="s">
        <v>6312</v>
      </c>
      <c r="Z101" s="154">
        <f>X101+7</f>
        <v>46128</v>
      </c>
      <c r="AA101" s="21">
        <v>46133</v>
      </c>
      <c r="AB101" s="92">
        <f>AA101-Z101</f>
        <v>5</v>
      </c>
      <c r="AC101" s="10" t="s">
        <v>6320</v>
      </c>
      <c r="AD101" s="10" t="s">
        <v>18</v>
      </c>
      <c r="AE101" s="21">
        <v>46154</v>
      </c>
      <c r="AF101" s="10" t="s">
        <v>6758</v>
      </c>
      <c r="AG101" s="154">
        <f>AE101+7</f>
        <v>46161</v>
      </c>
      <c r="AH101" s="21">
        <v>46162</v>
      </c>
      <c r="AI101" s="92">
        <f>AH101-AG101</f>
        <v>1</v>
      </c>
      <c r="AJ101" s="10" t="s">
        <v>6775</v>
      </c>
      <c r="AK101" s="10"/>
      <c r="AL101" s="17"/>
      <c r="AM101" s="11"/>
      <c r="AN101" s="11"/>
      <c r="AO101" s="17"/>
      <c r="AP101" s="123"/>
      <c r="AQ101" s="17"/>
      <c r="AR101" s="17"/>
      <c r="AS101" s="17"/>
      <c r="AT101" s="17"/>
      <c r="AU101" s="17"/>
      <c r="AV101" s="17"/>
      <c r="AW101" s="123"/>
      <c r="AX101" s="17"/>
      <c r="AY101" s="17"/>
      <c r="AZ101" s="17"/>
      <c r="BA101" s="17"/>
      <c r="BB101" s="17"/>
      <c r="BC101" s="17"/>
      <c r="BD101" s="17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368"/>
    </row>
    <row r="102" spans="1:79" s="381" customFormat="1" ht="42" customHeight="1" x14ac:dyDescent="0.25">
      <c r="A102" s="421" t="s">
        <v>3256</v>
      </c>
      <c r="B102" s="12" t="s">
        <v>5</v>
      </c>
      <c r="C102" s="155" t="s">
        <v>4883</v>
      </c>
      <c r="D102" s="152" t="s">
        <v>3791</v>
      </c>
      <c r="E102" s="152" t="s">
        <v>3792</v>
      </c>
      <c r="F102" s="153" t="s">
        <v>3793</v>
      </c>
      <c r="G102" s="157" t="s">
        <v>30</v>
      </c>
      <c r="H102" s="157" t="s">
        <v>145</v>
      </c>
      <c r="I102" s="16" t="s">
        <v>3</v>
      </c>
      <c r="J102" s="53">
        <v>45864</v>
      </c>
      <c r="K102" s="164" t="s">
        <v>3794</v>
      </c>
      <c r="L102" s="154">
        <f t="shared" si="22"/>
        <v>45871</v>
      </c>
      <c r="M102" s="154">
        <v>45882</v>
      </c>
      <c r="N102" s="92">
        <f t="shared" si="26"/>
        <v>11</v>
      </c>
      <c r="O102" s="157" t="s">
        <v>3801</v>
      </c>
      <c r="P102" s="10" t="s">
        <v>3</v>
      </c>
      <c r="Q102" s="21">
        <v>45903</v>
      </c>
      <c r="R102" s="10" t="s">
        <v>4093</v>
      </c>
      <c r="S102" s="154">
        <f t="shared" si="27"/>
        <v>45910</v>
      </c>
      <c r="T102" s="21">
        <v>45910</v>
      </c>
      <c r="U102" s="92">
        <f t="shared" ref="U102:U111" si="28">T102-S102</f>
        <v>0</v>
      </c>
      <c r="V102" s="10" t="s">
        <v>4154</v>
      </c>
      <c r="W102" s="10" t="s">
        <v>3</v>
      </c>
      <c r="X102" s="21">
        <v>45916</v>
      </c>
      <c r="Y102" s="10" t="s">
        <v>4200</v>
      </c>
      <c r="Z102" s="154">
        <f>X102+7</f>
        <v>45923</v>
      </c>
      <c r="AA102" s="21">
        <v>45925</v>
      </c>
      <c r="AB102" s="92">
        <f>AA102-Z102</f>
        <v>2</v>
      </c>
      <c r="AC102" s="10" t="s">
        <v>4222</v>
      </c>
      <c r="AD102" s="10" t="s">
        <v>3</v>
      </c>
      <c r="AE102" s="21">
        <v>45931</v>
      </c>
      <c r="AF102" s="10" t="s">
        <v>4356</v>
      </c>
      <c r="AG102" s="154">
        <f>AE102+7</f>
        <v>45938</v>
      </c>
      <c r="AH102" s="21">
        <v>45936</v>
      </c>
      <c r="AI102" s="92">
        <f>AH102-AG102</f>
        <v>-2</v>
      </c>
      <c r="AJ102" s="10" t="s">
        <v>4368</v>
      </c>
      <c r="AK102" s="10" t="s">
        <v>18</v>
      </c>
      <c r="AL102" s="17">
        <v>45950</v>
      </c>
      <c r="AM102" s="11" t="s">
        <v>4534</v>
      </c>
      <c r="AN102" s="154">
        <f>AL102+7</f>
        <v>45957</v>
      </c>
      <c r="AO102" s="17">
        <v>45957</v>
      </c>
      <c r="AP102" s="92">
        <f>AO102-AN102</f>
        <v>0</v>
      </c>
      <c r="AQ102" s="17" t="s">
        <v>4546</v>
      </c>
      <c r="AR102" s="17" t="s">
        <v>18</v>
      </c>
      <c r="AS102" s="17">
        <v>46048</v>
      </c>
      <c r="AT102" s="17" t="s">
        <v>5680</v>
      </c>
      <c r="AU102" s="154">
        <f>AS102+7</f>
        <v>46055</v>
      </c>
      <c r="AV102" s="17">
        <v>46057</v>
      </c>
      <c r="AW102" s="92">
        <f>AV102-AU102</f>
        <v>2</v>
      </c>
      <c r="AX102" s="17" t="s">
        <v>5688</v>
      </c>
      <c r="AY102" s="17" t="s">
        <v>4</v>
      </c>
      <c r="AZ102" s="17">
        <v>46133</v>
      </c>
      <c r="BA102" s="17" t="s">
        <v>6479</v>
      </c>
      <c r="BB102" s="154">
        <f>AZ102+7</f>
        <v>46140</v>
      </c>
      <c r="BC102" s="17"/>
      <c r="BD102" s="92">
        <f>BC102-BB102</f>
        <v>-46140</v>
      </c>
      <c r="BE102" s="11" t="s">
        <v>6491</v>
      </c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368"/>
    </row>
    <row r="103" spans="1:79" s="381" customFormat="1" ht="42" customHeight="1" x14ac:dyDescent="0.25">
      <c r="A103" s="421" t="s">
        <v>3256</v>
      </c>
      <c r="B103" s="12" t="s">
        <v>5</v>
      </c>
      <c r="C103" s="155" t="s">
        <v>725</v>
      </c>
      <c r="D103" s="152" t="s">
        <v>3805</v>
      </c>
      <c r="E103" s="152" t="s">
        <v>3806</v>
      </c>
      <c r="F103" s="153" t="s">
        <v>3807</v>
      </c>
      <c r="G103" s="157" t="s">
        <v>30</v>
      </c>
      <c r="H103" s="157" t="s">
        <v>145</v>
      </c>
      <c r="I103" s="23" t="s">
        <v>3</v>
      </c>
      <c r="J103" s="53">
        <v>45865</v>
      </c>
      <c r="K103" s="164" t="s">
        <v>3808</v>
      </c>
      <c r="L103" s="154">
        <f t="shared" si="22"/>
        <v>45872</v>
      </c>
      <c r="M103" s="154">
        <v>45872</v>
      </c>
      <c r="N103" s="92">
        <f t="shared" si="26"/>
        <v>0</v>
      </c>
      <c r="O103" s="157" t="s">
        <v>3816</v>
      </c>
      <c r="P103" s="10" t="s">
        <v>3</v>
      </c>
      <c r="Q103" s="21">
        <v>45874</v>
      </c>
      <c r="R103" s="150" t="s">
        <v>3884</v>
      </c>
      <c r="S103" s="154">
        <f t="shared" si="27"/>
        <v>45881</v>
      </c>
      <c r="T103" s="21">
        <v>45883</v>
      </c>
      <c r="U103" s="92">
        <f t="shared" si="28"/>
        <v>2</v>
      </c>
      <c r="V103" s="10" t="s">
        <v>3895</v>
      </c>
      <c r="W103" s="10" t="s">
        <v>18</v>
      </c>
      <c r="X103" s="21">
        <v>45888</v>
      </c>
      <c r="Y103" s="10" t="s">
        <v>3998</v>
      </c>
      <c r="Z103" s="154">
        <f>X103+7</f>
        <v>45895</v>
      </c>
      <c r="AA103" s="21">
        <v>45892</v>
      </c>
      <c r="AB103" s="92">
        <f>AA103-Z103</f>
        <v>-3</v>
      </c>
      <c r="AC103" s="10" t="s">
        <v>4004</v>
      </c>
      <c r="AD103" s="10" t="s">
        <v>5</v>
      </c>
      <c r="AE103" s="21">
        <v>46156</v>
      </c>
      <c r="AF103" s="10" t="s">
        <v>6789</v>
      </c>
      <c r="AG103" s="154">
        <f>AE103+7</f>
        <v>46163</v>
      </c>
      <c r="AH103" s="21">
        <v>46174</v>
      </c>
      <c r="AI103" s="92">
        <f>AH103-AG103</f>
        <v>11</v>
      </c>
      <c r="AJ103" s="10" t="s">
        <v>6816</v>
      </c>
      <c r="AK103" s="10"/>
      <c r="AL103" s="17"/>
      <c r="AM103" s="11"/>
      <c r="AN103" s="11"/>
      <c r="AO103" s="17"/>
      <c r="AP103" s="123"/>
      <c r="AQ103" s="17"/>
      <c r="AR103" s="17"/>
      <c r="AS103" s="17"/>
      <c r="AT103" s="17"/>
      <c r="AU103" s="17"/>
      <c r="AV103" s="17"/>
      <c r="AW103" s="123"/>
      <c r="AX103" s="17"/>
      <c r="AY103" s="17"/>
      <c r="AZ103" s="17"/>
      <c r="BA103" s="17"/>
      <c r="BB103" s="17"/>
      <c r="BC103" s="17"/>
      <c r="BD103" s="17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368"/>
    </row>
    <row r="104" spans="1:79" s="381" customFormat="1" ht="42" customHeight="1" x14ac:dyDescent="0.25">
      <c r="A104" s="421" t="s">
        <v>3256</v>
      </c>
      <c r="B104" s="192" t="s">
        <v>508</v>
      </c>
      <c r="C104" s="155" t="s">
        <v>627</v>
      </c>
      <c r="D104" s="152" t="s">
        <v>3819</v>
      </c>
      <c r="E104" s="152" t="s">
        <v>3820</v>
      </c>
      <c r="F104" s="153" t="s">
        <v>4248</v>
      </c>
      <c r="G104" s="157" t="s">
        <v>30</v>
      </c>
      <c r="H104" s="157" t="s">
        <v>145</v>
      </c>
      <c r="I104" s="23" t="s">
        <v>3</v>
      </c>
      <c r="J104" s="53">
        <v>45866</v>
      </c>
      <c r="K104" s="164" t="s">
        <v>3821</v>
      </c>
      <c r="L104" s="154">
        <f t="shared" si="22"/>
        <v>45873</v>
      </c>
      <c r="M104" s="154">
        <v>45873</v>
      </c>
      <c r="N104" s="92">
        <f t="shared" si="26"/>
        <v>0</v>
      </c>
      <c r="O104" s="157" t="s">
        <v>3825</v>
      </c>
      <c r="P104" s="10" t="s">
        <v>508</v>
      </c>
      <c r="Q104" s="21">
        <v>45921</v>
      </c>
      <c r="R104" s="10" t="s">
        <v>4249</v>
      </c>
      <c r="S104" s="10" t="s">
        <v>626</v>
      </c>
      <c r="T104" s="21"/>
      <c r="U104" s="95"/>
      <c r="V104" s="10"/>
      <c r="W104" s="10"/>
      <c r="X104" s="21"/>
      <c r="Y104" s="10"/>
      <c r="Z104" s="10"/>
      <c r="AA104" s="21"/>
      <c r="AB104" s="95"/>
      <c r="AC104" s="10"/>
      <c r="AD104" s="10"/>
      <c r="AE104" s="21"/>
      <c r="AF104" s="10"/>
      <c r="AG104" s="10"/>
      <c r="AH104" s="21"/>
      <c r="AI104" s="95"/>
      <c r="AJ104" s="10"/>
      <c r="AK104" s="10"/>
      <c r="AL104" s="17"/>
      <c r="AM104" s="11"/>
      <c r="AN104" s="11"/>
      <c r="AO104" s="17"/>
      <c r="AP104" s="123"/>
      <c r="AQ104" s="17"/>
      <c r="AR104" s="17"/>
      <c r="AS104" s="17"/>
      <c r="AT104" s="17"/>
      <c r="AU104" s="17"/>
      <c r="AV104" s="17"/>
      <c r="AW104" s="123"/>
      <c r="AX104" s="17"/>
      <c r="AY104" s="17"/>
      <c r="AZ104" s="17"/>
      <c r="BA104" s="17"/>
      <c r="BB104" s="17"/>
      <c r="BC104" s="17"/>
      <c r="BD104" s="17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368"/>
    </row>
    <row r="105" spans="1:79" s="381" customFormat="1" ht="42" customHeight="1" x14ac:dyDescent="0.25">
      <c r="A105" s="421" t="s">
        <v>3256</v>
      </c>
      <c r="B105" s="12" t="s">
        <v>5</v>
      </c>
      <c r="C105" s="155" t="s">
        <v>588</v>
      </c>
      <c r="D105" s="152" t="s">
        <v>3829</v>
      </c>
      <c r="E105" s="152" t="s">
        <v>3830</v>
      </c>
      <c r="F105" s="153" t="s">
        <v>3838</v>
      </c>
      <c r="G105" s="157" t="s">
        <v>30</v>
      </c>
      <c r="H105" s="157" t="s">
        <v>145</v>
      </c>
      <c r="I105" s="16" t="s">
        <v>3</v>
      </c>
      <c r="J105" s="53">
        <v>45866</v>
      </c>
      <c r="K105" s="164" t="s">
        <v>3839</v>
      </c>
      <c r="L105" s="154">
        <f t="shared" si="22"/>
        <v>45873</v>
      </c>
      <c r="M105" s="154">
        <v>45876</v>
      </c>
      <c r="N105" s="92">
        <f t="shared" si="26"/>
        <v>3</v>
      </c>
      <c r="O105" s="157" t="s">
        <v>3845</v>
      </c>
      <c r="P105" s="10" t="s">
        <v>18</v>
      </c>
      <c r="Q105" s="21">
        <v>45881</v>
      </c>
      <c r="R105" s="10" t="s">
        <v>3921</v>
      </c>
      <c r="S105" s="154">
        <f t="shared" si="27"/>
        <v>45888</v>
      </c>
      <c r="T105" s="21">
        <v>45888</v>
      </c>
      <c r="U105" s="92">
        <f t="shared" si="28"/>
        <v>0</v>
      </c>
      <c r="V105" s="10" t="s">
        <v>3935</v>
      </c>
      <c r="W105" s="10" t="s">
        <v>5</v>
      </c>
      <c r="X105" s="21">
        <v>46147</v>
      </c>
      <c r="Y105" s="10" t="s">
        <v>6655</v>
      </c>
      <c r="Z105" s="154">
        <f>X105+7</f>
        <v>46154</v>
      </c>
      <c r="AA105" s="21">
        <v>46154</v>
      </c>
      <c r="AB105" s="92">
        <f>AA105-Z105</f>
        <v>0</v>
      </c>
      <c r="AC105" s="10" t="s">
        <v>6656</v>
      </c>
      <c r="AD105" s="10"/>
      <c r="AE105" s="21"/>
      <c r="AF105" s="10"/>
      <c r="AG105" s="10"/>
      <c r="AH105" s="21"/>
      <c r="AI105" s="95"/>
      <c r="AJ105" s="10"/>
      <c r="AK105" s="10"/>
      <c r="AL105" s="17"/>
      <c r="AM105" s="11"/>
      <c r="AN105" s="11"/>
      <c r="AO105" s="17"/>
      <c r="AP105" s="123"/>
      <c r="AQ105" s="17"/>
      <c r="AR105" s="17"/>
      <c r="AS105" s="17"/>
      <c r="AT105" s="17"/>
      <c r="AU105" s="17"/>
      <c r="AV105" s="17"/>
      <c r="AW105" s="123"/>
      <c r="AX105" s="17"/>
      <c r="AY105" s="17"/>
      <c r="AZ105" s="17"/>
      <c r="BA105" s="17"/>
      <c r="BB105" s="17"/>
      <c r="BC105" s="17"/>
      <c r="BD105" s="17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368"/>
    </row>
    <row r="106" spans="1:79" s="381" customFormat="1" ht="42" customHeight="1" x14ac:dyDescent="0.25">
      <c r="A106" s="421" t="s">
        <v>3256</v>
      </c>
      <c r="B106" s="12" t="s">
        <v>5</v>
      </c>
      <c r="C106" s="155" t="s">
        <v>2384</v>
      </c>
      <c r="D106" s="152" t="s">
        <v>3831</v>
      </c>
      <c r="E106" s="152" t="s">
        <v>3832</v>
      </c>
      <c r="F106" s="153" t="s">
        <v>4311</v>
      </c>
      <c r="G106" s="157" t="s">
        <v>30</v>
      </c>
      <c r="H106" s="157" t="s">
        <v>145</v>
      </c>
      <c r="I106" s="16" t="s">
        <v>3</v>
      </c>
      <c r="J106" s="53">
        <v>45866</v>
      </c>
      <c r="K106" s="164" t="s">
        <v>3833</v>
      </c>
      <c r="L106" s="154">
        <f t="shared" si="22"/>
        <v>45873</v>
      </c>
      <c r="M106" s="154">
        <v>45878</v>
      </c>
      <c r="N106" s="92">
        <f t="shared" si="26"/>
        <v>5</v>
      </c>
      <c r="O106" s="157" t="s">
        <v>3843</v>
      </c>
      <c r="P106" s="10" t="s">
        <v>3</v>
      </c>
      <c r="Q106" s="21">
        <v>45882</v>
      </c>
      <c r="R106" s="10" t="s">
        <v>3932</v>
      </c>
      <c r="S106" s="154">
        <f t="shared" si="27"/>
        <v>45889</v>
      </c>
      <c r="T106" s="21">
        <v>45892</v>
      </c>
      <c r="U106" s="92">
        <f t="shared" si="28"/>
        <v>3</v>
      </c>
      <c r="V106" s="10" t="s">
        <v>3949</v>
      </c>
      <c r="W106" s="10" t="s">
        <v>3</v>
      </c>
      <c r="X106" s="21">
        <v>45895</v>
      </c>
      <c r="Y106" s="10" t="s">
        <v>4042</v>
      </c>
      <c r="Z106" s="154">
        <f>X106+7</f>
        <v>45902</v>
      </c>
      <c r="AA106" s="21">
        <v>45910</v>
      </c>
      <c r="AB106" s="92">
        <f>AA106-Z106</f>
        <v>8</v>
      </c>
      <c r="AC106" s="10" t="s">
        <v>4071</v>
      </c>
      <c r="AD106" s="12" t="s">
        <v>3</v>
      </c>
      <c r="AE106" s="21">
        <v>45917</v>
      </c>
      <c r="AF106" s="10" t="s">
        <v>4206</v>
      </c>
      <c r="AG106" s="154">
        <f>AE106+7</f>
        <v>45924</v>
      </c>
      <c r="AH106" s="21">
        <v>45925</v>
      </c>
      <c r="AI106" s="92">
        <f>AH106-AG106</f>
        <v>1</v>
      </c>
      <c r="AJ106" s="10" t="s">
        <v>4223</v>
      </c>
      <c r="AK106" s="10" t="s">
        <v>18</v>
      </c>
      <c r="AL106" s="17">
        <v>45944</v>
      </c>
      <c r="AM106" s="11" t="s">
        <v>4479</v>
      </c>
      <c r="AN106" s="154">
        <f>AL106+7</f>
        <v>45951</v>
      </c>
      <c r="AO106" s="17">
        <v>45949</v>
      </c>
      <c r="AP106" s="92">
        <f>AO106-AN106</f>
        <v>-2</v>
      </c>
      <c r="AQ106" s="17" t="s">
        <v>4478</v>
      </c>
      <c r="AR106" s="17" t="s">
        <v>5</v>
      </c>
      <c r="AS106" s="17">
        <v>46133</v>
      </c>
      <c r="AT106" s="17" t="s">
        <v>6481</v>
      </c>
      <c r="AU106" s="154">
        <f>AS106+7</f>
        <v>46140</v>
      </c>
      <c r="AV106" s="17">
        <v>46145</v>
      </c>
      <c r="AW106" s="92">
        <f>AV106-AU106</f>
        <v>5</v>
      </c>
      <c r="AX106" s="17" t="s">
        <v>6492</v>
      </c>
      <c r="AY106" s="17"/>
      <c r="AZ106" s="17"/>
      <c r="BA106" s="17"/>
      <c r="BB106" s="17"/>
      <c r="BC106" s="17"/>
      <c r="BD106" s="17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368"/>
    </row>
    <row r="107" spans="1:79" s="381" customFormat="1" ht="42" customHeight="1" x14ac:dyDescent="0.25">
      <c r="A107" s="421" t="s">
        <v>3256</v>
      </c>
      <c r="B107" s="12" t="s">
        <v>5</v>
      </c>
      <c r="C107" s="155" t="s">
        <v>588</v>
      </c>
      <c r="D107" s="152" t="s">
        <v>3837</v>
      </c>
      <c r="E107" s="152" t="s">
        <v>3836</v>
      </c>
      <c r="F107" s="153" t="s">
        <v>3835</v>
      </c>
      <c r="G107" s="157" t="s">
        <v>30</v>
      </c>
      <c r="H107" s="157" t="s">
        <v>145</v>
      </c>
      <c r="I107" s="16" t="s">
        <v>3</v>
      </c>
      <c r="J107" s="53">
        <v>45866</v>
      </c>
      <c r="K107" s="164" t="s">
        <v>3834</v>
      </c>
      <c r="L107" s="154">
        <f t="shared" si="22"/>
        <v>45873</v>
      </c>
      <c r="M107" s="154">
        <v>45876</v>
      </c>
      <c r="N107" s="92">
        <f t="shared" ref="N107:N117" si="29">M107-L107</f>
        <v>3</v>
      </c>
      <c r="O107" s="157" t="s">
        <v>3844</v>
      </c>
      <c r="P107" s="10" t="s">
        <v>18</v>
      </c>
      <c r="Q107" s="21">
        <v>45882</v>
      </c>
      <c r="R107" s="10" t="s">
        <v>3929</v>
      </c>
      <c r="S107" s="154">
        <f t="shared" ref="S107:S112" si="30">Q107+7</f>
        <v>45889</v>
      </c>
      <c r="T107" s="21">
        <v>45888</v>
      </c>
      <c r="U107" s="92">
        <f t="shared" si="28"/>
        <v>-1</v>
      </c>
      <c r="V107" s="10" t="s">
        <v>3947</v>
      </c>
      <c r="W107" s="10" t="s">
        <v>5</v>
      </c>
      <c r="X107" s="21">
        <v>46140</v>
      </c>
      <c r="Y107" s="10" t="s">
        <v>6563</v>
      </c>
      <c r="Z107" s="154">
        <f>X107+7</f>
        <v>46147</v>
      </c>
      <c r="AA107" s="21">
        <v>46154</v>
      </c>
      <c r="AB107" s="92">
        <f>AA107-Z107</f>
        <v>7</v>
      </c>
      <c r="AC107" s="10" t="s">
        <v>6580</v>
      </c>
      <c r="AD107" s="10"/>
      <c r="AE107" s="21"/>
      <c r="AF107" s="10"/>
      <c r="AG107" s="10"/>
      <c r="AH107" s="21"/>
      <c r="AI107" s="95"/>
      <c r="AJ107" s="10"/>
      <c r="AK107" s="10"/>
      <c r="AL107" s="17"/>
      <c r="AM107" s="11"/>
      <c r="AN107" s="11"/>
      <c r="AO107" s="17"/>
      <c r="AP107" s="123"/>
      <c r="AQ107" s="17"/>
      <c r="AR107" s="17"/>
      <c r="AS107" s="17"/>
      <c r="AT107" s="17"/>
      <c r="AU107" s="17"/>
      <c r="AV107" s="17"/>
      <c r="AW107" s="123"/>
      <c r="AX107" s="17"/>
      <c r="AY107" s="17"/>
      <c r="AZ107" s="17"/>
      <c r="BA107" s="17"/>
      <c r="BB107" s="17"/>
      <c r="BC107" s="17"/>
      <c r="BD107" s="17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368"/>
    </row>
    <row r="108" spans="1:79" s="381" customFormat="1" ht="42" customHeight="1" x14ac:dyDescent="0.25">
      <c r="A108" s="421" t="s">
        <v>3256</v>
      </c>
      <c r="B108" s="12" t="s">
        <v>5</v>
      </c>
      <c r="C108" s="155" t="s">
        <v>2456</v>
      </c>
      <c r="D108" s="152" t="s">
        <v>3872</v>
      </c>
      <c r="E108" s="152" t="s">
        <v>3873</v>
      </c>
      <c r="F108" s="153" t="s">
        <v>3874</v>
      </c>
      <c r="G108" s="157" t="s">
        <v>30</v>
      </c>
      <c r="H108" s="157" t="s">
        <v>145</v>
      </c>
      <c r="I108" s="16" t="s">
        <v>3</v>
      </c>
      <c r="J108" s="53">
        <v>45873</v>
      </c>
      <c r="K108" s="164" t="s">
        <v>3875</v>
      </c>
      <c r="L108" s="154">
        <f t="shared" si="22"/>
        <v>45880</v>
      </c>
      <c r="M108" s="154">
        <v>45879</v>
      </c>
      <c r="N108" s="92">
        <f t="shared" si="29"/>
        <v>-1</v>
      </c>
      <c r="O108" s="157" t="s">
        <v>3882</v>
      </c>
      <c r="P108" s="10" t="s">
        <v>3</v>
      </c>
      <c r="Q108" s="21">
        <v>45918</v>
      </c>
      <c r="R108" s="10" t="s">
        <v>4236</v>
      </c>
      <c r="S108" s="154">
        <f t="shared" si="30"/>
        <v>45925</v>
      </c>
      <c r="T108" s="21">
        <v>45924</v>
      </c>
      <c r="U108" s="92">
        <f t="shared" si="28"/>
        <v>-1</v>
      </c>
      <c r="V108" s="10" t="s">
        <v>4238</v>
      </c>
      <c r="W108" s="10" t="s">
        <v>18</v>
      </c>
      <c r="X108" s="21">
        <v>46007</v>
      </c>
      <c r="Y108" s="10" t="s">
        <v>5279</v>
      </c>
      <c r="Z108" s="154">
        <f>X108+7</f>
        <v>46014</v>
      </c>
      <c r="AA108" s="21">
        <v>46018</v>
      </c>
      <c r="AB108" s="92">
        <f>AA108-Z108</f>
        <v>4</v>
      </c>
      <c r="AC108" s="10" t="s">
        <v>5311</v>
      </c>
      <c r="AD108" s="10" t="s">
        <v>18</v>
      </c>
      <c r="AE108" s="21">
        <v>46113</v>
      </c>
      <c r="AF108" s="10" t="s">
        <v>6208</v>
      </c>
      <c r="AG108" s="154">
        <f>AE108+7</f>
        <v>46120</v>
      </c>
      <c r="AH108" s="21">
        <v>46126</v>
      </c>
      <c r="AI108" s="92">
        <f>AH108-AG108</f>
        <v>6</v>
      </c>
      <c r="AJ108" s="10" t="s">
        <v>6214</v>
      </c>
      <c r="AK108" s="10" t="s">
        <v>5</v>
      </c>
      <c r="AL108" s="17">
        <v>46156</v>
      </c>
      <c r="AM108" s="11" t="s">
        <v>6792</v>
      </c>
      <c r="AN108" s="154">
        <f>AL108+7</f>
        <v>46163</v>
      </c>
      <c r="AO108" s="17">
        <v>46173</v>
      </c>
      <c r="AP108" s="92">
        <f>AO108-AN108</f>
        <v>10</v>
      </c>
      <c r="AQ108" s="17" t="s">
        <v>6817</v>
      </c>
      <c r="AR108" s="17"/>
      <c r="AS108" s="17"/>
      <c r="AT108" s="17"/>
      <c r="AU108" s="17"/>
      <c r="AV108" s="17"/>
      <c r="AW108" s="123"/>
      <c r="AX108" s="17"/>
      <c r="AY108" s="17"/>
      <c r="AZ108" s="17"/>
      <c r="BA108" s="17"/>
      <c r="BB108" s="17"/>
      <c r="BC108" s="17"/>
      <c r="BD108" s="17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368"/>
    </row>
    <row r="109" spans="1:79" s="381" customFormat="1" ht="42" customHeight="1" x14ac:dyDescent="0.25">
      <c r="A109" s="421" t="s">
        <v>3256</v>
      </c>
      <c r="B109" s="192" t="s">
        <v>508</v>
      </c>
      <c r="C109" s="155" t="s">
        <v>627</v>
      </c>
      <c r="D109" s="152" t="s">
        <v>3889</v>
      </c>
      <c r="E109" s="152" t="s">
        <v>3890</v>
      </c>
      <c r="F109" s="153" t="s">
        <v>3891</v>
      </c>
      <c r="G109" s="157" t="s">
        <v>30</v>
      </c>
      <c r="H109" s="157" t="s">
        <v>145</v>
      </c>
      <c r="I109" s="16" t="s">
        <v>3</v>
      </c>
      <c r="J109" s="53">
        <v>45875</v>
      </c>
      <c r="K109" s="164" t="s">
        <v>3892</v>
      </c>
      <c r="L109" s="154">
        <f t="shared" ref="L109:L117" si="31">J109+7</f>
        <v>45882</v>
      </c>
      <c r="M109" s="154">
        <v>45887</v>
      </c>
      <c r="N109" s="92">
        <f t="shared" si="29"/>
        <v>5</v>
      </c>
      <c r="O109" s="157" t="s">
        <v>3896</v>
      </c>
      <c r="P109" s="10" t="s">
        <v>18</v>
      </c>
      <c r="Q109" s="21">
        <v>45922</v>
      </c>
      <c r="R109" s="10" t="s">
        <v>4290</v>
      </c>
      <c r="S109" s="21">
        <f t="shared" si="30"/>
        <v>45929</v>
      </c>
      <c r="T109" s="21">
        <v>45931</v>
      </c>
      <c r="U109" s="95">
        <f t="shared" si="28"/>
        <v>2</v>
      </c>
      <c r="V109" s="10" t="s">
        <v>4305</v>
      </c>
      <c r="W109" s="10" t="s">
        <v>18</v>
      </c>
      <c r="X109" s="21">
        <v>46047</v>
      </c>
      <c r="Y109" s="10" t="s">
        <v>5657</v>
      </c>
      <c r="Z109" s="154">
        <f>X109+7</f>
        <v>46054</v>
      </c>
      <c r="AA109" s="21">
        <v>46058</v>
      </c>
      <c r="AB109" s="92">
        <f>AA109-Z109</f>
        <v>4</v>
      </c>
      <c r="AC109" s="10" t="s">
        <v>5669</v>
      </c>
      <c r="AD109" s="10" t="s">
        <v>508</v>
      </c>
      <c r="AE109" s="21">
        <v>46189</v>
      </c>
      <c r="AF109" s="10" t="s">
        <v>7005</v>
      </c>
      <c r="AG109" s="10" t="s">
        <v>626</v>
      </c>
      <c r="AH109" s="21" t="s">
        <v>626</v>
      </c>
      <c r="AI109" s="95" t="s">
        <v>626</v>
      </c>
      <c r="AJ109" s="10" t="s">
        <v>7006</v>
      </c>
      <c r="AK109" s="10"/>
      <c r="AL109" s="17"/>
      <c r="AM109" s="11"/>
      <c r="AN109" s="11"/>
      <c r="AO109" s="17"/>
      <c r="AP109" s="123"/>
      <c r="AQ109" s="17"/>
      <c r="AR109" s="17"/>
      <c r="AS109" s="17"/>
      <c r="AT109" s="17"/>
      <c r="AU109" s="17"/>
      <c r="AV109" s="17"/>
      <c r="AW109" s="123"/>
      <c r="AX109" s="17"/>
      <c r="AY109" s="17"/>
      <c r="AZ109" s="17"/>
      <c r="BA109" s="17"/>
      <c r="BB109" s="17"/>
      <c r="BC109" s="17"/>
      <c r="BD109" s="17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368"/>
    </row>
    <row r="110" spans="1:79" s="381" customFormat="1" ht="42" customHeight="1" x14ac:dyDescent="0.25">
      <c r="A110" s="421" t="s">
        <v>3256</v>
      </c>
      <c r="B110" s="12" t="s">
        <v>5</v>
      </c>
      <c r="C110" s="155" t="s">
        <v>208</v>
      </c>
      <c r="D110" s="152" t="s">
        <v>3953</v>
      </c>
      <c r="E110" s="152" t="s">
        <v>3954</v>
      </c>
      <c r="F110" s="153" t="s">
        <v>3955</v>
      </c>
      <c r="G110" s="157" t="s">
        <v>30</v>
      </c>
      <c r="H110" s="157" t="s">
        <v>145</v>
      </c>
      <c r="I110" s="16" t="s">
        <v>18</v>
      </c>
      <c r="J110" s="53">
        <v>45885</v>
      </c>
      <c r="K110" s="13" t="s">
        <v>3956</v>
      </c>
      <c r="L110" s="154">
        <f t="shared" si="31"/>
        <v>45892</v>
      </c>
      <c r="M110" s="53">
        <v>45891</v>
      </c>
      <c r="N110" s="92">
        <f t="shared" si="29"/>
        <v>-1</v>
      </c>
      <c r="O110" s="157" t="s">
        <v>3967</v>
      </c>
      <c r="P110" s="10" t="s">
        <v>5</v>
      </c>
      <c r="Q110" s="21">
        <v>46048</v>
      </c>
      <c r="R110" s="10" t="s">
        <v>5678</v>
      </c>
      <c r="S110" s="21">
        <f t="shared" si="30"/>
        <v>46055</v>
      </c>
      <c r="T110" s="21">
        <v>46057</v>
      </c>
      <c r="U110" s="95">
        <f t="shared" si="28"/>
        <v>2</v>
      </c>
      <c r="V110" s="10" t="s">
        <v>5689</v>
      </c>
      <c r="W110" s="10"/>
      <c r="X110" s="21"/>
      <c r="Y110" s="10"/>
      <c r="Z110" s="10"/>
      <c r="AA110" s="21"/>
      <c r="AB110" s="95"/>
      <c r="AC110" s="10"/>
      <c r="AD110" s="10"/>
      <c r="AE110" s="21"/>
      <c r="AF110" s="10"/>
      <c r="AG110" s="10"/>
      <c r="AH110" s="21"/>
      <c r="AI110" s="95"/>
      <c r="AJ110" s="10"/>
      <c r="AK110" s="10"/>
      <c r="AL110" s="17"/>
      <c r="AM110" s="11"/>
      <c r="AN110" s="11"/>
      <c r="AO110" s="17"/>
      <c r="AP110" s="123"/>
      <c r="AQ110" s="17"/>
      <c r="AR110" s="17"/>
      <c r="AS110" s="17"/>
      <c r="AT110" s="17"/>
      <c r="AU110" s="17"/>
      <c r="AV110" s="17"/>
      <c r="AW110" s="123"/>
      <c r="AX110" s="17"/>
      <c r="AY110" s="17"/>
      <c r="AZ110" s="17"/>
      <c r="BA110" s="17"/>
      <c r="BB110" s="17"/>
      <c r="BC110" s="17"/>
      <c r="BD110" s="17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368"/>
    </row>
    <row r="111" spans="1:79" s="381" customFormat="1" ht="42" customHeight="1" x14ac:dyDescent="0.25">
      <c r="A111" s="421" t="s">
        <v>3256</v>
      </c>
      <c r="B111" s="12" t="s">
        <v>5</v>
      </c>
      <c r="C111" s="155" t="s">
        <v>725</v>
      </c>
      <c r="D111" s="152" t="s">
        <v>3957</v>
      </c>
      <c r="E111" s="152" t="s">
        <v>3959</v>
      </c>
      <c r="F111" s="153" t="s">
        <v>7490</v>
      </c>
      <c r="G111" s="157" t="s">
        <v>30</v>
      </c>
      <c r="H111" s="157" t="s">
        <v>145</v>
      </c>
      <c r="I111" s="16" t="s">
        <v>18</v>
      </c>
      <c r="J111" s="53">
        <v>45885</v>
      </c>
      <c r="K111" s="13" t="s">
        <v>3958</v>
      </c>
      <c r="L111" s="154">
        <f t="shared" si="31"/>
        <v>45892</v>
      </c>
      <c r="M111" s="53">
        <v>45892</v>
      </c>
      <c r="N111" s="92">
        <f t="shared" si="29"/>
        <v>0</v>
      </c>
      <c r="O111" s="157" t="s">
        <v>3969</v>
      </c>
      <c r="P111" s="10" t="s">
        <v>18</v>
      </c>
      <c r="Q111" s="21">
        <v>46120</v>
      </c>
      <c r="R111" s="10" t="s">
        <v>6301</v>
      </c>
      <c r="S111" s="21">
        <f t="shared" si="30"/>
        <v>46127</v>
      </c>
      <c r="T111" s="21">
        <v>46128</v>
      </c>
      <c r="U111" s="95">
        <f t="shared" si="28"/>
        <v>1</v>
      </c>
      <c r="V111" s="10" t="s">
        <v>6307</v>
      </c>
      <c r="W111" s="10" t="s">
        <v>18</v>
      </c>
      <c r="X111" s="21">
        <v>46156</v>
      </c>
      <c r="Y111" s="10" t="s">
        <v>6790</v>
      </c>
      <c r="Z111" s="154">
        <f>X111+7</f>
        <v>46163</v>
      </c>
      <c r="AA111" s="21">
        <v>46173</v>
      </c>
      <c r="AB111" s="92">
        <f>AA111-Z111</f>
        <v>10</v>
      </c>
      <c r="AC111" s="10" t="s">
        <v>6818</v>
      </c>
      <c r="AD111" s="10" t="s">
        <v>5</v>
      </c>
      <c r="AE111" s="21">
        <v>46253</v>
      </c>
      <c r="AF111" s="10" t="s">
        <v>7491</v>
      </c>
      <c r="AG111" s="21">
        <f>AE111+7</f>
        <v>46260</v>
      </c>
      <c r="AH111" s="21">
        <v>46265</v>
      </c>
      <c r="AI111" s="95">
        <f>AH111-AG111</f>
        <v>5</v>
      </c>
      <c r="AJ111" s="10" t="s">
        <v>7495</v>
      </c>
      <c r="AK111" s="10"/>
      <c r="AL111" s="17"/>
      <c r="AM111" s="11"/>
      <c r="AN111" s="11"/>
      <c r="AO111" s="17"/>
      <c r="AP111" s="123"/>
      <c r="AQ111" s="17"/>
      <c r="AR111" s="17"/>
      <c r="AS111" s="17"/>
      <c r="AT111" s="17"/>
      <c r="AU111" s="17"/>
      <c r="AV111" s="17"/>
      <c r="AW111" s="123"/>
      <c r="AX111" s="17"/>
      <c r="AY111" s="17"/>
      <c r="AZ111" s="17"/>
      <c r="BA111" s="17"/>
      <c r="BB111" s="17"/>
      <c r="BC111" s="17"/>
      <c r="BD111" s="17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368"/>
    </row>
    <row r="112" spans="1:79" s="381" customFormat="1" ht="42" customHeight="1" x14ac:dyDescent="0.25">
      <c r="A112" s="421" t="s">
        <v>3256</v>
      </c>
      <c r="B112" s="12" t="s">
        <v>5</v>
      </c>
      <c r="C112" s="155" t="s">
        <v>588</v>
      </c>
      <c r="D112" s="152" t="s">
        <v>4094</v>
      </c>
      <c r="E112" s="152" t="s">
        <v>4096</v>
      </c>
      <c r="F112" s="16" t="s">
        <v>4095</v>
      </c>
      <c r="G112" s="157" t="s">
        <v>30</v>
      </c>
      <c r="H112" s="157" t="s">
        <v>145</v>
      </c>
      <c r="I112" s="16" t="s">
        <v>18</v>
      </c>
      <c r="J112" s="53">
        <v>45903</v>
      </c>
      <c r="K112" s="13" t="s">
        <v>4097</v>
      </c>
      <c r="L112" s="154">
        <f t="shared" si="31"/>
        <v>45910</v>
      </c>
      <c r="M112" s="53">
        <v>45914</v>
      </c>
      <c r="N112" s="92">
        <f t="shared" si="29"/>
        <v>4</v>
      </c>
      <c r="O112" s="157" t="s">
        <v>4110</v>
      </c>
      <c r="P112" s="10" t="s">
        <v>18</v>
      </c>
      <c r="Q112" s="21">
        <v>46118</v>
      </c>
      <c r="R112" s="10" t="s">
        <v>6264</v>
      </c>
      <c r="S112" s="21">
        <f t="shared" si="30"/>
        <v>46125</v>
      </c>
      <c r="T112" s="21">
        <v>46131</v>
      </c>
      <c r="U112" s="95">
        <f>T112-S112</f>
        <v>6</v>
      </c>
      <c r="V112" s="10" t="s">
        <v>6274</v>
      </c>
      <c r="W112" s="10" t="s">
        <v>5</v>
      </c>
      <c r="X112" s="21">
        <v>46141</v>
      </c>
      <c r="Y112" s="10" t="s">
        <v>6593</v>
      </c>
      <c r="Z112" s="154">
        <f>X112+7</f>
        <v>46148</v>
      </c>
      <c r="AA112" s="21">
        <v>46152</v>
      </c>
      <c r="AB112" s="92">
        <f>AA112-Z112</f>
        <v>4</v>
      </c>
      <c r="AC112" s="10" t="s">
        <v>6611</v>
      </c>
      <c r="AD112" s="10"/>
      <c r="AE112" s="21"/>
      <c r="AF112" s="10"/>
      <c r="AG112" s="10"/>
      <c r="AH112" s="21"/>
      <c r="AI112" s="95"/>
      <c r="AJ112" s="10"/>
      <c r="AK112" s="10"/>
      <c r="AL112" s="17"/>
      <c r="AM112" s="11"/>
      <c r="AN112" s="11"/>
      <c r="AO112" s="17"/>
      <c r="AP112" s="123"/>
      <c r="AQ112" s="17"/>
      <c r="AR112" s="17"/>
      <c r="AS112" s="17"/>
      <c r="AT112" s="17"/>
      <c r="AU112" s="17"/>
      <c r="AV112" s="17"/>
      <c r="AW112" s="123"/>
      <c r="AX112" s="17"/>
      <c r="AY112" s="17"/>
      <c r="AZ112" s="17"/>
      <c r="BA112" s="17"/>
      <c r="BB112" s="17"/>
      <c r="BC112" s="17"/>
      <c r="BD112" s="17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368"/>
    </row>
    <row r="113" spans="1:79" s="381" customFormat="1" ht="42" customHeight="1" x14ac:dyDescent="0.25">
      <c r="A113" s="421" t="s">
        <v>3256</v>
      </c>
      <c r="B113" s="58" t="s">
        <v>508</v>
      </c>
      <c r="C113" s="155" t="s">
        <v>627</v>
      </c>
      <c r="D113" s="152" t="s">
        <v>4106</v>
      </c>
      <c r="E113" s="152" t="s">
        <v>4107</v>
      </c>
      <c r="F113" s="16" t="s">
        <v>4108</v>
      </c>
      <c r="G113" s="157" t="s">
        <v>30</v>
      </c>
      <c r="H113" s="157" t="s">
        <v>145</v>
      </c>
      <c r="I113" s="16" t="s">
        <v>3</v>
      </c>
      <c r="J113" s="53">
        <v>45903</v>
      </c>
      <c r="K113" s="13" t="s">
        <v>4109</v>
      </c>
      <c r="L113" s="154">
        <f t="shared" si="31"/>
        <v>45910</v>
      </c>
      <c r="M113" s="53">
        <v>45915</v>
      </c>
      <c r="N113" s="92">
        <f t="shared" si="29"/>
        <v>5</v>
      </c>
      <c r="O113" s="157" t="s">
        <v>4111</v>
      </c>
      <c r="P113" s="10" t="s">
        <v>4807</v>
      </c>
      <c r="Q113" s="21">
        <v>45971</v>
      </c>
      <c r="R113" s="10" t="s">
        <v>4806</v>
      </c>
      <c r="S113" s="10" t="s">
        <v>626</v>
      </c>
      <c r="T113" s="21" t="s">
        <v>626</v>
      </c>
      <c r="U113" s="95" t="s">
        <v>626</v>
      </c>
      <c r="V113" s="10" t="s">
        <v>626</v>
      </c>
      <c r="W113" s="10"/>
      <c r="X113" s="21"/>
      <c r="Y113" s="10"/>
      <c r="Z113" s="10"/>
      <c r="AA113" s="21"/>
      <c r="AB113" s="95"/>
      <c r="AC113" s="10"/>
      <c r="AD113" s="10"/>
      <c r="AE113" s="21"/>
      <c r="AF113" s="10"/>
      <c r="AG113" s="10"/>
      <c r="AH113" s="21"/>
      <c r="AI113" s="95"/>
      <c r="AJ113" s="10"/>
      <c r="AK113" s="10"/>
      <c r="AL113" s="17"/>
      <c r="AM113" s="11"/>
      <c r="AN113" s="11"/>
      <c r="AO113" s="17"/>
      <c r="AP113" s="123"/>
      <c r="AQ113" s="17"/>
      <c r="AR113" s="17"/>
      <c r="AS113" s="17"/>
      <c r="AT113" s="17"/>
      <c r="AU113" s="17"/>
      <c r="AV113" s="17"/>
      <c r="AW113" s="123"/>
      <c r="AX113" s="17"/>
      <c r="AY113" s="17"/>
      <c r="AZ113" s="17"/>
      <c r="BA113" s="17"/>
      <c r="BB113" s="17"/>
      <c r="BC113" s="17"/>
      <c r="BD113" s="17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368"/>
    </row>
    <row r="114" spans="1:79" s="381" customFormat="1" ht="42" customHeight="1" x14ac:dyDescent="0.25">
      <c r="A114" s="421" t="s">
        <v>3256</v>
      </c>
      <c r="B114" s="12" t="s">
        <v>4</v>
      </c>
      <c r="C114" s="155" t="s">
        <v>208</v>
      </c>
      <c r="D114" s="152" t="s">
        <v>4257</v>
      </c>
      <c r="E114" s="152" t="s">
        <v>4258</v>
      </c>
      <c r="F114" s="16" t="s">
        <v>4260</v>
      </c>
      <c r="G114" s="157" t="s">
        <v>30</v>
      </c>
      <c r="H114" s="157" t="s">
        <v>145</v>
      </c>
      <c r="I114" s="16" t="s">
        <v>3</v>
      </c>
      <c r="J114" s="53">
        <v>45921</v>
      </c>
      <c r="K114" s="13" t="s">
        <v>4259</v>
      </c>
      <c r="L114" s="154">
        <f t="shared" si="31"/>
        <v>45928</v>
      </c>
      <c r="M114" s="53">
        <v>45931</v>
      </c>
      <c r="N114" s="92">
        <f t="shared" si="29"/>
        <v>3</v>
      </c>
      <c r="O114" s="157" t="s">
        <v>4277</v>
      </c>
      <c r="P114" s="10" t="s">
        <v>4</v>
      </c>
      <c r="Q114" s="21">
        <v>46265</v>
      </c>
      <c r="R114" s="10" t="s">
        <v>7565</v>
      </c>
      <c r="S114" s="21">
        <f>Q114+7</f>
        <v>46272</v>
      </c>
      <c r="T114" s="21"/>
      <c r="U114" s="95">
        <f>T114-S114</f>
        <v>-46272</v>
      </c>
      <c r="V114" s="10"/>
      <c r="W114" s="10"/>
      <c r="X114" s="21"/>
      <c r="Y114" s="10"/>
      <c r="Z114" s="10"/>
      <c r="AA114" s="21"/>
      <c r="AB114" s="95"/>
      <c r="AC114" s="10"/>
      <c r="AD114" s="10"/>
      <c r="AE114" s="21"/>
      <c r="AF114" s="10"/>
      <c r="AG114" s="10"/>
      <c r="AH114" s="21"/>
      <c r="AI114" s="95"/>
      <c r="AJ114" s="10"/>
      <c r="AK114" s="10"/>
      <c r="AL114" s="17"/>
      <c r="AM114" s="11"/>
      <c r="AN114" s="11"/>
      <c r="AO114" s="17"/>
      <c r="AP114" s="123"/>
      <c r="AQ114" s="17"/>
      <c r="AR114" s="17"/>
      <c r="AS114" s="17"/>
      <c r="AT114" s="17"/>
      <c r="AU114" s="17"/>
      <c r="AV114" s="17"/>
      <c r="AW114" s="123"/>
      <c r="AX114" s="17"/>
      <c r="AY114" s="17"/>
      <c r="AZ114" s="17"/>
      <c r="BA114" s="17"/>
      <c r="BB114" s="17"/>
      <c r="BC114" s="17"/>
      <c r="BD114" s="17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368"/>
    </row>
    <row r="115" spans="1:79" s="381" customFormat="1" ht="42" customHeight="1" x14ac:dyDescent="0.25">
      <c r="A115" s="421" t="s">
        <v>3256</v>
      </c>
      <c r="B115" s="12" t="s">
        <v>18</v>
      </c>
      <c r="C115" s="155" t="s">
        <v>588</v>
      </c>
      <c r="D115" s="152" t="s">
        <v>4383</v>
      </c>
      <c r="E115" s="152" t="s">
        <v>4384</v>
      </c>
      <c r="F115" s="16" t="s">
        <v>4385</v>
      </c>
      <c r="G115" s="157" t="s">
        <v>30</v>
      </c>
      <c r="H115" s="157" t="s">
        <v>145</v>
      </c>
      <c r="I115" s="16" t="s">
        <v>18</v>
      </c>
      <c r="J115" s="53">
        <v>45935</v>
      </c>
      <c r="K115" s="13" t="s">
        <v>4382</v>
      </c>
      <c r="L115" s="154">
        <f t="shared" si="31"/>
        <v>45942</v>
      </c>
      <c r="M115" s="53">
        <v>45943</v>
      </c>
      <c r="N115" s="92">
        <f t="shared" si="29"/>
        <v>1</v>
      </c>
      <c r="O115" s="157" t="s">
        <v>4393</v>
      </c>
      <c r="P115" s="10" t="s">
        <v>18</v>
      </c>
      <c r="Q115" s="21">
        <v>46030</v>
      </c>
      <c r="R115" s="10" t="s">
        <v>5528</v>
      </c>
      <c r="S115" s="21">
        <f>Q115+7</f>
        <v>46037</v>
      </c>
      <c r="T115" s="21">
        <v>46041</v>
      </c>
      <c r="U115" s="95">
        <f>T115-S115</f>
        <v>4</v>
      </c>
      <c r="V115" s="10" t="s">
        <v>5529</v>
      </c>
      <c r="W115" s="10" t="s">
        <v>18</v>
      </c>
      <c r="X115" s="21">
        <v>46082</v>
      </c>
      <c r="Y115" s="10" t="s">
        <v>5918</v>
      </c>
      <c r="Z115" s="154">
        <f>X115+7</f>
        <v>46089</v>
      </c>
      <c r="AA115" s="21">
        <v>46090</v>
      </c>
      <c r="AB115" s="92">
        <f>AA115-Z115</f>
        <v>1</v>
      </c>
      <c r="AC115" s="10" t="s">
        <v>5931</v>
      </c>
      <c r="AD115" s="10"/>
      <c r="AE115" s="21"/>
      <c r="AF115" s="10"/>
      <c r="AG115" s="10"/>
      <c r="AH115" s="21"/>
      <c r="AI115" s="95"/>
      <c r="AJ115" s="10"/>
      <c r="AK115" s="10"/>
      <c r="AL115" s="17"/>
      <c r="AM115" s="11"/>
      <c r="AN115" s="11"/>
      <c r="AO115" s="17"/>
      <c r="AP115" s="123"/>
      <c r="AQ115" s="17"/>
      <c r="AR115" s="17"/>
      <c r="AS115" s="17"/>
      <c r="AT115" s="17"/>
      <c r="AU115" s="17"/>
      <c r="AV115" s="17"/>
      <c r="AW115" s="123"/>
      <c r="AX115" s="17"/>
      <c r="AY115" s="17"/>
      <c r="AZ115" s="17"/>
      <c r="BA115" s="17"/>
      <c r="BB115" s="17"/>
      <c r="BC115" s="17"/>
      <c r="BD115" s="17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368"/>
    </row>
    <row r="116" spans="1:79" s="381" customFormat="1" ht="42" customHeight="1" x14ac:dyDescent="0.25">
      <c r="A116" s="421" t="s">
        <v>3256</v>
      </c>
      <c r="B116" s="12" t="s">
        <v>5</v>
      </c>
      <c r="C116" s="155" t="s">
        <v>208</v>
      </c>
      <c r="D116" s="152" t="s">
        <v>4461</v>
      </c>
      <c r="E116" s="152" t="s">
        <v>4462</v>
      </c>
      <c r="F116" s="16" t="s">
        <v>4460</v>
      </c>
      <c r="G116" s="157" t="s">
        <v>30</v>
      </c>
      <c r="H116" s="157" t="s">
        <v>145</v>
      </c>
      <c r="I116" s="16" t="s">
        <v>18</v>
      </c>
      <c r="J116" s="53" t="s">
        <v>4463</v>
      </c>
      <c r="K116" s="13" t="s">
        <v>4464</v>
      </c>
      <c r="L116" s="154">
        <f t="shared" si="31"/>
        <v>45950</v>
      </c>
      <c r="M116" s="53">
        <v>45951</v>
      </c>
      <c r="N116" s="92">
        <f t="shared" si="29"/>
        <v>1</v>
      </c>
      <c r="O116" s="157" t="s">
        <v>4469</v>
      </c>
      <c r="P116" s="10" t="s">
        <v>5</v>
      </c>
      <c r="Q116" s="21">
        <v>46054</v>
      </c>
      <c r="R116" s="10" t="s">
        <v>5720</v>
      </c>
      <c r="S116" s="21">
        <f>Q116+7</f>
        <v>46061</v>
      </c>
      <c r="T116" s="21">
        <v>46077</v>
      </c>
      <c r="U116" s="95">
        <f>T116-S116</f>
        <v>16</v>
      </c>
      <c r="V116" s="10" t="s">
        <v>5891</v>
      </c>
      <c r="W116" s="10"/>
      <c r="X116" s="21"/>
      <c r="Y116" s="10"/>
      <c r="Z116" s="10"/>
      <c r="AA116" s="21"/>
      <c r="AB116" s="95"/>
      <c r="AC116" s="10"/>
      <c r="AD116" s="10"/>
      <c r="AE116" s="21"/>
      <c r="AF116" s="10"/>
      <c r="AG116" s="10"/>
      <c r="AH116" s="21"/>
      <c r="AI116" s="95"/>
      <c r="AJ116" s="10"/>
      <c r="AK116" s="10"/>
      <c r="AL116" s="17"/>
      <c r="AM116" s="11"/>
      <c r="AN116" s="11"/>
      <c r="AO116" s="17"/>
      <c r="AP116" s="123"/>
      <c r="AQ116" s="17"/>
      <c r="AR116" s="17"/>
      <c r="AS116" s="17"/>
      <c r="AT116" s="17"/>
      <c r="AU116" s="17"/>
      <c r="AV116" s="17"/>
      <c r="AW116" s="123"/>
      <c r="AX116" s="17"/>
      <c r="AY116" s="17"/>
      <c r="AZ116" s="17"/>
      <c r="BA116" s="17"/>
      <c r="BB116" s="17"/>
      <c r="BC116" s="17"/>
      <c r="BD116" s="17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368"/>
    </row>
    <row r="117" spans="1:79" s="381" customFormat="1" ht="42" customHeight="1" x14ac:dyDescent="0.25">
      <c r="A117" s="421" t="s">
        <v>3256</v>
      </c>
      <c r="B117" s="12" t="s">
        <v>5</v>
      </c>
      <c r="C117" s="155" t="s">
        <v>208</v>
      </c>
      <c r="D117" s="152" t="s">
        <v>4530</v>
      </c>
      <c r="E117" s="152" t="s">
        <v>4531</v>
      </c>
      <c r="F117" s="16" t="s">
        <v>4532</v>
      </c>
      <c r="G117" s="157" t="s">
        <v>30</v>
      </c>
      <c r="H117" s="157" t="s">
        <v>145</v>
      </c>
      <c r="I117" s="59" t="s">
        <v>18</v>
      </c>
      <c r="J117" s="53">
        <v>45950</v>
      </c>
      <c r="K117" s="13" t="s">
        <v>4533</v>
      </c>
      <c r="L117" s="154">
        <f t="shared" si="31"/>
        <v>45957</v>
      </c>
      <c r="M117" s="53">
        <v>45955</v>
      </c>
      <c r="N117" s="92">
        <f t="shared" si="29"/>
        <v>-2</v>
      </c>
      <c r="O117" s="157" t="s">
        <v>4547</v>
      </c>
      <c r="P117" s="10" t="s">
        <v>5</v>
      </c>
      <c r="Q117" s="21">
        <v>46058</v>
      </c>
      <c r="R117" s="10" t="s">
        <v>5765</v>
      </c>
      <c r="S117" s="21">
        <f>Q117+7</f>
        <v>46065</v>
      </c>
      <c r="T117" s="21">
        <v>46071</v>
      </c>
      <c r="U117" s="95">
        <f>T117-S117</f>
        <v>6</v>
      </c>
      <c r="V117" s="10" t="s">
        <v>5879</v>
      </c>
      <c r="W117" s="10"/>
      <c r="X117" s="21"/>
      <c r="Y117" s="10"/>
      <c r="Z117" s="10"/>
      <c r="AA117" s="21"/>
      <c r="AB117" s="95"/>
      <c r="AC117" s="10"/>
      <c r="AD117" s="10"/>
      <c r="AE117" s="21"/>
      <c r="AF117" s="10"/>
      <c r="AG117" s="10"/>
      <c r="AH117" s="21"/>
      <c r="AI117" s="95"/>
      <c r="AJ117" s="10"/>
      <c r="AK117" s="10"/>
      <c r="AL117" s="17"/>
      <c r="AM117" s="11"/>
      <c r="AN117" s="11"/>
      <c r="AO117" s="17"/>
      <c r="AP117" s="123"/>
      <c r="AQ117" s="17"/>
      <c r="AR117" s="17"/>
      <c r="AS117" s="17"/>
      <c r="AT117" s="17"/>
      <c r="AU117" s="17"/>
      <c r="AV117" s="17"/>
      <c r="AW117" s="123"/>
      <c r="AX117" s="17"/>
      <c r="AY117" s="17"/>
      <c r="AZ117" s="17"/>
      <c r="BA117" s="17"/>
      <c r="BB117" s="17"/>
      <c r="BC117" s="17"/>
      <c r="BD117" s="17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368"/>
    </row>
    <row r="118" spans="1:79" s="381" customFormat="1" ht="42" customHeight="1" x14ac:dyDescent="0.25">
      <c r="A118" s="421" t="s">
        <v>3256</v>
      </c>
      <c r="B118" s="12" t="s">
        <v>5</v>
      </c>
      <c r="C118" s="155" t="s">
        <v>54</v>
      </c>
      <c r="D118" s="152" t="s">
        <v>4708</v>
      </c>
      <c r="E118" s="152" t="s">
        <v>4709</v>
      </c>
      <c r="F118" s="16" t="s">
        <v>4710</v>
      </c>
      <c r="G118" s="157" t="s">
        <v>30</v>
      </c>
      <c r="H118" s="157" t="s">
        <v>145</v>
      </c>
      <c r="I118" s="59" t="s">
        <v>5</v>
      </c>
      <c r="J118" s="53">
        <v>45964</v>
      </c>
      <c r="K118" s="13" t="s">
        <v>4711</v>
      </c>
      <c r="L118" s="53">
        <f t="shared" ref="L118:L123" si="32">J118+7</f>
        <v>45971</v>
      </c>
      <c r="M118" s="53">
        <v>45972</v>
      </c>
      <c r="N118" s="92">
        <f t="shared" ref="N118:N124" si="33">M118-L118</f>
        <v>1</v>
      </c>
      <c r="O118" s="157" t="s">
        <v>4730</v>
      </c>
      <c r="P118" s="10"/>
      <c r="Q118" s="21"/>
      <c r="R118" s="10"/>
      <c r="S118" s="10"/>
      <c r="T118" s="21"/>
      <c r="U118" s="95"/>
      <c r="V118" s="10"/>
      <c r="W118" s="10"/>
      <c r="X118" s="21"/>
      <c r="Y118" s="10"/>
      <c r="Z118" s="10"/>
      <c r="AA118" s="21"/>
      <c r="AB118" s="95"/>
      <c r="AC118" s="10"/>
      <c r="AD118" s="10"/>
      <c r="AE118" s="21"/>
      <c r="AF118" s="10"/>
      <c r="AG118" s="10"/>
      <c r="AH118" s="21"/>
      <c r="AI118" s="95"/>
      <c r="AJ118" s="10"/>
      <c r="AK118" s="10"/>
      <c r="AL118" s="17"/>
      <c r="AM118" s="11"/>
      <c r="AN118" s="11"/>
      <c r="AO118" s="17"/>
      <c r="AP118" s="123"/>
      <c r="AQ118" s="17"/>
      <c r="AR118" s="17"/>
      <c r="AS118" s="17"/>
      <c r="AT118" s="17"/>
      <c r="AU118" s="17"/>
      <c r="AV118" s="17"/>
      <c r="AW118" s="123"/>
      <c r="AX118" s="17"/>
      <c r="AY118" s="17"/>
      <c r="AZ118" s="17"/>
      <c r="BA118" s="17"/>
      <c r="BB118" s="17"/>
      <c r="BC118" s="17"/>
      <c r="BD118" s="17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368"/>
    </row>
    <row r="119" spans="1:79" s="381" customFormat="1" ht="42" customHeight="1" x14ac:dyDescent="0.25">
      <c r="A119" s="421" t="s">
        <v>3256</v>
      </c>
      <c r="B119" s="12" t="s">
        <v>5</v>
      </c>
      <c r="C119" s="155" t="s">
        <v>208</v>
      </c>
      <c r="D119" s="152" t="s">
        <v>4813</v>
      </c>
      <c r="E119" s="152" t="s">
        <v>4814</v>
      </c>
      <c r="F119" s="16" t="s">
        <v>4816</v>
      </c>
      <c r="G119" s="157" t="s">
        <v>30</v>
      </c>
      <c r="H119" s="157" t="s">
        <v>145</v>
      </c>
      <c r="I119" s="59" t="s">
        <v>3</v>
      </c>
      <c r="J119" s="53">
        <v>45971</v>
      </c>
      <c r="K119" s="13" t="s">
        <v>4815</v>
      </c>
      <c r="L119" s="53">
        <f t="shared" si="32"/>
        <v>45978</v>
      </c>
      <c r="M119" s="53">
        <v>45979</v>
      </c>
      <c r="N119" s="92">
        <f t="shared" si="33"/>
        <v>1</v>
      </c>
      <c r="O119" s="157" t="s">
        <v>4843</v>
      </c>
      <c r="P119" s="10" t="s">
        <v>5</v>
      </c>
      <c r="Q119" s="21">
        <v>46018</v>
      </c>
      <c r="R119" s="10" t="s">
        <v>5405</v>
      </c>
      <c r="S119" s="21">
        <f>Q119+7</f>
        <v>46025</v>
      </c>
      <c r="T119" s="21">
        <v>46022</v>
      </c>
      <c r="U119" s="95">
        <f>T119-S119</f>
        <v>-3</v>
      </c>
      <c r="V119" s="10" t="s">
        <v>5406</v>
      </c>
      <c r="W119" s="10"/>
      <c r="X119" s="21"/>
      <c r="Y119" s="10"/>
      <c r="Z119" s="10"/>
      <c r="AA119" s="21"/>
      <c r="AB119" s="95"/>
      <c r="AC119" s="10"/>
      <c r="AD119" s="10"/>
      <c r="AE119" s="21"/>
      <c r="AF119" s="10"/>
      <c r="AG119" s="10"/>
      <c r="AH119" s="21"/>
      <c r="AI119" s="95"/>
      <c r="AJ119" s="10"/>
      <c r="AK119" s="10"/>
      <c r="AL119" s="17"/>
      <c r="AM119" s="11"/>
      <c r="AN119" s="11"/>
      <c r="AO119" s="17"/>
      <c r="AP119" s="123"/>
      <c r="AQ119" s="17"/>
      <c r="AR119" s="17"/>
      <c r="AS119" s="17"/>
      <c r="AT119" s="17"/>
      <c r="AU119" s="17"/>
      <c r="AV119" s="17"/>
      <c r="AW119" s="123"/>
      <c r="AX119" s="17"/>
      <c r="AY119" s="17"/>
      <c r="AZ119" s="17"/>
      <c r="BA119" s="17"/>
      <c r="BB119" s="17"/>
      <c r="BC119" s="17"/>
      <c r="BD119" s="17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368"/>
    </row>
    <row r="120" spans="1:79" s="381" customFormat="1" ht="42" customHeight="1" x14ac:dyDescent="0.25">
      <c r="A120" s="421" t="s">
        <v>3256</v>
      </c>
      <c r="B120" s="12" t="s">
        <v>5</v>
      </c>
      <c r="C120" s="155" t="s">
        <v>208</v>
      </c>
      <c r="D120" s="152" t="s">
        <v>5113</v>
      </c>
      <c r="E120" s="152" t="s">
        <v>5112</v>
      </c>
      <c r="F120" s="16" t="s">
        <v>5114</v>
      </c>
      <c r="G120" s="157" t="s">
        <v>30</v>
      </c>
      <c r="H120" s="157" t="s">
        <v>145</v>
      </c>
      <c r="I120" s="16" t="s">
        <v>18</v>
      </c>
      <c r="J120" s="53">
        <v>45994</v>
      </c>
      <c r="K120" s="13" t="s">
        <v>5115</v>
      </c>
      <c r="L120" s="53">
        <f t="shared" si="32"/>
        <v>46001</v>
      </c>
      <c r="M120" s="53">
        <v>46004</v>
      </c>
      <c r="N120" s="92">
        <f t="shared" si="33"/>
        <v>3</v>
      </c>
      <c r="O120" s="157" t="s">
        <v>5134</v>
      </c>
      <c r="P120" s="10" t="s">
        <v>5</v>
      </c>
      <c r="Q120" s="21">
        <v>46053</v>
      </c>
      <c r="R120" s="10" t="s">
        <v>5701</v>
      </c>
      <c r="S120" s="21">
        <f>Q120+7</f>
        <v>46060</v>
      </c>
      <c r="T120" s="21">
        <v>46056</v>
      </c>
      <c r="U120" s="95">
        <f>T120-S120</f>
        <v>-4</v>
      </c>
      <c r="V120" s="10" t="s">
        <v>5724</v>
      </c>
      <c r="W120" s="10"/>
      <c r="X120" s="21"/>
      <c r="Y120" s="10"/>
      <c r="Z120" s="10"/>
      <c r="AA120" s="21"/>
      <c r="AB120" s="95"/>
      <c r="AC120" s="10"/>
      <c r="AD120" s="10"/>
      <c r="AE120" s="21"/>
      <c r="AF120" s="10"/>
      <c r="AG120" s="10"/>
      <c r="AH120" s="21"/>
      <c r="AI120" s="95"/>
      <c r="AJ120" s="10"/>
      <c r="AK120" s="10"/>
      <c r="AL120" s="17"/>
      <c r="AM120" s="11"/>
      <c r="AN120" s="11"/>
      <c r="AO120" s="17"/>
      <c r="AP120" s="123"/>
      <c r="AQ120" s="17"/>
      <c r="AR120" s="17"/>
      <c r="AS120" s="17"/>
      <c r="AT120" s="17"/>
      <c r="AU120" s="17"/>
      <c r="AV120" s="17"/>
      <c r="AW120" s="123"/>
      <c r="AX120" s="17"/>
      <c r="AY120" s="17"/>
      <c r="AZ120" s="17"/>
      <c r="BA120" s="17"/>
      <c r="BB120" s="17"/>
      <c r="BC120" s="17"/>
      <c r="BD120" s="17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368"/>
    </row>
    <row r="121" spans="1:79" s="381" customFormat="1" ht="42" customHeight="1" x14ac:dyDescent="0.25">
      <c r="A121" s="421" t="s">
        <v>3256</v>
      </c>
      <c r="B121" s="12" t="s">
        <v>3</v>
      </c>
      <c r="C121" s="155" t="s">
        <v>54</v>
      </c>
      <c r="D121" s="152" t="s">
        <v>5140</v>
      </c>
      <c r="E121" s="152" t="s">
        <v>5141</v>
      </c>
      <c r="F121" s="16" t="s">
        <v>5142</v>
      </c>
      <c r="G121" s="157" t="s">
        <v>30</v>
      </c>
      <c r="H121" s="157" t="s">
        <v>145</v>
      </c>
      <c r="I121" s="16" t="s">
        <v>3</v>
      </c>
      <c r="J121" s="53">
        <v>45997</v>
      </c>
      <c r="K121" s="13" t="s">
        <v>5139</v>
      </c>
      <c r="L121" s="53">
        <f t="shared" si="32"/>
        <v>46004</v>
      </c>
      <c r="M121" s="53">
        <v>46007</v>
      </c>
      <c r="N121" s="92">
        <f t="shared" si="33"/>
        <v>3</v>
      </c>
      <c r="O121" s="157" t="s">
        <v>5147</v>
      </c>
      <c r="P121" s="10"/>
      <c r="Q121" s="21"/>
      <c r="R121" s="10"/>
      <c r="S121" s="10"/>
      <c r="T121" s="21"/>
      <c r="U121" s="95"/>
      <c r="V121" s="10"/>
      <c r="W121" s="10"/>
      <c r="X121" s="21"/>
      <c r="Y121" s="10"/>
      <c r="Z121" s="10"/>
      <c r="AA121" s="21"/>
      <c r="AB121" s="95"/>
      <c r="AC121" s="10"/>
      <c r="AD121" s="10"/>
      <c r="AE121" s="21"/>
      <c r="AF121" s="10"/>
      <c r="AG121" s="10"/>
      <c r="AH121" s="21"/>
      <c r="AI121" s="95"/>
      <c r="AJ121" s="10"/>
      <c r="AK121" s="10"/>
      <c r="AL121" s="17"/>
      <c r="AM121" s="11"/>
      <c r="AN121" s="11"/>
      <c r="AO121" s="17"/>
      <c r="AP121" s="123"/>
      <c r="AQ121" s="17"/>
      <c r="AR121" s="17"/>
      <c r="AS121" s="17"/>
      <c r="AT121" s="17"/>
      <c r="AU121" s="17"/>
      <c r="AV121" s="17"/>
      <c r="AW121" s="123"/>
      <c r="AX121" s="17"/>
      <c r="AY121" s="17"/>
      <c r="AZ121" s="17"/>
      <c r="BA121" s="17"/>
      <c r="BB121" s="17"/>
      <c r="BC121" s="17"/>
      <c r="BD121" s="17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368"/>
    </row>
    <row r="122" spans="1:79" s="381" customFormat="1" ht="42" customHeight="1" x14ac:dyDescent="0.25">
      <c r="A122" s="421" t="s">
        <v>3256</v>
      </c>
      <c r="B122" s="12" t="s">
        <v>5</v>
      </c>
      <c r="C122" s="155" t="s">
        <v>2456</v>
      </c>
      <c r="D122" s="152" t="s">
        <v>5507</v>
      </c>
      <c r="E122" s="152" t="s">
        <v>5506</v>
      </c>
      <c r="F122" s="16" t="s">
        <v>5505</v>
      </c>
      <c r="G122" s="157" t="s">
        <v>30</v>
      </c>
      <c r="H122" s="157" t="s">
        <v>145</v>
      </c>
      <c r="I122" s="59" t="s">
        <v>3</v>
      </c>
      <c r="J122" s="53">
        <v>46028</v>
      </c>
      <c r="K122" s="13" t="s">
        <v>5508</v>
      </c>
      <c r="L122" s="53">
        <f t="shared" si="32"/>
        <v>46035</v>
      </c>
      <c r="M122" s="53">
        <v>46041</v>
      </c>
      <c r="N122" s="92">
        <f t="shared" si="33"/>
        <v>6</v>
      </c>
      <c r="O122" s="157" t="s">
        <v>5510</v>
      </c>
      <c r="P122" s="10" t="s">
        <v>18</v>
      </c>
      <c r="Q122" s="21">
        <v>46043</v>
      </c>
      <c r="R122" s="10" t="s">
        <v>5618</v>
      </c>
      <c r="S122" s="21">
        <f>Q122+7</f>
        <v>46050</v>
      </c>
      <c r="T122" s="21">
        <v>46050</v>
      </c>
      <c r="U122" s="95">
        <f>T122-S122</f>
        <v>0</v>
      </c>
      <c r="V122" s="10" t="s">
        <v>5627</v>
      </c>
      <c r="W122" s="10" t="s">
        <v>18</v>
      </c>
      <c r="X122" s="21">
        <v>46077</v>
      </c>
      <c r="Y122" s="10" t="s">
        <v>5893</v>
      </c>
      <c r="Z122" s="21">
        <f>X122+7</f>
        <v>46084</v>
      </c>
      <c r="AA122" s="21">
        <v>46084</v>
      </c>
      <c r="AB122" s="95">
        <f>AA122-Z122</f>
        <v>0</v>
      </c>
      <c r="AC122" s="10" t="s">
        <v>5903</v>
      </c>
      <c r="AD122" s="10" t="s">
        <v>18</v>
      </c>
      <c r="AE122" s="21">
        <v>46088</v>
      </c>
      <c r="AF122" s="10" t="s">
        <v>5975</v>
      </c>
      <c r="AG122" s="21">
        <f>AE122+7</f>
        <v>46095</v>
      </c>
      <c r="AH122" s="21">
        <v>46098</v>
      </c>
      <c r="AI122" s="95">
        <f>AH122-AG122</f>
        <v>3</v>
      </c>
      <c r="AJ122" s="10" t="s">
        <v>5993</v>
      </c>
      <c r="AK122" s="10" t="s">
        <v>5</v>
      </c>
      <c r="AL122" s="17">
        <v>46111</v>
      </c>
      <c r="AM122" s="11" t="s">
        <v>6182</v>
      </c>
      <c r="AN122" s="21">
        <f>AL122+7</f>
        <v>46118</v>
      </c>
      <c r="AO122" s="21">
        <v>46118</v>
      </c>
      <c r="AP122" s="95">
        <f>AO122-AN122</f>
        <v>0</v>
      </c>
      <c r="AQ122" s="17" t="s">
        <v>6201</v>
      </c>
      <c r="AR122" s="17"/>
      <c r="AS122" s="17"/>
      <c r="AT122" s="17"/>
      <c r="AU122" s="17"/>
      <c r="AV122" s="17"/>
      <c r="AW122" s="123"/>
      <c r="AX122" s="17"/>
      <c r="AY122" s="17"/>
      <c r="AZ122" s="17"/>
      <c r="BA122" s="17"/>
      <c r="BB122" s="17"/>
      <c r="BC122" s="17"/>
      <c r="BD122" s="17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368"/>
    </row>
    <row r="123" spans="1:79" s="381" customFormat="1" ht="42" customHeight="1" x14ac:dyDescent="0.25">
      <c r="A123" s="421" t="s">
        <v>3256</v>
      </c>
      <c r="B123" s="12" t="s">
        <v>5</v>
      </c>
      <c r="C123" s="155" t="s">
        <v>725</v>
      </c>
      <c r="D123" s="152" t="s">
        <v>5619</v>
      </c>
      <c r="E123" s="152" t="s">
        <v>5620</v>
      </c>
      <c r="F123" s="16" t="s">
        <v>5621</v>
      </c>
      <c r="G123" s="157" t="s">
        <v>30</v>
      </c>
      <c r="H123" s="157" t="s">
        <v>145</v>
      </c>
      <c r="I123" s="59" t="s">
        <v>18</v>
      </c>
      <c r="J123" s="53">
        <v>46042</v>
      </c>
      <c r="K123" s="13" t="s">
        <v>5622</v>
      </c>
      <c r="L123" s="53">
        <f t="shared" si="32"/>
        <v>46049</v>
      </c>
      <c r="M123" s="53">
        <v>46050</v>
      </c>
      <c r="N123" s="92">
        <f t="shared" si="33"/>
        <v>1</v>
      </c>
      <c r="O123" s="157" t="s">
        <v>5628</v>
      </c>
      <c r="P123" s="10" t="s">
        <v>18</v>
      </c>
      <c r="Q123" s="21">
        <v>46058</v>
      </c>
      <c r="R123" s="10" t="s">
        <v>5768</v>
      </c>
      <c r="S123" s="21">
        <f>Q123+7</f>
        <v>46065</v>
      </c>
      <c r="T123" s="21">
        <v>46063</v>
      </c>
      <c r="U123" s="95">
        <f>T123-S123</f>
        <v>-2</v>
      </c>
      <c r="V123" s="10" t="s">
        <v>5782</v>
      </c>
      <c r="W123" s="10" t="s">
        <v>18</v>
      </c>
      <c r="X123" s="21">
        <v>46065</v>
      </c>
      <c r="Y123" s="10" t="s">
        <v>5843</v>
      </c>
      <c r="Z123" s="21">
        <f>X123+7</f>
        <v>46072</v>
      </c>
      <c r="AA123" s="21">
        <v>46071</v>
      </c>
      <c r="AB123" s="95">
        <f>AA123-Z123</f>
        <v>-1</v>
      </c>
      <c r="AC123" s="10" t="s">
        <v>5847</v>
      </c>
      <c r="AD123" s="10" t="s">
        <v>5</v>
      </c>
      <c r="AE123" s="21">
        <v>46120</v>
      </c>
      <c r="AF123" s="10" t="s">
        <v>6302</v>
      </c>
      <c r="AG123" s="21">
        <f>AE123+7</f>
        <v>46127</v>
      </c>
      <c r="AH123" s="21">
        <v>46124</v>
      </c>
      <c r="AI123" s="95">
        <f>AH123-AG123</f>
        <v>-3</v>
      </c>
      <c r="AJ123" s="10" t="s">
        <v>6308</v>
      </c>
      <c r="AK123" s="10"/>
      <c r="AL123" s="17"/>
      <c r="AM123" s="11"/>
      <c r="AN123" s="11"/>
      <c r="AO123" s="17"/>
      <c r="AP123" s="123"/>
      <c r="AQ123" s="17"/>
      <c r="AR123" s="17"/>
      <c r="AS123" s="17"/>
      <c r="AT123" s="17"/>
      <c r="AU123" s="17"/>
      <c r="AV123" s="17"/>
      <c r="AW123" s="123"/>
      <c r="AX123" s="17"/>
      <c r="AY123" s="17"/>
      <c r="AZ123" s="17"/>
      <c r="BA123" s="17"/>
      <c r="BB123" s="17"/>
      <c r="BC123" s="17"/>
      <c r="BD123" s="17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368"/>
    </row>
    <row r="124" spans="1:79" s="381" customFormat="1" ht="42" customHeight="1" x14ac:dyDescent="0.25">
      <c r="A124" s="421" t="s">
        <v>3256</v>
      </c>
      <c r="B124" s="58" t="s">
        <v>508</v>
      </c>
      <c r="C124" s="155" t="s">
        <v>627</v>
      </c>
      <c r="D124" s="152" t="s">
        <v>5805</v>
      </c>
      <c r="E124" s="152" t="s">
        <v>5806</v>
      </c>
      <c r="F124" s="16" t="s">
        <v>5807</v>
      </c>
      <c r="G124" s="157" t="s">
        <v>30</v>
      </c>
      <c r="H124" s="157" t="s">
        <v>145</v>
      </c>
      <c r="I124" s="59" t="s">
        <v>3</v>
      </c>
      <c r="J124" s="53">
        <v>46062</v>
      </c>
      <c r="K124" s="13" t="s">
        <v>5808</v>
      </c>
      <c r="L124" s="53">
        <f t="shared" ref="L124:L131" si="34">J124+7</f>
        <v>46069</v>
      </c>
      <c r="M124" s="53">
        <v>46076</v>
      </c>
      <c r="N124" s="92">
        <f t="shared" si="33"/>
        <v>7</v>
      </c>
      <c r="O124" s="157" t="s">
        <v>5812</v>
      </c>
      <c r="P124" s="10" t="s">
        <v>4807</v>
      </c>
      <c r="Q124" s="21">
        <v>46196</v>
      </c>
      <c r="R124" s="10" t="s">
        <v>7069</v>
      </c>
      <c r="S124" s="10" t="s">
        <v>626</v>
      </c>
      <c r="T124" s="21" t="s">
        <v>626</v>
      </c>
      <c r="U124" s="95" t="s">
        <v>626</v>
      </c>
      <c r="V124" s="10" t="s">
        <v>626</v>
      </c>
      <c r="W124" s="10"/>
      <c r="X124" s="21"/>
      <c r="Y124" s="10"/>
      <c r="Z124" s="10"/>
      <c r="AA124" s="21"/>
      <c r="AB124" s="95"/>
      <c r="AC124" s="10"/>
      <c r="AD124" s="10"/>
      <c r="AE124" s="21"/>
      <c r="AF124" s="10"/>
      <c r="AG124" s="10"/>
      <c r="AH124" s="21"/>
      <c r="AI124" s="95"/>
      <c r="AJ124" s="10"/>
      <c r="AK124" s="10"/>
      <c r="AL124" s="17"/>
      <c r="AM124" s="11"/>
      <c r="AN124" s="11"/>
      <c r="AO124" s="17"/>
      <c r="AP124" s="123"/>
      <c r="AQ124" s="17"/>
      <c r="AR124" s="17"/>
      <c r="AS124" s="17"/>
      <c r="AT124" s="17"/>
      <c r="AU124" s="17"/>
      <c r="AV124" s="17"/>
      <c r="AW124" s="123"/>
      <c r="AX124" s="17"/>
      <c r="AY124" s="17"/>
      <c r="AZ124" s="17"/>
      <c r="BA124" s="17"/>
      <c r="BB124" s="17"/>
      <c r="BC124" s="17"/>
      <c r="BD124" s="17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368"/>
    </row>
    <row r="125" spans="1:79" s="381" customFormat="1" ht="42" customHeight="1" x14ac:dyDescent="0.25">
      <c r="A125" s="421" t="s">
        <v>3256</v>
      </c>
      <c r="B125" s="12" t="s">
        <v>5</v>
      </c>
      <c r="C125" s="56" t="s">
        <v>588</v>
      </c>
      <c r="D125" s="152" t="s">
        <v>5865</v>
      </c>
      <c r="E125" s="152" t="s">
        <v>5866</v>
      </c>
      <c r="F125" s="16" t="s">
        <v>5868</v>
      </c>
      <c r="G125" s="157" t="s">
        <v>30</v>
      </c>
      <c r="H125" s="157" t="s">
        <v>145</v>
      </c>
      <c r="I125" s="59" t="s">
        <v>3</v>
      </c>
      <c r="J125" s="53">
        <v>46070</v>
      </c>
      <c r="K125" s="13" t="s">
        <v>5867</v>
      </c>
      <c r="L125" s="53">
        <f t="shared" si="34"/>
        <v>46077</v>
      </c>
      <c r="M125" s="53">
        <v>46079</v>
      </c>
      <c r="N125" s="92">
        <f t="shared" ref="N125:N135" si="35">M125-L125</f>
        <v>2</v>
      </c>
      <c r="O125" s="157" t="s">
        <v>5876</v>
      </c>
      <c r="P125" s="10" t="s">
        <v>18</v>
      </c>
      <c r="Q125" s="21">
        <v>46097</v>
      </c>
      <c r="R125" s="10" t="s">
        <v>6090</v>
      </c>
      <c r="S125" s="21">
        <f t="shared" ref="S125:S130" si="36">Q125+7</f>
        <v>46104</v>
      </c>
      <c r="T125" s="21">
        <v>46105</v>
      </c>
      <c r="U125" s="95">
        <f t="shared" ref="U125:U130" si="37">T125-S125</f>
        <v>1</v>
      </c>
      <c r="V125" s="10" t="s">
        <v>6096</v>
      </c>
      <c r="W125" s="10" t="s">
        <v>5</v>
      </c>
      <c r="X125" s="21">
        <v>46205</v>
      </c>
      <c r="Y125" s="10" t="s">
        <v>7175</v>
      </c>
      <c r="Z125" s="21">
        <f>X125+7</f>
        <v>46212</v>
      </c>
      <c r="AA125" s="21">
        <v>46217</v>
      </c>
      <c r="AB125" s="95">
        <f>AA125-Z125</f>
        <v>5</v>
      </c>
      <c r="AC125" s="10" t="s">
        <v>7193</v>
      </c>
      <c r="AD125" s="10"/>
      <c r="AE125" s="21"/>
      <c r="AF125" s="10"/>
      <c r="AG125" s="10"/>
      <c r="AH125" s="21"/>
      <c r="AI125" s="95"/>
      <c r="AJ125" s="10"/>
      <c r="AK125" s="10"/>
      <c r="AL125" s="17"/>
      <c r="AM125" s="11"/>
      <c r="AN125" s="11"/>
      <c r="AO125" s="17"/>
      <c r="AP125" s="123"/>
      <c r="AQ125" s="17"/>
      <c r="AR125" s="17"/>
      <c r="AS125" s="17"/>
      <c r="AT125" s="17"/>
      <c r="AU125" s="17"/>
      <c r="AV125" s="17"/>
      <c r="AW125" s="123"/>
      <c r="AX125" s="17"/>
      <c r="AY125" s="17"/>
      <c r="AZ125" s="17"/>
      <c r="BA125" s="17"/>
      <c r="BB125" s="17"/>
      <c r="BC125" s="17"/>
      <c r="BD125" s="17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368"/>
    </row>
    <row r="126" spans="1:79" s="381" customFormat="1" ht="42" customHeight="1" x14ac:dyDescent="0.25">
      <c r="A126" s="421" t="s">
        <v>3256</v>
      </c>
      <c r="B126" s="12" t="s">
        <v>18</v>
      </c>
      <c r="C126" s="56" t="s">
        <v>725</v>
      </c>
      <c r="D126" s="152" t="s">
        <v>6020</v>
      </c>
      <c r="E126" s="152" t="s">
        <v>6021</v>
      </c>
      <c r="F126" s="16" t="s">
        <v>6022</v>
      </c>
      <c r="G126" s="157" t="s">
        <v>30</v>
      </c>
      <c r="H126" s="157" t="s">
        <v>145</v>
      </c>
      <c r="I126" s="59" t="s">
        <v>3</v>
      </c>
      <c r="J126" s="53">
        <v>46093</v>
      </c>
      <c r="K126" s="13" t="s">
        <v>6023</v>
      </c>
      <c r="L126" s="53">
        <f t="shared" si="34"/>
        <v>46100</v>
      </c>
      <c r="M126" s="53">
        <v>46106</v>
      </c>
      <c r="N126" s="92">
        <f t="shared" si="35"/>
        <v>6</v>
      </c>
      <c r="O126" s="157" t="s">
        <v>6028</v>
      </c>
      <c r="P126" s="10" t="s">
        <v>18</v>
      </c>
      <c r="Q126" s="21">
        <v>46114</v>
      </c>
      <c r="R126" s="10" t="s">
        <v>6220</v>
      </c>
      <c r="S126" s="21">
        <f t="shared" si="36"/>
        <v>46121</v>
      </c>
      <c r="T126" s="21">
        <v>46124</v>
      </c>
      <c r="U126" s="95">
        <f t="shared" si="37"/>
        <v>3</v>
      </c>
      <c r="V126" s="10" t="s">
        <v>6224</v>
      </c>
      <c r="W126" s="10" t="s">
        <v>18</v>
      </c>
      <c r="X126" s="21">
        <v>46191</v>
      </c>
      <c r="Y126" s="10" t="s">
        <v>7033</v>
      </c>
      <c r="Z126" s="21">
        <f>X126+7</f>
        <v>46198</v>
      </c>
      <c r="AA126" s="21">
        <v>46204</v>
      </c>
      <c r="AB126" s="95">
        <f>AA126-Z126</f>
        <v>6</v>
      </c>
      <c r="AC126" s="10" t="s">
        <v>7038</v>
      </c>
      <c r="AD126" s="10" t="s">
        <v>18</v>
      </c>
      <c r="AE126" s="21">
        <v>46209</v>
      </c>
      <c r="AF126" s="10" t="s">
        <v>7224</v>
      </c>
      <c r="AG126" s="21">
        <f>AE126+7</f>
        <v>46216</v>
      </c>
      <c r="AH126" s="21">
        <v>46222</v>
      </c>
      <c r="AI126" s="95">
        <f>AH126-AG126</f>
        <v>6</v>
      </c>
      <c r="AJ126" s="10" t="s">
        <v>7227</v>
      </c>
      <c r="AK126" s="10"/>
      <c r="AL126" s="17"/>
      <c r="AM126" s="11"/>
      <c r="AN126" s="11"/>
      <c r="AO126" s="17"/>
      <c r="AP126" s="123"/>
      <c r="AQ126" s="17"/>
      <c r="AR126" s="17"/>
      <c r="AS126" s="17"/>
      <c r="AT126" s="17"/>
      <c r="AU126" s="17"/>
      <c r="AV126" s="17"/>
      <c r="AW126" s="123"/>
      <c r="AX126" s="17"/>
      <c r="AY126" s="17"/>
      <c r="AZ126" s="17"/>
      <c r="BA126" s="17"/>
      <c r="BB126" s="17"/>
      <c r="BC126" s="17"/>
      <c r="BD126" s="17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368"/>
    </row>
    <row r="127" spans="1:79" s="381" customFormat="1" ht="42" customHeight="1" x14ac:dyDescent="0.25">
      <c r="A127" s="421" t="s">
        <v>3256</v>
      </c>
      <c r="B127" s="12" t="s">
        <v>5</v>
      </c>
      <c r="C127" s="56" t="s">
        <v>588</v>
      </c>
      <c r="D127" s="152" t="s">
        <v>6053</v>
      </c>
      <c r="E127" s="152" t="s">
        <v>6054</v>
      </c>
      <c r="F127" s="16" t="s">
        <v>6198</v>
      </c>
      <c r="G127" s="157" t="s">
        <v>30</v>
      </c>
      <c r="H127" s="157" t="s">
        <v>145</v>
      </c>
      <c r="I127" s="59" t="s">
        <v>3</v>
      </c>
      <c r="J127" s="53">
        <v>46095</v>
      </c>
      <c r="K127" s="13" t="s">
        <v>6055</v>
      </c>
      <c r="L127" s="53">
        <f t="shared" si="34"/>
        <v>46102</v>
      </c>
      <c r="M127" s="53">
        <v>46105</v>
      </c>
      <c r="N127" s="92">
        <f t="shared" si="35"/>
        <v>3</v>
      </c>
      <c r="O127" s="157" t="s">
        <v>6056</v>
      </c>
      <c r="P127" s="10" t="s">
        <v>18</v>
      </c>
      <c r="Q127" s="21">
        <v>46113</v>
      </c>
      <c r="R127" s="10" t="s">
        <v>6199</v>
      </c>
      <c r="S127" s="21">
        <f t="shared" si="36"/>
        <v>46120</v>
      </c>
      <c r="T127" s="21">
        <v>46113</v>
      </c>
      <c r="U127" s="95">
        <f t="shared" si="37"/>
        <v>-7</v>
      </c>
      <c r="V127" s="10" t="s">
        <v>6207</v>
      </c>
      <c r="W127" s="10" t="s">
        <v>5</v>
      </c>
      <c r="X127" s="21">
        <v>46159</v>
      </c>
      <c r="Y127" s="10" t="s">
        <v>6839</v>
      </c>
      <c r="Z127" s="21">
        <f>X127+7</f>
        <v>46166</v>
      </c>
      <c r="AA127" s="21">
        <v>46173</v>
      </c>
      <c r="AB127" s="95">
        <f>AA127-Z127</f>
        <v>7</v>
      </c>
      <c r="AC127" s="10" t="s">
        <v>6848</v>
      </c>
      <c r="AD127" s="10"/>
      <c r="AE127" s="21"/>
      <c r="AF127" s="10"/>
      <c r="AG127" s="10"/>
      <c r="AH127" s="21"/>
      <c r="AI127" s="95"/>
      <c r="AJ127" s="10"/>
      <c r="AK127" s="10"/>
      <c r="AL127" s="17"/>
      <c r="AM127" s="11"/>
      <c r="AN127" s="11"/>
      <c r="AO127" s="17"/>
      <c r="AP127" s="123"/>
      <c r="AQ127" s="17"/>
      <c r="AR127" s="17"/>
      <c r="AS127" s="17"/>
      <c r="AT127" s="17"/>
      <c r="AU127" s="17"/>
      <c r="AV127" s="17"/>
      <c r="AW127" s="123"/>
      <c r="AX127" s="17"/>
      <c r="AY127" s="17"/>
      <c r="AZ127" s="17"/>
      <c r="BA127" s="17"/>
      <c r="BB127" s="17"/>
      <c r="BC127" s="17"/>
      <c r="BD127" s="17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423"/>
    </row>
    <row r="128" spans="1:79" s="381" customFormat="1" ht="42" customHeight="1" x14ac:dyDescent="0.25">
      <c r="A128" s="421" t="s">
        <v>3256</v>
      </c>
      <c r="B128" s="12" t="s">
        <v>5</v>
      </c>
      <c r="C128" s="56" t="s">
        <v>208</v>
      </c>
      <c r="D128" s="152" t="s">
        <v>6192</v>
      </c>
      <c r="E128" s="152" t="s">
        <v>6193</v>
      </c>
      <c r="F128" s="16" t="s">
        <v>6195</v>
      </c>
      <c r="G128" s="157" t="s">
        <v>30</v>
      </c>
      <c r="H128" s="157" t="s">
        <v>145</v>
      </c>
      <c r="I128" s="59" t="s">
        <v>18</v>
      </c>
      <c r="J128" s="53">
        <v>46111</v>
      </c>
      <c r="K128" s="13" t="s">
        <v>6194</v>
      </c>
      <c r="L128" s="53">
        <f t="shared" si="34"/>
        <v>46118</v>
      </c>
      <c r="M128" s="53">
        <v>46119</v>
      </c>
      <c r="N128" s="92">
        <f t="shared" si="35"/>
        <v>1</v>
      </c>
      <c r="O128" s="157" t="s">
        <v>6204</v>
      </c>
      <c r="P128" s="10" t="s">
        <v>5</v>
      </c>
      <c r="Q128" s="21">
        <v>46121</v>
      </c>
      <c r="R128" s="10" t="s">
        <v>6311</v>
      </c>
      <c r="S128" s="21">
        <f t="shared" si="36"/>
        <v>46128</v>
      </c>
      <c r="T128" s="21">
        <v>46133</v>
      </c>
      <c r="U128" s="95">
        <f t="shared" si="37"/>
        <v>5</v>
      </c>
      <c r="V128" s="10" t="s">
        <v>6321</v>
      </c>
      <c r="W128" s="10"/>
      <c r="X128" s="21"/>
      <c r="Y128" s="10"/>
      <c r="Z128" s="10"/>
      <c r="AA128" s="21"/>
      <c r="AB128" s="95"/>
      <c r="AC128" s="10"/>
      <c r="AD128" s="10"/>
      <c r="AE128" s="21"/>
      <c r="AF128" s="10"/>
      <c r="AG128" s="10"/>
      <c r="AH128" s="21"/>
      <c r="AI128" s="95"/>
      <c r="AJ128" s="10"/>
      <c r="AK128" s="10"/>
      <c r="AL128" s="17"/>
      <c r="AM128" s="11"/>
      <c r="AN128" s="11"/>
      <c r="AO128" s="17"/>
      <c r="AP128" s="123"/>
      <c r="AQ128" s="17"/>
      <c r="AR128" s="17"/>
      <c r="AS128" s="17"/>
      <c r="AT128" s="17"/>
      <c r="AU128" s="17"/>
      <c r="AV128" s="17"/>
      <c r="AW128" s="123"/>
      <c r="AX128" s="17"/>
      <c r="AY128" s="17"/>
      <c r="AZ128" s="17"/>
      <c r="BA128" s="17"/>
      <c r="BB128" s="17"/>
      <c r="BC128" s="17"/>
      <c r="BD128" s="17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368"/>
    </row>
    <row r="129" spans="1:79" s="381" customFormat="1" ht="42" customHeight="1" x14ac:dyDescent="0.25">
      <c r="A129" s="421" t="s">
        <v>3256</v>
      </c>
      <c r="B129" s="12" t="s">
        <v>5</v>
      </c>
      <c r="C129" s="56" t="s">
        <v>208</v>
      </c>
      <c r="D129" s="152" t="s">
        <v>6221</v>
      </c>
      <c r="E129" s="152" t="s">
        <v>6222</v>
      </c>
      <c r="F129" s="16" t="s">
        <v>6223</v>
      </c>
      <c r="G129" s="157" t="s">
        <v>30</v>
      </c>
      <c r="H129" s="157" t="s">
        <v>145</v>
      </c>
      <c r="I129" s="12" t="s">
        <v>13</v>
      </c>
      <c r="J129" s="53">
        <v>46116</v>
      </c>
      <c r="K129" s="13" t="s">
        <v>6225</v>
      </c>
      <c r="L129" s="53">
        <f t="shared" si="34"/>
        <v>46123</v>
      </c>
      <c r="M129" s="53">
        <v>46116</v>
      </c>
      <c r="N129" s="92">
        <f t="shared" si="35"/>
        <v>-7</v>
      </c>
      <c r="O129" s="157" t="s">
        <v>6226</v>
      </c>
      <c r="P129" s="10" t="s">
        <v>5</v>
      </c>
      <c r="Q129" s="21">
        <v>46204</v>
      </c>
      <c r="R129" s="10" t="s">
        <v>7164</v>
      </c>
      <c r="S129" s="21">
        <f t="shared" si="36"/>
        <v>46211</v>
      </c>
      <c r="T129" s="21">
        <v>46209</v>
      </c>
      <c r="U129" s="95">
        <f t="shared" si="37"/>
        <v>-2</v>
      </c>
      <c r="V129" s="10" t="s">
        <v>7171</v>
      </c>
      <c r="W129" s="10"/>
      <c r="X129" s="21"/>
      <c r="Y129" s="10"/>
      <c r="Z129" s="10"/>
      <c r="AA129" s="21"/>
      <c r="AB129" s="95"/>
      <c r="AC129" s="10"/>
      <c r="AD129" s="10"/>
      <c r="AE129" s="21"/>
      <c r="AF129" s="10"/>
      <c r="AG129" s="10"/>
      <c r="AH129" s="21"/>
      <c r="AI129" s="95"/>
      <c r="AJ129" s="10"/>
      <c r="AK129" s="10"/>
      <c r="AL129" s="17"/>
      <c r="AM129" s="11"/>
      <c r="AN129" s="11"/>
      <c r="AO129" s="17"/>
      <c r="AP129" s="123"/>
      <c r="AQ129" s="17"/>
      <c r="AR129" s="17"/>
      <c r="AS129" s="17"/>
      <c r="AT129" s="17"/>
      <c r="AU129" s="17"/>
      <c r="AV129" s="17"/>
      <c r="AW129" s="123"/>
      <c r="AX129" s="17"/>
      <c r="AY129" s="17"/>
      <c r="AZ129" s="17"/>
      <c r="BA129" s="17"/>
      <c r="BB129" s="17"/>
      <c r="BC129" s="17"/>
      <c r="BD129" s="17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368"/>
    </row>
    <row r="130" spans="1:79" s="381" customFormat="1" ht="42" customHeight="1" x14ac:dyDescent="0.25">
      <c r="A130" s="421" t="s">
        <v>3256</v>
      </c>
      <c r="B130" s="12" t="s">
        <v>18</v>
      </c>
      <c r="C130" s="56" t="s">
        <v>208</v>
      </c>
      <c r="D130" s="152" t="s">
        <v>6238</v>
      </c>
      <c r="E130" s="152" t="s">
        <v>6239</v>
      </c>
      <c r="F130" s="16" t="s">
        <v>6240</v>
      </c>
      <c r="G130" s="157" t="s">
        <v>30</v>
      </c>
      <c r="H130" s="157" t="s">
        <v>145</v>
      </c>
      <c r="I130" s="59" t="s">
        <v>18</v>
      </c>
      <c r="J130" s="53">
        <v>46116</v>
      </c>
      <c r="K130" s="13" t="s">
        <v>6241</v>
      </c>
      <c r="L130" s="53">
        <f t="shared" si="34"/>
        <v>46123</v>
      </c>
      <c r="M130" s="53">
        <v>46127</v>
      </c>
      <c r="N130" s="92">
        <f t="shared" si="35"/>
        <v>4</v>
      </c>
      <c r="O130" s="157" t="s">
        <v>6253</v>
      </c>
      <c r="P130" s="10" t="s">
        <v>18</v>
      </c>
      <c r="Q130" s="21">
        <v>46133</v>
      </c>
      <c r="R130" s="10" t="s">
        <v>6480</v>
      </c>
      <c r="S130" s="21">
        <f t="shared" si="36"/>
        <v>46140</v>
      </c>
      <c r="T130" s="21">
        <v>46142</v>
      </c>
      <c r="U130" s="95">
        <f t="shared" si="37"/>
        <v>2</v>
      </c>
      <c r="V130" s="10" t="s">
        <v>6493</v>
      </c>
      <c r="W130" s="10"/>
      <c r="X130" s="21"/>
      <c r="Y130" s="10"/>
      <c r="Z130" s="10"/>
      <c r="AA130" s="21"/>
      <c r="AB130" s="95"/>
      <c r="AC130" s="10"/>
      <c r="AD130" s="10"/>
      <c r="AE130" s="21"/>
      <c r="AF130" s="10"/>
      <c r="AG130" s="10"/>
      <c r="AH130" s="21"/>
      <c r="AI130" s="95"/>
      <c r="AJ130" s="10"/>
      <c r="AK130" s="10"/>
      <c r="AL130" s="17"/>
      <c r="AM130" s="11"/>
      <c r="AN130" s="11"/>
      <c r="AO130" s="17"/>
      <c r="AP130" s="123"/>
      <c r="AQ130" s="17"/>
      <c r="AR130" s="17"/>
      <c r="AS130" s="17"/>
      <c r="AT130" s="17"/>
      <c r="AU130" s="17"/>
      <c r="AV130" s="17"/>
      <c r="AW130" s="123"/>
      <c r="AX130" s="17"/>
      <c r="AY130" s="17"/>
      <c r="AZ130" s="17"/>
      <c r="BA130" s="17"/>
      <c r="BB130" s="17"/>
      <c r="BC130" s="17"/>
      <c r="BD130" s="17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368"/>
    </row>
    <row r="131" spans="1:79" s="381" customFormat="1" ht="42" customHeight="1" x14ac:dyDescent="0.25">
      <c r="A131" s="421" t="s">
        <v>3256</v>
      </c>
      <c r="B131" s="12" t="s">
        <v>18</v>
      </c>
      <c r="C131" s="56" t="s">
        <v>54</v>
      </c>
      <c r="D131" s="152" t="s">
        <v>6270</v>
      </c>
      <c r="E131" s="152" t="s">
        <v>6271</v>
      </c>
      <c r="F131" s="16" t="s">
        <v>6272</v>
      </c>
      <c r="G131" s="157" t="s">
        <v>30</v>
      </c>
      <c r="H131" s="157" t="s">
        <v>145</v>
      </c>
      <c r="I131" s="59" t="s">
        <v>18</v>
      </c>
      <c r="J131" s="53">
        <v>46118</v>
      </c>
      <c r="K131" s="13" t="s">
        <v>6273</v>
      </c>
      <c r="L131" s="53">
        <f t="shared" si="34"/>
        <v>46125</v>
      </c>
      <c r="M131" s="53">
        <v>46131</v>
      </c>
      <c r="N131" s="92">
        <f t="shared" si="35"/>
        <v>6</v>
      </c>
      <c r="O131" s="157" t="s">
        <v>6275</v>
      </c>
      <c r="P131" s="10"/>
      <c r="Q131" s="21"/>
      <c r="R131" s="10"/>
      <c r="S131" s="10"/>
      <c r="T131" s="21"/>
      <c r="U131" s="95"/>
      <c r="V131" s="10"/>
      <c r="W131" s="10"/>
      <c r="X131" s="21"/>
      <c r="Y131" s="10"/>
      <c r="Z131" s="10"/>
      <c r="AA131" s="21"/>
      <c r="AB131" s="95"/>
      <c r="AC131" s="10"/>
      <c r="AD131" s="10"/>
      <c r="AE131" s="21"/>
      <c r="AF131" s="10"/>
      <c r="AG131" s="10"/>
      <c r="AH131" s="21"/>
      <c r="AI131" s="95"/>
      <c r="AJ131" s="10"/>
      <c r="AK131" s="10"/>
      <c r="AL131" s="17"/>
      <c r="AM131" s="11"/>
      <c r="AN131" s="11"/>
      <c r="AO131" s="17"/>
      <c r="AP131" s="123"/>
      <c r="AQ131" s="17"/>
      <c r="AR131" s="17"/>
      <c r="AS131" s="17"/>
      <c r="AT131" s="17"/>
      <c r="AU131" s="17"/>
      <c r="AV131" s="17"/>
      <c r="AW131" s="123"/>
      <c r="AX131" s="17"/>
      <c r="AY131" s="17"/>
      <c r="AZ131" s="17"/>
      <c r="BA131" s="17"/>
      <c r="BB131" s="17"/>
      <c r="BC131" s="17"/>
      <c r="BD131" s="17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368"/>
    </row>
    <row r="132" spans="1:79" s="381" customFormat="1" ht="42" customHeight="1" x14ac:dyDescent="0.25">
      <c r="A132" s="421" t="s">
        <v>3256</v>
      </c>
      <c r="B132" s="12" t="s">
        <v>5</v>
      </c>
      <c r="C132" s="56" t="s">
        <v>588</v>
      </c>
      <c r="D132" s="152" t="s">
        <v>6368</v>
      </c>
      <c r="E132" s="152" t="s">
        <v>6369</v>
      </c>
      <c r="F132" s="16" t="s">
        <v>6370</v>
      </c>
      <c r="G132" s="157" t="s">
        <v>30</v>
      </c>
      <c r="H132" s="157" t="s">
        <v>145</v>
      </c>
      <c r="I132" s="59" t="s">
        <v>18</v>
      </c>
      <c r="J132" s="53">
        <v>46125</v>
      </c>
      <c r="K132" s="13" t="s">
        <v>6371</v>
      </c>
      <c r="L132" s="53">
        <f t="shared" ref="L132:L138" si="38">J132+7</f>
        <v>46132</v>
      </c>
      <c r="M132" s="53">
        <v>46138</v>
      </c>
      <c r="N132" s="92">
        <f t="shared" si="35"/>
        <v>6</v>
      </c>
      <c r="O132" s="157" t="s">
        <v>6376</v>
      </c>
      <c r="P132" s="10" t="s">
        <v>18</v>
      </c>
      <c r="Q132" s="21">
        <v>46160</v>
      </c>
      <c r="R132" s="10" t="s">
        <v>6852</v>
      </c>
      <c r="S132" s="21">
        <f>Q132+7</f>
        <v>46167</v>
      </c>
      <c r="T132" s="21">
        <v>46175</v>
      </c>
      <c r="U132" s="95">
        <f>T132-S132</f>
        <v>8</v>
      </c>
      <c r="V132" s="10" t="s">
        <v>6866</v>
      </c>
      <c r="W132" s="10" t="s">
        <v>5</v>
      </c>
      <c r="X132" s="21">
        <v>46177</v>
      </c>
      <c r="Y132" s="10" t="s">
        <v>6941</v>
      </c>
      <c r="Z132" s="21">
        <f>X132+7</f>
        <v>46184</v>
      </c>
      <c r="AA132" s="21">
        <v>46188</v>
      </c>
      <c r="AB132" s="95">
        <f>AA132-Z132</f>
        <v>4</v>
      </c>
      <c r="AC132" s="10" t="s">
        <v>6943</v>
      </c>
      <c r="AD132" s="10"/>
      <c r="AE132" s="21"/>
      <c r="AF132" s="10"/>
      <c r="AG132" s="10"/>
      <c r="AH132" s="21"/>
      <c r="AI132" s="95"/>
      <c r="AJ132" s="10"/>
      <c r="AK132" s="10"/>
      <c r="AL132" s="17"/>
      <c r="AM132" s="11"/>
      <c r="AN132" s="11"/>
      <c r="AO132" s="17"/>
      <c r="AP132" s="123"/>
      <c r="AQ132" s="17"/>
      <c r="AR132" s="17"/>
      <c r="AS132" s="17"/>
      <c r="AT132" s="17"/>
      <c r="AU132" s="17"/>
      <c r="AV132" s="17"/>
      <c r="AW132" s="123"/>
      <c r="AX132" s="17"/>
      <c r="AY132" s="17"/>
      <c r="AZ132" s="17"/>
      <c r="BA132" s="17"/>
      <c r="BB132" s="17"/>
      <c r="BC132" s="17"/>
      <c r="BD132" s="17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368"/>
    </row>
    <row r="133" spans="1:79" s="381" customFormat="1" ht="42" customHeight="1" x14ac:dyDescent="0.25">
      <c r="A133" s="421" t="s">
        <v>3256</v>
      </c>
      <c r="B133" s="12" t="s">
        <v>3</v>
      </c>
      <c r="C133" s="56" t="s">
        <v>54</v>
      </c>
      <c r="D133" s="152" t="s">
        <v>6405</v>
      </c>
      <c r="E133" s="152" t="s">
        <v>6404</v>
      </c>
      <c r="F133" s="16" t="s">
        <v>6406</v>
      </c>
      <c r="G133" s="157" t="s">
        <v>30</v>
      </c>
      <c r="H133" s="157" t="s">
        <v>145</v>
      </c>
      <c r="I133" s="59" t="s">
        <v>3</v>
      </c>
      <c r="J133" s="53">
        <v>46128</v>
      </c>
      <c r="K133" s="13" t="s">
        <v>6403</v>
      </c>
      <c r="L133" s="53">
        <f t="shared" si="38"/>
        <v>46135</v>
      </c>
      <c r="M133" s="53">
        <v>46142</v>
      </c>
      <c r="N133" s="92">
        <f t="shared" si="35"/>
        <v>7</v>
      </c>
      <c r="O133" s="157" t="s">
        <v>6433</v>
      </c>
      <c r="P133" s="10"/>
      <c r="Q133" s="21"/>
      <c r="R133" s="10"/>
      <c r="S133" s="10"/>
      <c r="T133" s="21"/>
      <c r="U133" s="95"/>
      <c r="V133" s="10"/>
      <c r="W133" s="10"/>
      <c r="X133" s="21"/>
      <c r="Y133" s="10"/>
      <c r="Z133" s="10"/>
      <c r="AA133" s="21"/>
      <c r="AB133" s="95"/>
      <c r="AC133" s="10"/>
      <c r="AD133" s="10"/>
      <c r="AE133" s="21"/>
      <c r="AF133" s="10"/>
      <c r="AG133" s="10"/>
      <c r="AH133" s="21"/>
      <c r="AI133" s="95"/>
      <c r="AJ133" s="10"/>
      <c r="AK133" s="10"/>
      <c r="AL133" s="17"/>
      <c r="AM133" s="11"/>
      <c r="AN133" s="11"/>
      <c r="AO133" s="17"/>
      <c r="AP133" s="123"/>
      <c r="AQ133" s="17"/>
      <c r="AR133" s="17"/>
      <c r="AS133" s="17"/>
      <c r="AT133" s="17"/>
      <c r="AU133" s="17"/>
      <c r="AV133" s="17"/>
      <c r="AW133" s="123"/>
      <c r="AX133" s="17"/>
      <c r="AY133" s="17"/>
      <c r="AZ133" s="17"/>
      <c r="BA133" s="17"/>
      <c r="BB133" s="17"/>
      <c r="BC133" s="17"/>
      <c r="BD133" s="17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368"/>
    </row>
    <row r="134" spans="1:79" s="381" customFormat="1" ht="42" customHeight="1" x14ac:dyDescent="0.25">
      <c r="A134" s="421" t="s">
        <v>3256</v>
      </c>
      <c r="B134" s="12" t="s">
        <v>4</v>
      </c>
      <c r="C134" s="56" t="s">
        <v>208</v>
      </c>
      <c r="D134" s="152" t="s">
        <v>6415</v>
      </c>
      <c r="E134" s="152" t="s">
        <v>6416</v>
      </c>
      <c r="F134" s="16" t="s">
        <v>6417</v>
      </c>
      <c r="G134" s="157" t="s">
        <v>30</v>
      </c>
      <c r="H134" s="157" t="s">
        <v>145</v>
      </c>
      <c r="I134" s="59" t="s">
        <v>18</v>
      </c>
      <c r="J134" s="53">
        <v>46130</v>
      </c>
      <c r="K134" s="13" t="s">
        <v>6418</v>
      </c>
      <c r="L134" s="53">
        <f t="shared" si="38"/>
        <v>46137</v>
      </c>
      <c r="M134" s="53">
        <v>46140</v>
      </c>
      <c r="N134" s="92">
        <f t="shared" si="35"/>
        <v>3</v>
      </c>
      <c r="O134" s="157" t="s">
        <v>6435</v>
      </c>
      <c r="P134" s="10" t="s">
        <v>4</v>
      </c>
      <c r="Q134" s="21">
        <v>46256</v>
      </c>
      <c r="R134" s="10" t="s">
        <v>7501</v>
      </c>
      <c r="S134" s="21">
        <f t="shared" ref="S134:S139" si="39">Q134+7</f>
        <v>46263</v>
      </c>
      <c r="T134" s="21"/>
      <c r="U134" s="95">
        <f t="shared" ref="U134:U139" si="40">T134-S134</f>
        <v>-46263</v>
      </c>
      <c r="V134" s="10" t="s">
        <v>7504</v>
      </c>
      <c r="W134" s="10"/>
      <c r="X134" s="21"/>
      <c r="Y134" s="10"/>
      <c r="Z134" s="10"/>
      <c r="AA134" s="21"/>
      <c r="AB134" s="95"/>
      <c r="AC134" s="10"/>
      <c r="AD134" s="10"/>
      <c r="AE134" s="21"/>
      <c r="AF134" s="10"/>
      <c r="AG134" s="10"/>
      <c r="AH134" s="21"/>
      <c r="AI134" s="95"/>
      <c r="AJ134" s="10"/>
      <c r="AK134" s="10"/>
      <c r="AL134" s="17"/>
      <c r="AM134" s="11"/>
      <c r="AN134" s="11"/>
      <c r="AO134" s="17"/>
      <c r="AP134" s="123"/>
      <c r="AQ134" s="17"/>
      <c r="AR134" s="17"/>
      <c r="AS134" s="17"/>
      <c r="AT134" s="17"/>
      <c r="AU134" s="17"/>
      <c r="AV134" s="17"/>
      <c r="AW134" s="123"/>
      <c r="AX134" s="17"/>
      <c r="AY134" s="17"/>
      <c r="AZ134" s="17"/>
      <c r="BA134" s="17"/>
      <c r="BB134" s="17"/>
      <c r="BC134" s="17"/>
      <c r="BD134" s="17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368"/>
    </row>
    <row r="135" spans="1:79" s="381" customFormat="1" ht="42" customHeight="1" x14ac:dyDescent="0.25">
      <c r="A135" s="421" t="s">
        <v>3256</v>
      </c>
      <c r="B135" s="12" t="s">
        <v>5</v>
      </c>
      <c r="C135" s="56" t="s">
        <v>208</v>
      </c>
      <c r="D135" s="152" t="s">
        <v>6807</v>
      </c>
      <c r="E135" s="152" t="s">
        <v>6808</v>
      </c>
      <c r="F135" s="16" t="s">
        <v>6809</v>
      </c>
      <c r="G135" s="157" t="s">
        <v>30</v>
      </c>
      <c r="H135" s="157" t="s">
        <v>145</v>
      </c>
      <c r="I135" s="59" t="s">
        <v>18</v>
      </c>
      <c r="J135" s="53">
        <v>46158</v>
      </c>
      <c r="K135" s="13" t="s">
        <v>6810</v>
      </c>
      <c r="L135" s="53">
        <f t="shared" si="38"/>
        <v>46165</v>
      </c>
      <c r="M135" s="53">
        <v>46174</v>
      </c>
      <c r="N135" s="92">
        <f t="shared" si="35"/>
        <v>9</v>
      </c>
      <c r="O135" s="10" t="s">
        <v>6828</v>
      </c>
      <c r="P135" s="10" t="s">
        <v>5</v>
      </c>
      <c r="Q135" s="21">
        <v>46188</v>
      </c>
      <c r="R135" s="10" t="s">
        <v>6999</v>
      </c>
      <c r="S135" s="21">
        <f t="shared" si="39"/>
        <v>46195</v>
      </c>
      <c r="T135" s="21">
        <v>46198</v>
      </c>
      <c r="U135" s="95">
        <f t="shared" si="40"/>
        <v>3</v>
      </c>
      <c r="V135" s="10" t="s">
        <v>7007</v>
      </c>
      <c r="W135" s="10"/>
      <c r="X135" s="21"/>
      <c r="Y135" s="10"/>
      <c r="Z135" s="10"/>
      <c r="AA135" s="21"/>
      <c r="AB135" s="95"/>
      <c r="AC135" s="10"/>
      <c r="AD135" s="10"/>
      <c r="AE135" s="21"/>
      <c r="AF135" s="10"/>
      <c r="AG135" s="10"/>
      <c r="AH135" s="21"/>
      <c r="AI135" s="95"/>
      <c r="AJ135" s="10"/>
      <c r="AK135" s="10"/>
      <c r="AL135" s="17"/>
      <c r="AM135" s="11"/>
      <c r="AN135" s="11"/>
      <c r="AO135" s="17"/>
      <c r="AP135" s="123"/>
      <c r="AQ135" s="17"/>
      <c r="AR135" s="17"/>
      <c r="AS135" s="17"/>
      <c r="AT135" s="17"/>
      <c r="AU135" s="17"/>
      <c r="AV135" s="17"/>
      <c r="AW135" s="123"/>
      <c r="AX135" s="17"/>
      <c r="AY135" s="17"/>
      <c r="AZ135" s="17"/>
      <c r="BA135" s="17"/>
      <c r="BB135" s="17"/>
      <c r="BC135" s="17"/>
      <c r="BD135" s="17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368"/>
    </row>
    <row r="136" spans="1:79" s="381" customFormat="1" ht="42" customHeight="1" x14ac:dyDescent="0.25">
      <c r="A136" s="421" t="s">
        <v>3256</v>
      </c>
      <c r="B136" s="12" t="s">
        <v>5</v>
      </c>
      <c r="C136" s="56" t="s">
        <v>725</v>
      </c>
      <c r="D136" s="152" t="s">
        <v>6813</v>
      </c>
      <c r="E136" s="152" t="s">
        <v>6812</v>
      </c>
      <c r="F136" s="16" t="s">
        <v>6811</v>
      </c>
      <c r="G136" s="157" t="s">
        <v>30</v>
      </c>
      <c r="H136" s="157" t="s">
        <v>145</v>
      </c>
      <c r="I136" s="59" t="s">
        <v>3</v>
      </c>
      <c r="J136" s="53">
        <v>46158</v>
      </c>
      <c r="K136" s="13" t="s">
        <v>6814</v>
      </c>
      <c r="L136" s="53">
        <f t="shared" si="38"/>
        <v>46165</v>
      </c>
      <c r="M136" s="53">
        <v>46173</v>
      </c>
      <c r="N136" s="92">
        <f t="shared" ref="N136:N147" si="41">M136-L136</f>
        <v>8</v>
      </c>
      <c r="O136" s="10" t="s">
        <v>6829</v>
      </c>
      <c r="P136" s="10" t="s">
        <v>18</v>
      </c>
      <c r="Q136" s="21">
        <v>46197</v>
      </c>
      <c r="R136" s="10" t="s">
        <v>7083</v>
      </c>
      <c r="S136" s="21">
        <f t="shared" si="39"/>
        <v>46204</v>
      </c>
      <c r="T136" s="21">
        <v>46204</v>
      </c>
      <c r="U136" s="95">
        <f t="shared" si="40"/>
        <v>0</v>
      </c>
      <c r="V136" s="10" t="s">
        <v>7090</v>
      </c>
      <c r="W136" s="10" t="s">
        <v>18</v>
      </c>
      <c r="X136" s="21">
        <v>46205</v>
      </c>
      <c r="Y136" s="10" t="s">
        <v>7182</v>
      </c>
      <c r="Z136" s="21">
        <f>X136+7</f>
        <v>46212</v>
      </c>
      <c r="AA136" s="21">
        <v>46217</v>
      </c>
      <c r="AB136" s="95">
        <f>AA136-Z136</f>
        <v>5</v>
      </c>
      <c r="AC136" s="10" t="s">
        <v>7195</v>
      </c>
      <c r="AD136" s="10" t="s">
        <v>5</v>
      </c>
      <c r="AE136" s="21">
        <v>46231</v>
      </c>
      <c r="AF136" s="150" t="s">
        <v>7350</v>
      </c>
      <c r="AG136" s="21">
        <f>AE136+7</f>
        <v>46238</v>
      </c>
      <c r="AH136" s="21">
        <v>46236</v>
      </c>
      <c r="AI136" s="95">
        <f>AH136-AG136</f>
        <v>-2</v>
      </c>
      <c r="AJ136" s="151" t="s">
        <v>7358</v>
      </c>
      <c r="AK136" s="10"/>
      <c r="AL136" s="17"/>
      <c r="AM136" s="11"/>
      <c r="AN136" s="11"/>
      <c r="AO136" s="17"/>
      <c r="AP136" s="123"/>
      <c r="AQ136" s="17"/>
      <c r="AR136" s="17"/>
      <c r="AS136" s="17"/>
      <c r="AT136" s="17"/>
      <c r="AU136" s="17"/>
      <c r="AV136" s="17"/>
      <c r="AW136" s="123"/>
      <c r="AX136" s="17"/>
      <c r="AY136" s="17"/>
      <c r="AZ136" s="17"/>
      <c r="BA136" s="17"/>
      <c r="BB136" s="17"/>
      <c r="BC136" s="17"/>
      <c r="BD136" s="17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368"/>
    </row>
    <row r="137" spans="1:79" s="381" customFormat="1" ht="42" customHeight="1" x14ac:dyDescent="0.25">
      <c r="A137" s="421" t="s">
        <v>3256</v>
      </c>
      <c r="B137" s="12" t="s">
        <v>18</v>
      </c>
      <c r="C137" s="56" t="s">
        <v>208</v>
      </c>
      <c r="D137" s="152" t="s">
        <v>6944</v>
      </c>
      <c r="E137" s="152" t="s">
        <v>6945</v>
      </c>
      <c r="F137" s="16" t="s">
        <v>6946</v>
      </c>
      <c r="G137" s="157" t="s">
        <v>30</v>
      </c>
      <c r="H137" s="157" t="s">
        <v>145</v>
      </c>
      <c r="I137" s="59" t="s">
        <v>18</v>
      </c>
      <c r="J137" s="53">
        <v>46180</v>
      </c>
      <c r="K137" s="13" t="s">
        <v>6947</v>
      </c>
      <c r="L137" s="53">
        <f t="shared" si="38"/>
        <v>46187</v>
      </c>
      <c r="M137" s="53">
        <v>46189</v>
      </c>
      <c r="N137" s="92">
        <f t="shared" si="41"/>
        <v>2</v>
      </c>
      <c r="O137" s="10" t="s">
        <v>6953</v>
      </c>
      <c r="P137" s="10" t="s">
        <v>18</v>
      </c>
      <c r="Q137" s="21">
        <v>46208</v>
      </c>
      <c r="R137" s="10" t="s">
        <v>7208</v>
      </c>
      <c r="S137" s="21">
        <f t="shared" si="39"/>
        <v>46215</v>
      </c>
      <c r="T137" s="21">
        <v>46219</v>
      </c>
      <c r="U137" s="95">
        <f t="shared" si="40"/>
        <v>4</v>
      </c>
      <c r="V137" s="10" t="s">
        <v>7217</v>
      </c>
      <c r="W137" s="10"/>
      <c r="X137" s="21"/>
      <c r="Y137" s="10"/>
      <c r="Z137" s="10"/>
      <c r="AA137" s="21"/>
      <c r="AB137" s="95"/>
      <c r="AC137" s="10"/>
      <c r="AD137" s="10"/>
      <c r="AE137" s="21"/>
      <c r="AF137" s="10"/>
      <c r="AG137" s="10"/>
      <c r="AH137" s="21"/>
      <c r="AI137" s="95"/>
      <c r="AJ137" s="10"/>
      <c r="AK137" s="10"/>
      <c r="AL137" s="17"/>
      <c r="AM137" s="11"/>
      <c r="AN137" s="11"/>
      <c r="AO137" s="17"/>
      <c r="AP137" s="123"/>
      <c r="AQ137" s="17"/>
      <c r="AR137" s="17"/>
      <c r="AS137" s="17"/>
      <c r="AT137" s="17"/>
      <c r="AU137" s="17"/>
      <c r="AV137" s="17"/>
      <c r="AW137" s="123"/>
      <c r="AX137" s="17"/>
      <c r="AY137" s="17"/>
      <c r="AZ137" s="17"/>
      <c r="BA137" s="17"/>
      <c r="BB137" s="17"/>
      <c r="BC137" s="17"/>
      <c r="BD137" s="17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368"/>
    </row>
    <row r="138" spans="1:79" s="381" customFormat="1" ht="42" customHeight="1" x14ac:dyDescent="0.25">
      <c r="A138" s="421" t="s">
        <v>3256</v>
      </c>
      <c r="B138" s="12" t="s">
        <v>4</v>
      </c>
      <c r="C138" s="56" t="s">
        <v>588</v>
      </c>
      <c r="D138" s="152" t="s">
        <v>6968</v>
      </c>
      <c r="E138" s="152" t="s">
        <v>6969</v>
      </c>
      <c r="F138" s="16" t="s">
        <v>7455</v>
      </c>
      <c r="G138" s="157" t="s">
        <v>30</v>
      </c>
      <c r="H138" s="157" t="s">
        <v>145</v>
      </c>
      <c r="I138" s="59" t="s">
        <v>3</v>
      </c>
      <c r="J138" s="53">
        <v>46183</v>
      </c>
      <c r="K138" s="13" t="s">
        <v>6970</v>
      </c>
      <c r="L138" s="53">
        <f t="shared" si="38"/>
        <v>46190</v>
      </c>
      <c r="M138" s="53">
        <v>46195</v>
      </c>
      <c r="N138" s="92">
        <f t="shared" si="41"/>
        <v>5</v>
      </c>
      <c r="O138" s="10" t="s">
        <v>6987</v>
      </c>
      <c r="P138" s="10" t="s">
        <v>3</v>
      </c>
      <c r="Q138" s="21">
        <v>46207</v>
      </c>
      <c r="R138" s="10" t="s">
        <v>7202</v>
      </c>
      <c r="S138" s="21">
        <f t="shared" si="39"/>
        <v>46214</v>
      </c>
      <c r="T138" s="21">
        <v>46218</v>
      </c>
      <c r="U138" s="95">
        <f t="shared" si="40"/>
        <v>4</v>
      </c>
      <c r="V138" s="10" t="s">
        <v>7204</v>
      </c>
      <c r="W138" s="10" t="s">
        <v>4</v>
      </c>
      <c r="X138" s="21">
        <v>46261</v>
      </c>
      <c r="Y138" s="10" t="s">
        <v>7538</v>
      </c>
      <c r="Z138" s="21">
        <f>X138+7</f>
        <v>46268</v>
      </c>
      <c r="AA138" s="21"/>
      <c r="AB138" s="95">
        <f>AA138-Z138</f>
        <v>-46268</v>
      </c>
      <c r="AC138" s="10"/>
      <c r="AD138" s="10"/>
      <c r="AE138" s="21"/>
      <c r="AF138" s="10"/>
      <c r="AG138" s="10"/>
      <c r="AH138" s="21"/>
      <c r="AI138" s="95"/>
      <c r="AJ138" s="10"/>
      <c r="AK138" s="10"/>
      <c r="AL138" s="17"/>
      <c r="AM138" s="11"/>
      <c r="AN138" s="11"/>
      <c r="AO138" s="17"/>
      <c r="AP138" s="123"/>
      <c r="AQ138" s="17"/>
      <c r="AR138" s="17"/>
      <c r="AS138" s="17"/>
      <c r="AT138" s="17"/>
      <c r="AU138" s="17"/>
      <c r="AV138" s="17"/>
      <c r="AW138" s="123"/>
      <c r="AX138" s="17"/>
      <c r="AY138" s="17"/>
      <c r="AZ138" s="17"/>
      <c r="BA138" s="17"/>
      <c r="BB138" s="17"/>
      <c r="BC138" s="17"/>
      <c r="BD138" s="17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368"/>
    </row>
    <row r="139" spans="1:79" s="381" customFormat="1" ht="42" customHeight="1" x14ac:dyDescent="0.25">
      <c r="A139" s="421" t="s">
        <v>3256</v>
      </c>
      <c r="B139" s="12" t="s">
        <v>5</v>
      </c>
      <c r="C139" s="56" t="s">
        <v>208</v>
      </c>
      <c r="D139" s="152" t="s">
        <v>7025</v>
      </c>
      <c r="E139" s="152" t="s">
        <v>7026</v>
      </c>
      <c r="F139" s="16" t="s">
        <v>7454</v>
      </c>
      <c r="G139" s="157" t="s">
        <v>30</v>
      </c>
      <c r="H139" s="157" t="s">
        <v>145</v>
      </c>
      <c r="I139" s="59" t="s">
        <v>3</v>
      </c>
      <c r="J139" s="53">
        <v>46190</v>
      </c>
      <c r="K139" s="13" t="s">
        <v>7027</v>
      </c>
      <c r="L139" s="53">
        <f>J139+7</f>
        <v>46197</v>
      </c>
      <c r="M139" s="53">
        <v>46204</v>
      </c>
      <c r="N139" s="92">
        <f t="shared" si="41"/>
        <v>7</v>
      </c>
      <c r="O139" s="10" t="s">
        <v>7029</v>
      </c>
      <c r="P139" s="10" t="s">
        <v>5</v>
      </c>
      <c r="Q139" s="21">
        <v>46236</v>
      </c>
      <c r="R139" s="150" t="s">
        <v>7399</v>
      </c>
      <c r="S139" s="21">
        <f t="shared" si="39"/>
        <v>46243</v>
      </c>
      <c r="T139" s="21">
        <v>46247</v>
      </c>
      <c r="U139" s="95">
        <f t="shared" si="40"/>
        <v>4</v>
      </c>
      <c r="V139" s="10" t="s">
        <v>7408</v>
      </c>
      <c r="W139" s="10"/>
      <c r="X139" s="21"/>
      <c r="Y139" s="10"/>
      <c r="Z139" s="10"/>
      <c r="AA139" s="21"/>
      <c r="AB139" s="95"/>
      <c r="AC139" s="10"/>
      <c r="AD139" s="10"/>
      <c r="AE139" s="21"/>
      <c r="AF139" s="10"/>
      <c r="AG139" s="10"/>
      <c r="AH139" s="21"/>
      <c r="AI139" s="95"/>
      <c r="AJ139" s="10"/>
      <c r="AK139" s="10"/>
      <c r="AL139" s="17"/>
      <c r="AM139" s="11"/>
      <c r="AN139" s="11"/>
      <c r="AO139" s="17"/>
      <c r="AP139" s="123"/>
      <c r="AQ139" s="17"/>
      <c r="AR139" s="17"/>
      <c r="AS139" s="17"/>
      <c r="AT139" s="17"/>
      <c r="AU139" s="17"/>
      <c r="AV139" s="17"/>
      <c r="AW139" s="123"/>
      <c r="AX139" s="17"/>
      <c r="AY139" s="17"/>
      <c r="AZ139" s="17"/>
      <c r="BA139" s="17"/>
      <c r="BB139" s="17"/>
      <c r="BC139" s="17"/>
      <c r="BD139" s="17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368"/>
    </row>
    <row r="140" spans="1:79" s="381" customFormat="1" ht="42" customHeight="1" x14ac:dyDescent="0.25">
      <c r="A140" s="421" t="s">
        <v>3256</v>
      </c>
      <c r="B140" s="12" t="s">
        <v>5</v>
      </c>
      <c r="C140" s="56" t="s">
        <v>54</v>
      </c>
      <c r="D140" s="152" t="s">
        <v>7346</v>
      </c>
      <c r="E140" s="152" t="s">
        <v>7347</v>
      </c>
      <c r="F140" s="16" t="s">
        <v>7453</v>
      </c>
      <c r="G140" s="157" t="s">
        <v>30</v>
      </c>
      <c r="H140" s="157" t="s">
        <v>145</v>
      </c>
      <c r="I140" s="59" t="s">
        <v>5</v>
      </c>
      <c r="J140" s="53">
        <v>46231</v>
      </c>
      <c r="K140" s="13" t="s">
        <v>7348</v>
      </c>
      <c r="L140" s="53">
        <f t="shared" ref="L140:L147" si="42">J140+7</f>
        <v>46238</v>
      </c>
      <c r="M140" s="53">
        <v>46245</v>
      </c>
      <c r="N140" s="92">
        <f t="shared" si="41"/>
        <v>7</v>
      </c>
      <c r="O140" s="10" t="s">
        <v>7359</v>
      </c>
      <c r="P140" s="10"/>
      <c r="Q140" s="21"/>
      <c r="R140" s="10"/>
      <c r="S140" s="10"/>
      <c r="T140" s="21"/>
      <c r="U140" s="95"/>
      <c r="V140" s="10"/>
      <c r="W140" s="10"/>
      <c r="X140" s="21"/>
      <c r="Y140" s="10"/>
      <c r="Z140" s="10"/>
      <c r="AA140" s="21"/>
      <c r="AB140" s="95"/>
      <c r="AC140" s="10"/>
      <c r="AD140" s="10"/>
      <c r="AE140" s="21"/>
      <c r="AF140" s="10"/>
      <c r="AG140" s="10" t="s">
        <v>7394</v>
      </c>
      <c r="AH140" s="21"/>
      <c r="AI140" s="95"/>
      <c r="AJ140" s="10"/>
      <c r="AK140" s="10"/>
      <c r="AL140" s="17"/>
      <c r="AM140" s="11"/>
      <c r="AN140" s="11"/>
      <c r="AO140" s="17"/>
      <c r="AP140" s="123"/>
      <c r="AQ140" s="17"/>
      <c r="AR140" s="17"/>
      <c r="AS140" s="17"/>
      <c r="AT140" s="17"/>
      <c r="AU140" s="17"/>
      <c r="AV140" s="17"/>
      <c r="AW140" s="123"/>
      <c r="AX140" s="17"/>
      <c r="AY140" s="17"/>
      <c r="AZ140" s="17"/>
      <c r="BA140" s="17"/>
      <c r="BB140" s="17"/>
      <c r="BC140" s="17"/>
      <c r="BD140" s="17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368"/>
    </row>
    <row r="141" spans="1:79" s="381" customFormat="1" ht="42" customHeight="1" x14ac:dyDescent="0.25">
      <c r="A141" s="421" t="s">
        <v>3256</v>
      </c>
      <c r="B141" s="12" t="s">
        <v>4</v>
      </c>
      <c r="C141" s="56" t="s">
        <v>208</v>
      </c>
      <c r="D141" s="152" t="s">
        <v>7373</v>
      </c>
      <c r="E141" s="152" t="s">
        <v>7374</v>
      </c>
      <c r="F141" s="16" t="s">
        <v>7452</v>
      </c>
      <c r="G141" s="157" t="s">
        <v>30</v>
      </c>
      <c r="H141" s="157" t="s">
        <v>145</v>
      </c>
      <c r="I141" s="59" t="s">
        <v>18</v>
      </c>
      <c r="J141" s="53">
        <v>46233</v>
      </c>
      <c r="K141" s="13" t="s">
        <v>7375</v>
      </c>
      <c r="L141" s="53">
        <f t="shared" si="42"/>
        <v>46240</v>
      </c>
      <c r="M141" s="53">
        <v>46247</v>
      </c>
      <c r="N141" s="92">
        <f t="shared" si="41"/>
        <v>7</v>
      </c>
      <c r="O141" s="10" t="s">
        <v>7379</v>
      </c>
      <c r="P141" s="10" t="s">
        <v>4</v>
      </c>
      <c r="Q141" s="21">
        <v>46263</v>
      </c>
      <c r="R141" s="10" t="s">
        <v>7550</v>
      </c>
      <c r="S141" s="364">
        <f t="shared" ref="S141" si="43">Q141+7</f>
        <v>46270</v>
      </c>
      <c r="T141" s="364"/>
      <c r="U141" s="365">
        <f t="shared" ref="U141" si="44">T141-S141</f>
        <v>-46270</v>
      </c>
      <c r="V141" s="10"/>
      <c r="W141" s="10"/>
      <c r="X141" s="21"/>
      <c r="Y141" s="10"/>
      <c r="Z141" s="10"/>
      <c r="AA141" s="21"/>
      <c r="AB141" s="95"/>
      <c r="AC141" s="10"/>
      <c r="AD141" s="10"/>
      <c r="AE141" s="21"/>
      <c r="AF141" s="10"/>
      <c r="AG141" s="10"/>
      <c r="AH141" s="21"/>
      <c r="AI141" s="95"/>
      <c r="AJ141" s="10"/>
      <c r="AK141" s="10"/>
      <c r="AL141" s="17"/>
      <c r="AM141" s="11"/>
      <c r="AN141" s="11"/>
      <c r="AO141" s="17"/>
      <c r="AP141" s="123"/>
      <c r="AQ141" s="17"/>
      <c r="AR141" s="17"/>
      <c r="AS141" s="17"/>
      <c r="AT141" s="17"/>
      <c r="AU141" s="17"/>
      <c r="AV141" s="17"/>
      <c r="AW141" s="123"/>
      <c r="AX141" s="17"/>
      <c r="AY141" s="17"/>
      <c r="AZ141" s="17"/>
      <c r="BA141" s="17"/>
      <c r="BB141" s="17"/>
      <c r="BC141" s="17"/>
      <c r="BD141" s="17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368"/>
    </row>
    <row r="142" spans="1:79" s="407" customFormat="1" ht="42" customHeight="1" x14ac:dyDescent="0.25">
      <c r="A142" s="426" t="s">
        <v>3256</v>
      </c>
      <c r="B142" s="358" t="s">
        <v>4</v>
      </c>
      <c r="C142" s="346" t="s">
        <v>208</v>
      </c>
      <c r="D142" s="358" t="s">
        <v>7401</v>
      </c>
      <c r="E142" s="358" t="s">
        <v>7402</v>
      </c>
      <c r="F142" s="347" t="s">
        <v>7451</v>
      </c>
      <c r="G142" s="355" t="s">
        <v>30</v>
      </c>
      <c r="H142" s="355" t="s">
        <v>145</v>
      </c>
      <c r="I142" s="427" t="s">
        <v>18</v>
      </c>
      <c r="J142" s="363">
        <v>46236</v>
      </c>
      <c r="K142" s="362" t="s">
        <v>7403</v>
      </c>
      <c r="L142" s="363">
        <f t="shared" si="42"/>
        <v>46243</v>
      </c>
      <c r="M142" s="363">
        <v>46247</v>
      </c>
      <c r="N142" s="360">
        <f t="shared" si="41"/>
        <v>4</v>
      </c>
      <c r="O142" s="355" t="s">
        <v>7409</v>
      </c>
      <c r="P142" s="355" t="s">
        <v>4</v>
      </c>
      <c r="Q142" s="364">
        <v>46257</v>
      </c>
      <c r="R142" s="355" t="s">
        <v>7509</v>
      </c>
      <c r="S142" s="364">
        <f t="shared" ref="S142" si="45">Q142+7</f>
        <v>46264</v>
      </c>
      <c r="T142" s="364"/>
      <c r="U142" s="365">
        <f t="shared" ref="U142" si="46">T142-S142</f>
        <v>-46264</v>
      </c>
      <c r="V142" s="355" t="s">
        <v>7514</v>
      </c>
      <c r="W142" s="355"/>
      <c r="X142" s="364"/>
      <c r="Y142" s="355"/>
      <c r="Z142" s="355"/>
      <c r="AA142" s="364"/>
      <c r="AB142" s="365"/>
      <c r="AC142" s="355"/>
      <c r="AD142" s="355"/>
      <c r="AE142" s="364"/>
      <c r="AF142" s="355"/>
      <c r="AG142" s="355"/>
      <c r="AH142" s="364"/>
      <c r="AI142" s="365"/>
      <c r="AJ142" s="355"/>
      <c r="AK142" s="355"/>
      <c r="AL142" s="351"/>
      <c r="AM142" s="345"/>
      <c r="AN142" s="345"/>
      <c r="AO142" s="351"/>
      <c r="AP142" s="366"/>
      <c r="AQ142" s="351"/>
      <c r="AR142" s="351"/>
      <c r="AS142" s="351"/>
      <c r="AT142" s="351"/>
      <c r="AU142" s="351"/>
      <c r="AV142" s="351"/>
      <c r="AW142" s="366"/>
      <c r="AX142" s="351"/>
      <c r="AY142" s="351"/>
      <c r="AZ142" s="351"/>
      <c r="BA142" s="351"/>
      <c r="BB142" s="351"/>
      <c r="BC142" s="351"/>
      <c r="BD142" s="351"/>
      <c r="BE142" s="345"/>
      <c r="BF142" s="345"/>
      <c r="BG142" s="345"/>
      <c r="BH142" s="345"/>
      <c r="BI142" s="345"/>
      <c r="BJ142" s="345"/>
      <c r="BK142" s="345"/>
      <c r="BL142" s="345"/>
      <c r="BM142" s="345"/>
      <c r="BN142" s="345"/>
      <c r="BO142" s="345"/>
      <c r="BP142" s="345"/>
      <c r="BQ142" s="345"/>
      <c r="BR142" s="345"/>
      <c r="BS142" s="345"/>
      <c r="BT142" s="345"/>
      <c r="BU142" s="345"/>
      <c r="BV142" s="345"/>
      <c r="BW142" s="345"/>
      <c r="BX142" s="345"/>
      <c r="BY142" s="345"/>
      <c r="BZ142" s="345"/>
      <c r="CA142" s="420"/>
    </row>
    <row r="143" spans="1:79" s="381" customFormat="1" ht="42" customHeight="1" x14ac:dyDescent="0.25">
      <c r="A143" s="421" t="s">
        <v>3256</v>
      </c>
      <c r="B143" s="12" t="s">
        <v>3</v>
      </c>
      <c r="C143" s="56" t="s">
        <v>54</v>
      </c>
      <c r="D143" s="152" t="s">
        <v>7404</v>
      </c>
      <c r="E143" s="152" t="s">
        <v>7405</v>
      </c>
      <c r="F143" s="16" t="s">
        <v>7450</v>
      </c>
      <c r="G143" s="157" t="s">
        <v>30</v>
      </c>
      <c r="H143" s="157" t="s">
        <v>145</v>
      </c>
      <c r="I143" s="59" t="s">
        <v>3</v>
      </c>
      <c r="J143" s="53">
        <v>46236</v>
      </c>
      <c r="K143" s="13" t="s">
        <v>7406</v>
      </c>
      <c r="L143" s="53">
        <f t="shared" si="42"/>
        <v>46243</v>
      </c>
      <c r="M143" s="53">
        <v>46247</v>
      </c>
      <c r="N143" s="92">
        <f t="shared" si="41"/>
        <v>4</v>
      </c>
      <c r="O143" s="10" t="s">
        <v>7410</v>
      </c>
      <c r="P143" s="10"/>
      <c r="Q143" s="21"/>
      <c r="R143" s="10"/>
      <c r="S143" s="10"/>
      <c r="T143" s="21"/>
      <c r="U143" s="95"/>
      <c r="V143" s="10"/>
      <c r="W143" s="10"/>
      <c r="X143" s="21"/>
      <c r="Y143" s="10"/>
      <c r="Z143" s="10"/>
      <c r="AA143" s="21"/>
      <c r="AB143" s="95"/>
      <c r="AC143" s="10"/>
      <c r="AD143" s="10"/>
      <c r="AE143" s="21"/>
      <c r="AF143" s="10"/>
      <c r="AG143" s="10"/>
      <c r="AH143" s="21"/>
      <c r="AI143" s="95"/>
      <c r="AJ143" s="10"/>
      <c r="AK143" s="10"/>
      <c r="AL143" s="17"/>
      <c r="AM143" s="11"/>
      <c r="AN143" s="11"/>
      <c r="AO143" s="17"/>
      <c r="AP143" s="123"/>
      <c r="AQ143" s="17"/>
      <c r="AR143" s="17"/>
      <c r="AS143" s="17"/>
      <c r="AT143" s="17"/>
      <c r="AU143" s="17"/>
      <c r="AV143" s="17"/>
      <c r="AW143" s="123"/>
      <c r="AX143" s="17"/>
      <c r="AY143" s="17"/>
      <c r="AZ143" s="17"/>
      <c r="BA143" s="17"/>
      <c r="BB143" s="17"/>
      <c r="BC143" s="17"/>
      <c r="BD143" s="17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368"/>
    </row>
    <row r="144" spans="1:79" s="381" customFormat="1" ht="42" customHeight="1" x14ac:dyDescent="0.25">
      <c r="A144" s="421" t="s">
        <v>3256</v>
      </c>
      <c r="B144" s="12" t="s">
        <v>3</v>
      </c>
      <c r="C144" s="56" t="s">
        <v>54</v>
      </c>
      <c r="D144" s="152" t="s">
        <v>7423</v>
      </c>
      <c r="E144" s="152" t="s">
        <v>7424</v>
      </c>
      <c r="F144" s="16" t="s">
        <v>7449</v>
      </c>
      <c r="G144" s="157" t="s">
        <v>30</v>
      </c>
      <c r="H144" s="157" t="s">
        <v>145</v>
      </c>
      <c r="I144" s="59" t="s">
        <v>3</v>
      </c>
      <c r="J144" s="53">
        <v>46238</v>
      </c>
      <c r="K144" s="13" t="s">
        <v>7425</v>
      </c>
      <c r="L144" s="53">
        <f t="shared" si="42"/>
        <v>46245</v>
      </c>
      <c r="M144" s="53">
        <v>46254</v>
      </c>
      <c r="N144" s="92">
        <f t="shared" si="41"/>
        <v>9</v>
      </c>
      <c r="O144" s="10" t="s">
        <v>7433</v>
      </c>
      <c r="P144" s="10"/>
      <c r="Q144" s="21"/>
      <c r="R144" s="10"/>
      <c r="S144" s="10"/>
      <c r="T144" s="21"/>
      <c r="U144" s="95"/>
      <c r="V144" s="10"/>
      <c r="W144" s="10"/>
      <c r="X144" s="21"/>
      <c r="Y144" s="10"/>
      <c r="Z144" s="10"/>
      <c r="AA144" s="21"/>
      <c r="AB144" s="95"/>
      <c r="AC144" s="10"/>
      <c r="AD144" s="10"/>
      <c r="AE144" s="21"/>
      <c r="AF144" s="10"/>
      <c r="AG144" s="10"/>
      <c r="AH144" s="21"/>
      <c r="AI144" s="95"/>
      <c r="AJ144" s="10"/>
      <c r="AK144" s="10"/>
      <c r="AL144" s="17"/>
      <c r="AM144" s="11"/>
      <c r="AN144" s="11"/>
      <c r="AO144" s="17"/>
      <c r="AP144" s="123"/>
      <c r="AQ144" s="17"/>
      <c r="AR144" s="17"/>
      <c r="AS144" s="17"/>
      <c r="AT144" s="17"/>
      <c r="AU144" s="17"/>
      <c r="AV144" s="17"/>
      <c r="AW144" s="123"/>
      <c r="AX144" s="17"/>
      <c r="AY144" s="17"/>
      <c r="AZ144" s="17"/>
      <c r="BA144" s="17"/>
      <c r="BB144" s="17"/>
      <c r="BC144" s="17"/>
      <c r="BD144" s="17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368"/>
    </row>
    <row r="145" spans="1:79" s="381" customFormat="1" ht="42" customHeight="1" x14ac:dyDescent="0.25">
      <c r="A145" s="421" t="s">
        <v>3256</v>
      </c>
      <c r="B145" s="12" t="s">
        <v>18</v>
      </c>
      <c r="C145" s="56" t="s">
        <v>54</v>
      </c>
      <c r="D145" s="152" t="s">
        <v>7462</v>
      </c>
      <c r="E145" s="152" t="s">
        <v>7463</v>
      </c>
      <c r="F145" s="16" t="s">
        <v>7464</v>
      </c>
      <c r="G145" s="157" t="s">
        <v>30</v>
      </c>
      <c r="H145" s="157" t="s">
        <v>145</v>
      </c>
      <c r="I145" s="59" t="s">
        <v>18</v>
      </c>
      <c r="J145" s="53">
        <v>46249</v>
      </c>
      <c r="K145" s="13" t="s">
        <v>7465</v>
      </c>
      <c r="L145" s="53">
        <f t="shared" si="42"/>
        <v>46256</v>
      </c>
      <c r="M145" s="53">
        <v>46259</v>
      </c>
      <c r="N145" s="92">
        <f t="shared" si="41"/>
        <v>3</v>
      </c>
      <c r="O145" s="10" t="s">
        <v>7471</v>
      </c>
      <c r="P145" s="10"/>
      <c r="Q145" s="21"/>
      <c r="R145" s="10"/>
      <c r="S145" s="10"/>
      <c r="T145" s="21"/>
      <c r="U145" s="95"/>
      <c r="V145" s="10"/>
      <c r="W145" s="10"/>
      <c r="X145" s="21"/>
      <c r="Y145" s="10"/>
      <c r="Z145" s="10"/>
      <c r="AA145" s="21"/>
      <c r="AB145" s="95"/>
      <c r="AC145" s="10"/>
      <c r="AD145" s="10"/>
      <c r="AE145" s="21"/>
      <c r="AF145" s="10"/>
      <c r="AG145" s="10"/>
      <c r="AH145" s="21"/>
      <c r="AI145" s="95"/>
      <c r="AJ145" s="10"/>
      <c r="AK145" s="10"/>
      <c r="AL145" s="17"/>
      <c r="AM145" s="11"/>
      <c r="AN145" s="11"/>
      <c r="AO145" s="17"/>
      <c r="AP145" s="123"/>
      <c r="AQ145" s="17"/>
      <c r="AR145" s="17"/>
      <c r="AS145" s="17"/>
      <c r="AT145" s="17"/>
      <c r="AU145" s="17"/>
      <c r="AV145" s="17"/>
      <c r="AW145" s="123"/>
      <c r="AX145" s="17"/>
      <c r="AY145" s="17"/>
      <c r="AZ145" s="17"/>
      <c r="BA145" s="17"/>
      <c r="BB145" s="17"/>
      <c r="BC145" s="17"/>
      <c r="BD145" s="17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368"/>
    </row>
    <row r="146" spans="1:79" s="381" customFormat="1" ht="42" customHeight="1" x14ac:dyDescent="0.25">
      <c r="A146" s="421" t="s">
        <v>3256</v>
      </c>
      <c r="B146" s="511" t="s">
        <v>4</v>
      </c>
      <c r="C146" s="56" t="s">
        <v>54</v>
      </c>
      <c r="D146" s="152" t="s">
        <v>7546</v>
      </c>
      <c r="E146" s="152" t="s">
        <v>7547</v>
      </c>
      <c r="F146" s="494" t="s">
        <v>7548</v>
      </c>
      <c r="G146" s="157" t="s">
        <v>30</v>
      </c>
      <c r="H146" s="157" t="s">
        <v>145</v>
      </c>
      <c r="I146" s="498" t="s">
        <v>4</v>
      </c>
      <c r="J146" s="503">
        <v>46263</v>
      </c>
      <c r="K146" s="504" t="s">
        <v>7549</v>
      </c>
      <c r="L146" s="53">
        <f t="shared" si="42"/>
        <v>46270</v>
      </c>
      <c r="M146" s="503"/>
      <c r="N146" s="92">
        <f t="shared" si="41"/>
        <v>-46270</v>
      </c>
      <c r="O146" s="496"/>
      <c r="P146" s="496"/>
      <c r="Q146" s="505"/>
      <c r="R146" s="496"/>
      <c r="S146" s="496"/>
      <c r="T146" s="505"/>
      <c r="U146" s="506"/>
      <c r="V146" s="496"/>
      <c r="W146" s="496"/>
      <c r="X146" s="505"/>
      <c r="Y146" s="496"/>
      <c r="Z146" s="496"/>
      <c r="AA146" s="505"/>
      <c r="AB146" s="506"/>
      <c r="AC146" s="496"/>
      <c r="AD146" s="496"/>
      <c r="AE146" s="505"/>
      <c r="AF146" s="496"/>
      <c r="AG146" s="496"/>
      <c r="AH146" s="505"/>
      <c r="AI146" s="506"/>
      <c r="AJ146" s="496"/>
      <c r="AK146" s="496"/>
      <c r="AL146" s="507"/>
      <c r="AM146" s="502"/>
      <c r="AN146" s="502"/>
      <c r="AO146" s="507"/>
      <c r="AP146" s="508"/>
      <c r="AQ146" s="507"/>
      <c r="AR146" s="507"/>
      <c r="AS146" s="507"/>
      <c r="AT146" s="507"/>
      <c r="AU146" s="507"/>
      <c r="AV146" s="507"/>
      <c r="AW146" s="508"/>
      <c r="AX146" s="507"/>
      <c r="AY146" s="507"/>
      <c r="AZ146" s="507"/>
      <c r="BA146" s="507"/>
      <c r="BB146" s="507"/>
      <c r="BC146" s="507"/>
      <c r="BD146" s="507"/>
      <c r="BE146" s="502"/>
      <c r="BF146" s="502"/>
      <c r="BG146" s="502"/>
      <c r="BH146" s="502"/>
      <c r="BI146" s="502"/>
      <c r="BJ146" s="502"/>
      <c r="BK146" s="502"/>
      <c r="BL146" s="502"/>
      <c r="BM146" s="502"/>
      <c r="BN146" s="502"/>
      <c r="BO146" s="502"/>
      <c r="BP146" s="502"/>
      <c r="BQ146" s="502"/>
      <c r="BR146" s="502"/>
      <c r="BS146" s="502"/>
      <c r="BT146" s="502"/>
      <c r="BU146" s="502"/>
      <c r="BV146" s="502"/>
      <c r="BW146" s="502"/>
      <c r="BX146" s="502"/>
      <c r="BY146" s="502"/>
      <c r="BZ146" s="502"/>
      <c r="CA146" s="514"/>
    </row>
    <row r="147" spans="1:79" s="381" customFormat="1" ht="42" customHeight="1" x14ac:dyDescent="0.25">
      <c r="A147" s="421" t="s">
        <v>3256</v>
      </c>
      <c r="B147" s="511" t="s">
        <v>4</v>
      </c>
      <c r="C147" s="56" t="s">
        <v>54</v>
      </c>
      <c r="D147" s="152" t="s">
        <v>7561</v>
      </c>
      <c r="E147" s="152" t="s">
        <v>7562</v>
      </c>
      <c r="F147" s="494" t="s">
        <v>7563</v>
      </c>
      <c r="G147" s="157" t="s">
        <v>30</v>
      </c>
      <c r="H147" s="157" t="s">
        <v>145</v>
      </c>
      <c r="I147" s="498" t="s">
        <v>4</v>
      </c>
      <c r="J147" s="503">
        <v>46264</v>
      </c>
      <c r="K147" s="504" t="s">
        <v>7564</v>
      </c>
      <c r="L147" s="53">
        <f t="shared" si="42"/>
        <v>46271</v>
      </c>
      <c r="M147" s="503"/>
      <c r="N147" s="92">
        <f t="shared" si="41"/>
        <v>-46271</v>
      </c>
      <c r="O147" s="496"/>
      <c r="P147" s="496"/>
      <c r="Q147" s="505"/>
      <c r="R147" s="496"/>
      <c r="S147" s="496"/>
      <c r="T147" s="505"/>
      <c r="U147" s="506"/>
      <c r="V147" s="496"/>
      <c r="W147" s="496"/>
      <c r="X147" s="505"/>
      <c r="Y147" s="496"/>
      <c r="Z147" s="496"/>
      <c r="AA147" s="505"/>
      <c r="AB147" s="506"/>
      <c r="AC147" s="496"/>
      <c r="AD147" s="496"/>
      <c r="AE147" s="505"/>
      <c r="AF147" s="496"/>
      <c r="AG147" s="496"/>
      <c r="AH147" s="505"/>
      <c r="AI147" s="506"/>
      <c r="AJ147" s="496"/>
      <c r="AK147" s="496"/>
      <c r="AL147" s="507"/>
      <c r="AM147" s="502"/>
      <c r="AN147" s="502"/>
      <c r="AO147" s="507"/>
      <c r="AP147" s="508"/>
      <c r="AQ147" s="507"/>
      <c r="AR147" s="507"/>
      <c r="AS147" s="507"/>
      <c r="AT147" s="507"/>
      <c r="AU147" s="507"/>
      <c r="AV147" s="507"/>
      <c r="AW147" s="508"/>
      <c r="AX147" s="507"/>
      <c r="AY147" s="507"/>
      <c r="AZ147" s="507"/>
      <c r="BA147" s="507"/>
      <c r="BB147" s="507"/>
      <c r="BC147" s="507"/>
      <c r="BD147" s="507"/>
      <c r="BE147" s="502"/>
      <c r="BF147" s="502"/>
      <c r="BG147" s="502"/>
      <c r="BH147" s="502"/>
      <c r="BI147" s="502"/>
      <c r="BJ147" s="502"/>
      <c r="BK147" s="502"/>
      <c r="BL147" s="502"/>
      <c r="BM147" s="502"/>
      <c r="BN147" s="502"/>
      <c r="BO147" s="502"/>
      <c r="BP147" s="502"/>
      <c r="BQ147" s="502"/>
      <c r="BR147" s="502"/>
      <c r="BS147" s="502"/>
      <c r="BT147" s="502"/>
      <c r="BU147" s="502"/>
      <c r="BV147" s="502"/>
      <c r="BW147" s="502"/>
      <c r="BX147" s="502"/>
      <c r="BY147" s="502"/>
      <c r="BZ147" s="502"/>
      <c r="CA147" s="514"/>
    </row>
    <row r="148" spans="1:79" s="381" customFormat="1" ht="42" customHeight="1" thickBot="1" x14ac:dyDescent="0.3">
      <c r="A148" s="369"/>
      <c r="B148" s="370"/>
      <c r="C148" s="371"/>
      <c r="D148" s="370"/>
      <c r="E148" s="370"/>
      <c r="F148" s="262"/>
      <c r="G148" s="263"/>
      <c r="H148" s="263"/>
      <c r="I148" s="264"/>
      <c r="J148" s="372"/>
      <c r="K148" s="373"/>
      <c r="L148" s="373"/>
      <c r="M148" s="372"/>
      <c r="N148" s="425"/>
      <c r="O148" s="263"/>
      <c r="P148" s="263"/>
      <c r="Q148" s="374"/>
      <c r="R148" s="263"/>
      <c r="S148" s="263"/>
      <c r="T148" s="374"/>
      <c r="U148" s="375"/>
      <c r="V148" s="263"/>
      <c r="W148" s="263"/>
      <c r="X148" s="374"/>
      <c r="Y148" s="263"/>
      <c r="Z148" s="263"/>
      <c r="AA148" s="374"/>
      <c r="AB148" s="375"/>
      <c r="AC148" s="263"/>
      <c r="AD148" s="263"/>
      <c r="AE148" s="374"/>
      <c r="AF148" s="263"/>
      <c r="AG148" s="263"/>
      <c r="AH148" s="374"/>
      <c r="AI148" s="375"/>
      <c r="AJ148" s="263"/>
      <c r="AK148" s="263"/>
      <c r="AL148" s="376"/>
      <c r="AM148" s="371"/>
      <c r="AN148" s="371"/>
      <c r="AO148" s="376"/>
      <c r="AP148" s="377"/>
      <c r="AQ148" s="376"/>
      <c r="AR148" s="376"/>
      <c r="AS148" s="376"/>
      <c r="AT148" s="376"/>
      <c r="AU148" s="376"/>
      <c r="AV148" s="376"/>
      <c r="AW148" s="377"/>
      <c r="AX148" s="376"/>
      <c r="AY148" s="376"/>
      <c r="AZ148" s="376"/>
      <c r="BA148" s="376"/>
      <c r="BB148" s="376"/>
      <c r="BC148" s="376"/>
      <c r="BD148" s="376"/>
      <c r="BE148" s="371"/>
      <c r="BF148" s="371"/>
      <c r="BG148" s="371"/>
      <c r="BH148" s="371"/>
      <c r="BI148" s="371"/>
      <c r="BJ148" s="371"/>
      <c r="BK148" s="371"/>
      <c r="BL148" s="371"/>
      <c r="BM148" s="371"/>
      <c r="BN148" s="371"/>
      <c r="BO148" s="371"/>
      <c r="BP148" s="371"/>
      <c r="BQ148" s="371"/>
      <c r="BR148" s="371"/>
      <c r="BS148" s="371"/>
      <c r="BT148" s="371"/>
      <c r="BU148" s="371"/>
      <c r="BV148" s="371"/>
      <c r="BW148" s="371"/>
      <c r="BX148" s="371"/>
      <c r="BY148" s="371"/>
      <c r="BZ148" s="371"/>
      <c r="CA148" s="378"/>
    </row>
  </sheetData>
  <autoFilter ref="A11:CA140" xr:uid="{00000000-0009-0000-0000-000008000000}"/>
  <mergeCells count="21">
    <mergeCell ref="H1:H2"/>
    <mergeCell ref="I1:I2"/>
    <mergeCell ref="A10:A11"/>
    <mergeCell ref="AR10:AX10"/>
    <mergeCell ref="AY10:BE10"/>
    <mergeCell ref="G10:G11"/>
    <mergeCell ref="B10:B11"/>
    <mergeCell ref="C10:C11"/>
    <mergeCell ref="D10:D11"/>
    <mergeCell ref="E10:E11"/>
    <mergeCell ref="F10:F11"/>
    <mergeCell ref="CA10:CA11"/>
    <mergeCell ref="H10:H11"/>
    <mergeCell ref="I10:O10"/>
    <mergeCell ref="P10:V10"/>
    <mergeCell ref="W10:AC10"/>
    <mergeCell ref="AD10:AJ10"/>
    <mergeCell ref="AK10:AQ10"/>
    <mergeCell ref="BF10:BL10"/>
    <mergeCell ref="BM10:BS10"/>
    <mergeCell ref="BT10:BZ10"/>
  </mergeCells>
  <phoneticPr fontId="5" type="noConversion"/>
  <conditionalFormatting sqref="B23:B24">
    <cfRule type="cellIs" dxfId="5439" priority="290" stopIfTrue="1" operator="equal">
      <formula>"A - Work May Proceed"</formula>
    </cfRule>
  </conditionalFormatting>
  <conditionalFormatting sqref="B34:B35">
    <cfRule type="cellIs" dxfId="5438" priority="262" operator="equal">
      <formula>"D - Rejected"</formula>
    </cfRule>
    <cfRule type="cellIs" dxfId="5437" priority="261" operator="equal">
      <formula>"E - Review not Required - Proceed"</formula>
    </cfRule>
    <cfRule type="cellIs" dxfId="5436" priority="263" operator="equal">
      <formula>"B- Incorporate Comments - Proceed"</formula>
    </cfRule>
    <cfRule type="cellIs" dxfId="5435" priority="264" operator="equal">
      <formula>"C - Revise and Resubmit - Do Not Proceed"</formula>
    </cfRule>
  </conditionalFormatting>
  <conditionalFormatting sqref="B35">
    <cfRule type="cellIs" dxfId="5434" priority="265" stopIfTrue="1" operator="equal">
      <formula>"A - Work May Proceed"</formula>
    </cfRule>
  </conditionalFormatting>
  <conditionalFormatting sqref="B101">
    <cfRule type="cellIs" dxfId="5433" priority="280" stopIfTrue="1" operator="equal">
      <formula>"A - Work May Proceed"</formula>
    </cfRule>
  </conditionalFormatting>
  <conditionalFormatting sqref="B103:B104">
    <cfRule type="cellIs" dxfId="5432" priority="245" stopIfTrue="1" operator="equal">
      <formula>"A - Work May Proceed"</formula>
    </cfRule>
  </conditionalFormatting>
  <conditionalFormatting sqref="B109">
    <cfRule type="cellIs" dxfId="5431" priority="105" stopIfTrue="1" operator="equal">
      <formula>"A - Work May Proceed"</formula>
    </cfRule>
  </conditionalFormatting>
  <conditionalFormatting sqref="B109:B111">
    <cfRule type="cellIs" dxfId="5430" priority="243" operator="equal">
      <formula>"B- Incorporate Comments - Proceed"</formula>
    </cfRule>
    <cfRule type="cellIs" dxfId="5429" priority="244" operator="equal">
      <formula>"C - Revise and Resubmit - Do Not Proceed"</formula>
    </cfRule>
    <cfRule type="cellIs" dxfId="5428" priority="242" operator="equal">
      <formula>"D - Rejected"</formula>
    </cfRule>
    <cfRule type="cellIs" dxfId="5427" priority="241" operator="equal">
      <formula>"E - Review not Required - Proceed"</formula>
    </cfRule>
  </conditionalFormatting>
  <conditionalFormatting sqref="B97:F111 C110:E122 B112:N134 P137:U138 L137:N144 P139:Q139 S139:U139">
    <cfRule type="cellIs" dxfId="5426" priority="233" operator="equal">
      <formula>"B- Incorporate Comments - Proceed"</formula>
    </cfRule>
    <cfRule type="cellIs" dxfId="5425" priority="234" operator="equal">
      <formula>"C - Revise and Resubmit - Do Not Proceed"</formula>
    </cfRule>
    <cfRule type="cellIs" dxfId="5424" priority="231" operator="equal">
      <formula>"E - Review not Required - Proceed"</formula>
    </cfRule>
    <cfRule type="cellIs" dxfId="5423" priority="232" operator="equal">
      <formula>"D - Rejected"</formula>
    </cfRule>
  </conditionalFormatting>
  <conditionalFormatting sqref="B136:K144 B145:N147">
    <cfRule type="cellIs" dxfId="5422" priority="61" operator="equal">
      <formula>"C - Revise and Resubmit - Do Not Proceed"</formula>
    </cfRule>
    <cfRule type="cellIs" dxfId="5421" priority="58" operator="equal">
      <formula>"E - Review not Required - Proceed"</formula>
    </cfRule>
    <cfRule type="cellIs" dxfId="5420" priority="59" operator="equal">
      <formula>"D - Rejected"</formula>
    </cfRule>
    <cfRule type="cellIs" dxfId="5419" priority="60" operator="equal">
      <formula>"B- Incorporate Comments - Proceed"</formula>
    </cfRule>
  </conditionalFormatting>
  <conditionalFormatting sqref="B35:Q35 B103 B105:E111 A12:XFD12 B13:XFD18 A13:A95 S19:XFD19 B20:XFD21 B22:AE22 AF22:XFD23 C23:AC23 AE23 C24:O24 Q24:V24 X24 Z24:BE24 BG24:BL24 BN24:XFD24 Z29:XFD29 B30:XFD33 AN33:AP34 B34:V34 X34 Z34:AE34 AG34:AL34 AR34:XFD35 S35:AP35 S42:XFD42 B49:Q49 S49:U49 V49:XFD50 B50:U50 B61:AI61 AK61:XFD61 B62:XFD63 Z63:AB64 B64:X64 AC64:AE64 AG64:XFD64 B65:XFD65 B66:Q66 S66:XFD66 B67:XFD69 B70:Q70 S70:XFD70 B71:XFD78 S79:XFD79 B80:XFD81 S82:XFD82 B83:XFD83 AC83:AC101 AD84:AE84 AG84:XFD84 Z84:AB86 V84:V101 B85:Q85 S85:U85 W85:XFD85 B86:X86 AD86:XFD86 B87:XFD88 Z88:AB89 AG88:AI89 B89:X89 AD89:AE89 AJ89:XFD97 B90:U90 W90:AI90 B91:Q91 S91:U91 W91:X91 Z91:AB92 AD91:AI92 B92:X92 S93:AI93 B93:Q96 R93:R101 S94:U95 W94:AI95 S96:AI96 W97:AI97 S97:U99 B97:E100 G97:J100 P97:Q101 L97:M109 N97:N111 O97:O134 W98:AB98 AC98:XFD99 W99:X99 Z99:AB99 S100:XFD101 C101:E101 G101:H101 J101 B102:E102 G102:J102 P102:XFD102 P103:Q103 S103:XFD103 C103:E104 G103:H104 J103:J104 P104:XFD134 G105:J109 G110:M111 B112:N134 B135:U135 W135:XFD135 V135:V139 L136:U136 W136:AE136 AG136:AI136 AK136:XFD136 B136:K143 P137:U138 W137:XFD139 L137:N143 O137:O148 P139:Q139 S139:U139 P140:XFD148 B144:N147 A148:N148">
    <cfRule type="cellIs" dxfId="5418" priority="350" operator="equal">
      <formula>"A - Work May Proceed"</formula>
    </cfRule>
  </conditionalFormatting>
  <conditionalFormatting sqref="B79:Q79">
    <cfRule type="cellIs" dxfId="5417" priority="323" operator="equal">
      <formula>"B- Incorporate Comments - Proceed"</formula>
    </cfRule>
    <cfRule type="cellIs" dxfId="5416" priority="322" operator="equal">
      <formula>"D - Rejected"</formula>
    </cfRule>
    <cfRule type="cellIs" dxfId="5415" priority="324" operator="equal">
      <formula>"C - Revise and Resubmit - Do Not Proceed"</formula>
    </cfRule>
    <cfRule type="cellIs" dxfId="5414" priority="321" operator="equal">
      <formula>"E - Review not Required - Proceed"</formula>
    </cfRule>
    <cfRule type="cellIs" dxfId="5413" priority="325" operator="equal">
      <formula>"A - Work May Proceed"</formula>
    </cfRule>
  </conditionalFormatting>
  <conditionalFormatting sqref="B82:Q82">
    <cfRule type="cellIs" dxfId="5412" priority="320" operator="equal">
      <formula>"A - Work May Proceed"</formula>
    </cfRule>
    <cfRule type="cellIs" dxfId="5411" priority="316" operator="equal">
      <formula>"E - Review not Required - Proceed"</formula>
    </cfRule>
    <cfRule type="cellIs" dxfId="5410" priority="317" operator="equal">
      <formula>"D - Rejected"</formula>
    </cfRule>
    <cfRule type="cellIs" dxfId="5409" priority="318" operator="equal">
      <formula>"B- Incorporate Comments - Proceed"</formula>
    </cfRule>
    <cfRule type="cellIs" dxfId="5408" priority="319" operator="equal">
      <formula>"C - Revise and Resubmit - Do Not Proceed"</formula>
    </cfRule>
  </conditionalFormatting>
  <conditionalFormatting sqref="B135:U135">
    <cfRule type="cellIs" dxfId="5407" priority="109" operator="equal">
      <formula>"C - Revise and Resubmit - Do Not Proceed"</formula>
    </cfRule>
    <cfRule type="cellIs" dxfId="5406" priority="108" operator="equal">
      <formula>"B- Incorporate Comments - Proceed"</formula>
    </cfRule>
    <cfRule type="cellIs" dxfId="5405" priority="107" operator="equal">
      <formula>"D - Rejected"</formula>
    </cfRule>
    <cfRule type="cellIs" dxfId="5404" priority="106" operator="equal">
      <formula>"E - Review not Required - Proceed"</formula>
    </cfRule>
  </conditionalFormatting>
  <conditionalFormatting sqref="B24:X24">
    <cfRule type="cellIs" dxfId="5403" priority="249" operator="equal">
      <formula>"C - Revise and Resubmit - Do Not Proceed"</formula>
    </cfRule>
    <cfRule type="cellIs" dxfId="5402" priority="247" operator="equal">
      <formula>"D - Rejected"</formula>
    </cfRule>
    <cfRule type="cellIs" dxfId="5401" priority="246" operator="equal">
      <formula>"E - Review not Required - Proceed"</formula>
    </cfRule>
    <cfRule type="cellIs" dxfId="5400" priority="248" operator="equal">
      <formula>"B- Incorporate Comments - Proceed"</formula>
    </cfRule>
  </conditionalFormatting>
  <conditionalFormatting sqref="B29:X29">
    <cfRule type="cellIs" dxfId="5399" priority="332" operator="equal">
      <formula>"D - Rejected"</formula>
    </cfRule>
    <cfRule type="cellIs" dxfId="5398" priority="333" operator="equal">
      <formula>"B- Incorporate Comments - Proceed"</formula>
    </cfRule>
    <cfRule type="cellIs" dxfId="5397" priority="334" operator="equal">
      <formula>"C - Revise and Resubmit - Do Not Proceed"</formula>
    </cfRule>
    <cfRule type="cellIs" dxfId="5396" priority="335" operator="equal">
      <formula>"A - Work May Proceed"</formula>
    </cfRule>
    <cfRule type="cellIs" dxfId="5395" priority="331" operator="equal">
      <formula>"E - Review not Required - Proceed"</formula>
    </cfRule>
  </conditionalFormatting>
  <conditionalFormatting sqref="B84:X84">
    <cfRule type="cellIs" dxfId="5394" priority="266" operator="equal">
      <formula>"E - Review not Required - Proceed"</formula>
    </cfRule>
    <cfRule type="cellIs" dxfId="5393" priority="268" operator="equal">
      <formula>"B- Incorporate Comments - Proceed"</formula>
    </cfRule>
    <cfRule type="cellIs" dxfId="5392" priority="270" operator="equal">
      <formula>"A - Work May Proceed"</formula>
    </cfRule>
    <cfRule type="cellIs" dxfId="5391" priority="269" operator="equal">
      <formula>"C - Revise and Resubmit - Do Not Proceed"</formula>
    </cfRule>
    <cfRule type="cellIs" dxfId="5390" priority="267" operator="equal">
      <formula>"D - Rejected"</formula>
    </cfRule>
  </conditionalFormatting>
  <conditionalFormatting sqref="B36:AI36">
    <cfRule type="cellIs" dxfId="5389" priority="95" operator="equal">
      <formula>"E - Review not Required - Proceed"</formula>
    </cfRule>
    <cfRule type="cellIs" dxfId="5388" priority="98" operator="equal">
      <formula>"C - Revise and Resubmit - Do Not Proceed"</formula>
    </cfRule>
    <cfRule type="cellIs" dxfId="5387" priority="99" operator="equal">
      <formula>"A - Work May Proceed"</formula>
    </cfRule>
    <cfRule type="cellIs" dxfId="5386" priority="96" operator="equal">
      <formula>"D - Rejected"</formula>
    </cfRule>
    <cfRule type="cellIs" dxfId="5385" priority="97" operator="equal">
      <formula>"B- Incorporate Comments - Proceed"</formula>
    </cfRule>
  </conditionalFormatting>
  <conditionalFormatting sqref="B20:XFD23 Z24:XFD24 A12:XFD12 B13:XFD18 A13:A95 S19:XFD19 Z29:XFD29 B30:XFD33 AG33:AI35 Z34:AE34 AR34:XFD35 C35:Q35 S42:XFD42 B49:Q49 S49:U49 V49:XFD50 B50:U50 B61:AI61 AK61:XFD61 B62:XFD63 Z63:AB64 B64:X64 AC64:AE64 AG64:XFD64 B65:XFD65 B66:Q66 S66:XFD66 B67:XFD69 B70:Q70 S70:XFD70 B71:XFD78 S79:XFD79 B80:XFD81 S82:XFD82 B83:XFD83 AC83:AC101 AD84:AE84 AG84:XFD84 Z84:AB86 V84:V101 B85:Q85 S85:U85 W85:XFD85 B86:X86 AD86:XFD86 B87:XFD88 Z88:AB89 AG88:AI89 B89:X89 AD89:AE89 AJ89:XFD97 B90:U90 W90:AI90 B91:Q91 S91:U91 W91:X91 Z91:AB92 AD91:AI92 B92:X92 S93:AI93 B93:Q96 R93:R101 S94:U95 W94:AI95 S96:AI96 B97:C97 W97:AI97 S97:U99 P97:Q101 L97:M109 N97:N111 O97:O134 W98:AB98 AC98:XFD99 W99:X99 Z99:AB99 S100:XFD101 P102:XFD102 P103:Q103 S103:XFD103 P104:XFD134 W135:XFD135 AK136:XFD136 W137:XFD139 P140:XFD148 A148:N148">
    <cfRule type="cellIs" dxfId="5384" priority="346" operator="equal">
      <formula>"E - Review not Required - Proceed"</formula>
    </cfRule>
    <cfRule type="cellIs" dxfId="5383" priority="348" operator="equal">
      <formula>"B- Incorporate Comments - Proceed"</formula>
    </cfRule>
    <cfRule type="cellIs" dxfId="5382" priority="347" operator="equal">
      <formula>"D - Rejected"</formula>
    </cfRule>
    <cfRule type="cellIs" dxfId="5381" priority="349" operator="equal">
      <formula>"C - Revise and Resubmit - Do Not Proceed"</formula>
    </cfRule>
  </conditionalFormatting>
  <conditionalFormatting sqref="C34:X34">
    <cfRule type="cellIs" dxfId="5380" priority="257" operator="equal">
      <formula>"D - Rejected"</formula>
    </cfRule>
    <cfRule type="cellIs" dxfId="5379" priority="256" operator="equal">
      <formula>"E - Review not Required - Proceed"</formula>
    </cfRule>
    <cfRule type="cellIs" dxfId="5378" priority="258" operator="equal">
      <formula>"B- Incorporate Comments - Proceed"</formula>
    </cfRule>
    <cfRule type="cellIs" dxfId="5377" priority="259" operator="equal">
      <formula>"C - Revise and Resubmit - Do Not Proceed"</formula>
    </cfRule>
  </conditionalFormatting>
  <conditionalFormatting sqref="D11:BE11 BF10:BZ11 B1:G2 B3:H4 B9:H9 A10:BE10">
    <cfRule type="cellIs" dxfId="5376" priority="391" operator="equal">
      <formula>"E - Review not Required - Proceed"</formula>
    </cfRule>
    <cfRule type="cellIs" dxfId="5375" priority="392" operator="equal">
      <formula>"D - Rejected"</formula>
    </cfRule>
    <cfRule type="cellIs" dxfId="5374" priority="393" operator="equal">
      <formula>"B- Incorporate Comments - Proceed"</formula>
    </cfRule>
    <cfRule type="cellIs" dxfId="5373" priority="395" operator="equal">
      <formula>"A - Work May Proceed"</formula>
    </cfRule>
    <cfRule type="cellIs" dxfId="5372" priority="394" operator="equal">
      <formula>"C - Revise and Resubmit - Do Not Proceed"</formula>
    </cfRule>
  </conditionalFormatting>
  <conditionalFormatting sqref="F97:F111">
    <cfRule type="cellIs" dxfId="5371" priority="235" operator="equal">
      <formula>"A - Work May Proceed"</formula>
    </cfRule>
  </conditionalFormatting>
  <conditionalFormatting sqref="G97:J109 G110:M111">
    <cfRule type="cellIs" dxfId="5370" priority="236" operator="equal">
      <formula>"E - Review not Required - Proceed"</formula>
    </cfRule>
    <cfRule type="cellIs" dxfId="5369" priority="237" operator="equal">
      <formula>"D - Rejected"</formula>
    </cfRule>
    <cfRule type="cellIs" dxfId="5368" priority="238" operator="equal">
      <formula>"B- Incorporate Comments - Proceed"</formula>
    </cfRule>
    <cfRule type="cellIs" dxfId="5367" priority="239" operator="equal">
      <formula>"C - Revise and Resubmit - Do Not Proceed"</formula>
    </cfRule>
  </conditionalFormatting>
  <conditionalFormatting sqref="I11">
    <cfRule type="cellIs" dxfId="5366" priority="461" operator="equal">
      <formula>"For Information"</formula>
    </cfRule>
    <cfRule type="cellIs" dxfId="5365" priority="475" stopIfTrue="1" operator="between">
      <formula>"B - Incorporate Comments - Proceed "</formula>
      <formula>"B - Incorporate Comments - Proceed "</formula>
    </cfRule>
    <cfRule type="cellIs" dxfId="5364" priority="474" operator="between">
      <formula>"C - Revise and Resubmit - Do Not Proceed"</formula>
      <formula>"C - Revise and Resubmit - Do Not Proceed"</formula>
    </cfRule>
    <cfRule type="cellIs" dxfId="5363" priority="473" operator="between">
      <formula>"A - Work May Proceed"</formula>
      <formula>"A - Work May Proceed"</formula>
    </cfRule>
    <cfRule type="cellIs" dxfId="5362" priority="460" operator="equal">
      <formula>"B - Incorporate Comments - Proceed"</formula>
    </cfRule>
    <cfRule type="cellIs" dxfId="5361" priority="472" operator="between">
      <formula>"CANCELLED"</formula>
      <formula>"CANCELLED"</formula>
    </cfRule>
    <cfRule type="cellIs" dxfId="5360" priority="471" operator="between">
      <formula>"D - Rejected "</formula>
      <formula>"D - Rejected "</formula>
    </cfRule>
    <cfRule type="cellIs" dxfId="5359" priority="470" operator="between">
      <formula>"E - Review not Required - Proceed"</formula>
      <formula>"E - Review not Required - Proceed"</formula>
    </cfRule>
    <cfRule type="cellIs" dxfId="5358" priority="469" operator="between">
      <formula>"B - Incorporate Comments - Proceed"</formula>
      <formula>"B - Incorporate Comments - Proceed"</formula>
    </cfRule>
    <cfRule type="cellIs" dxfId="5357" priority="468" operator="between">
      <formula>"A - Work May Proceed"</formula>
      <formula>"A - Work May Proceed"</formula>
    </cfRule>
    <cfRule type="cellIs" dxfId="5356" priority="467" operator="between">
      <formula>"B - Incorporate Comments - Proceed"</formula>
      <formula>"B - Incorporate Comments - Proceed"</formula>
    </cfRule>
    <cfRule type="cellIs" dxfId="5355" priority="466" operator="between">
      <formula>"C - Revise and Resubmit - Do Not Proceed"</formula>
      <formula>"C - Revise and Resubmit - Do Not Proceed"</formula>
    </cfRule>
    <cfRule type="cellIs" dxfId="5354" priority="465" operator="between">
      <formula>"'D - Rejected "</formula>
      <formula>"'D - Rejected "</formula>
    </cfRule>
    <cfRule type="cellIs" dxfId="5353" priority="464" operator="between">
      <formula>"E - Review not Required - Proceed"</formula>
      <formula>"E - Review not Required - Proceed"</formula>
    </cfRule>
    <cfRule type="cellIs" dxfId="5352" priority="463" operator="equal">
      <formula>"E - Review Not Required - Proceed"</formula>
    </cfRule>
    <cfRule type="cellIs" dxfId="5351" priority="462" operator="equal">
      <formula>"B - Incorporate Comments - Proceed "</formula>
    </cfRule>
  </conditionalFormatting>
  <conditionalFormatting sqref="I101">
    <cfRule type="cellIs" dxfId="5350" priority="275" stopIfTrue="1" operator="equal">
      <formula>"A - Work May Proceed"</formula>
    </cfRule>
  </conditionalFormatting>
  <conditionalFormatting sqref="I103:I104">
    <cfRule type="cellIs" dxfId="5349" priority="240" stopIfTrue="1" operator="equal">
      <formula>"A - Work May Proceed"</formula>
    </cfRule>
  </conditionalFormatting>
  <conditionalFormatting sqref="J5:J6 B5:I7 B8:J8">
    <cfRule type="cellIs" dxfId="5348" priority="343" operator="equal">
      <formula>"B- Incorporate Comments - Proceed"</formula>
    </cfRule>
    <cfRule type="cellIs" dxfId="5347" priority="344" operator="equal">
      <formula>"C - Revise and Resubmit - Do Not Proceed"</formula>
    </cfRule>
    <cfRule type="cellIs" dxfId="5346" priority="342" operator="equal">
      <formula>"D - Rejected"</formula>
    </cfRule>
    <cfRule type="cellIs" dxfId="5345" priority="341" operator="equal">
      <formula>"E - Review not Required - Proceed"</formula>
    </cfRule>
    <cfRule type="cellIs" dxfId="5344" priority="345" stopIfTrue="1" operator="equal">
      <formula>"A - Work May Proceed"</formula>
    </cfRule>
  </conditionalFormatting>
  <conditionalFormatting sqref="L136:U136 W136:AE136">
    <cfRule type="cellIs" dxfId="5343" priority="75" operator="equal">
      <formula>"D - Rejected"</formula>
    </cfRule>
    <cfRule type="cellIs" dxfId="5342" priority="77" operator="equal">
      <formula>"C - Revise and Resubmit - Do Not Proceed"</formula>
    </cfRule>
    <cfRule type="cellIs" dxfId="5341" priority="74" operator="equal">
      <formula>"E - Review not Required - Proceed"</formula>
    </cfRule>
    <cfRule type="cellIs" dxfId="5340" priority="76" operator="equal">
      <formula>"B- Incorporate Comments - Proceed"</formula>
    </cfRule>
  </conditionalFormatting>
  <conditionalFormatting sqref="O137:O148">
    <cfRule type="cellIs" dxfId="5339" priority="57" operator="equal">
      <formula>"C - Revise and Resubmit - Do Not Proceed"</formula>
    </cfRule>
    <cfRule type="cellIs" dxfId="5338" priority="55" operator="equal">
      <formula>"D - Rejected"</formula>
    </cfRule>
    <cfRule type="cellIs" dxfId="5337" priority="54" operator="equal">
      <formula>"E - Review not Required - Proceed"</formula>
    </cfRule>
    <cfRule type="cellIs" dxfId="5336" priority="56" operator="equal">
      <formula>"B- Incorporate Comments - Proceed"</formula>
    </cfRule>
  </conditionalFormatting>
  <conditionalFormatting sqref="P11">
    <cfRule type="cellIs" dxfId="5335" priority="451" operator="between">
      <formula>"B - Incorporate Comments - Proceed"</formula>
      <formula>"B - Incorporate Comments - Proceed"</formula>
    </cfRule>
    <cfRule type="cellIs" dxfId="5334" priority="450" operator="between">
      <formula>"C - Revise and Resubmit - Do Not Proceed"</formula>
      <formula>"C - Revise and Resubmit - Do Not Proceed"</formula>
    </cfRule>
    <cfRule type="cellIs" dxfId="5333" priority="449" operator="between">
      <formula>"'D - Rejected "</formula>
      <formula>"'D - Rejected "</formula>
    </cfRule>
    <cfRule type="cellIs" dxfId="5332" priority="448" operator="between">
      <formula>"E - Review not Required - Proceed"</formula>
      <formula>"E - Review not Required - Proceed"</formula>
    </cfRule>
    <cfRule type="cellIs" dxfId="5331" priority="447" operator="equal">
      <formula>"E - Review Not Required - Proceed"</formula>
    </cfRule>
    <cfRule type="cellIs" dxfId="5330" priority="446" operator="equal">
      <formula>"B - Incorporate Comments - Proceed "</formula>
    </cfRule>
    <cfRule type="cellIs" dxfId="5329" priority="445" operator="equal">
      <formula>"For Information"</formula>
    </cfRule>
    <cfRule type="cellIs" dxfId="5328" priority="444" operator="equal">
      <formula>"B - Incorporate Comments - Proceed"</formula>
    </cfRule>
    <cfRule type="cellIs" dxfId="5327" priority="454" operator="between">
      <formula>"E - Review not Required - Proceed"</formula>
      <formula>"E - Review not Required - Proceed"</formula>
    </cfRule>
    <cfRule type="cellIs" dxfId="5326" priority="453" operator="between">
      <formula>"B - Incorporate Comments - Proceed"</formula>
      <formula>"B - Incorporate Comments - Proceed"</formula>
    </cfRule>
    <cfRule type="cellIs" dxfId="5325" priority="459" stopIfTrue="1" operator="between">
      <formula>"B - Incorporate Comments - Proceed "</formula>
      <formula>"B - Incorporate Comments - Proceed "</formula>
    </cfRule>
    <cfRule type="cellIs" dxfId="5324" priority="458" operator="between">
      <formula>"C - Revise and Resubmit - Do Not Proceed"</formula>
      <formula>"C - Revise and Resubmit - Do Not Proceed"</formula>
    </cfRule>
    <cfRule type="cellIs" dxfId="5323" priority="457" operator="between">
      <formula>"A - Work May Proceed"</formula>
      <formula>"A - Work May Proceed"</formula>
    </cfRule>
    <cfRule type="cellIs" dxfId="5322" priority="456" operator="between">
      <formula>"CANCELLED"</formula>
      <formula>"CANCELLED"</formula>
    </cfRule>
    <cfRule type="cellIs" dxfId="5321" priority="455" operator="between">
      <formula>"D - Rejected "</formula>
      <formula>"D - Rejected "</formula>
    </cfRule>
    <cfRule type="cellIs" dxfId="5320" priority="452" operator="between">
      <formula>"A - Work May Proceed"</formula>
      <formula>"A - Work May Proceed"</formula>
    </cfRule>
  </conditionalFormatting>
  <conditionalFormatting sqref="P24">
    <cfRule type="cellIs" dxfId="5319" priority="310" stopIfTrue="1" operator="equal">
      <formula>"A - Work May Proceed"</formula>
    </cfRule>
  </conditionalFormatting>
  <conditionalFormatting sqref="S136:S139 U136:U139">
    <cfRule type="cellIs" dxfId="5318" priority="73" operator="equal">
      <formula>"C - Revise and Resubmit - Do Not Proceed"</formula>
    </cfRule>
    <cfRule type="cellIs" dxfId="5317" priority="72" operator="equal">
      <formula>"B- Incorporate Comments - Proceed"</formula>
    </cfRule>
    <cfRule type="cellIs" dxfId="5316" priority="71" operator="equal">
      <formula>"D - Rejected"</formula>
    </cfRule>
    <cfRule type="cellIs" dxfId="5315" priority="70" operator="equal">
      <formula>"E - Review not Required - Proceed"</formula>
    </cfRule>
  </conditionalFormatting>
  <conditionalFormatting sqref="S134:U134">
    <cfRule type="cellIs" dxfId="5314" priority="48" operator="equal">
      <formula>"C - Revise and Resubmit - Do Not Proceed"</formula>
    </cfRule>
    <cfRule type="cellIs" dxfId="5313" priority="46" operator="equal">
      <formula>"D - Rejected"</formula>
    </cfRule>
    <cfRule type="cellIs" dxfId="5312" priority="45" operator="equal">
      <formula>"E - Review not Required - Proceed"</formula>
    </cfRule>
    <cfRule type="cellIs" dxfId="5311" priority="47" operator="equal">
      <formula>"B- Incorporate Comments - Proceed"</formula>
    </cfRule>
  </conditionalFormatting>
  <conditionalFormatting sqref="S141:U142">
    <cfRule type="cellIs" dxfId="5310" priority="2" operator="equal">
      <formula>"D - Rejected"</formula>
    </cfRule>
    <cfRule type="cellIs" dxfId="5309" priority="3" operator="equal">
      <formula>"B- Incorporate Comments - Proceed"</formula>
    </cfRule>
    <cfRule type="cellIs" dxfId="5308" priority="4" operator="equal">
      <formula>"C - Revise and Resubmit - Do Not Proceed"</formula>
    </cfRule>
    <cfRule type="cellIs" dxfId="5307" priority="1" operator="equal">
      <formula>"E - Review not Required - Proceed"</formula>
    </cfRule>
  </conditionalFormatting>
  <conditionalFormatting sqref="S35:AP35">
    <cfRule type="cellIs" dxfId="5306" priority="135" operator="equal">
      <formula>"C - Revise and Resubmit - Do Not Proceed"</formula>
    </cfRule>
    <cfRule type="cellIs" dxfId="5305" priority="132" operator="equal">
      <formula>"E - Review not Required - Proceed"</formula>
    </cfRule>
    <cfRule type="cellIs" dxfId="5304" priority="133" operator="equal">
      <formula>"D - Rejected"</formula>
    </cfRule>
    <cfRule type="cellIs" dxfId="5303" priority="134" operator="equal">
      <formula>"B- Incorporate Comments - Proceed"</formula>
    </cfRule>
  </conditionalFormatting>
  <conditionalFormatting sqref="V135:V139">
    <cfRule type="cellIs" dxfId="5302" priority="43" operator="equal">
      <formula>"B- Incorporate Comments - Proceed"</formula>
    </cfRule>
    <cfRule type="cellIs" dxfId="5301" priority="41" operator="equal">
      <formula>"E - Review not Required - Proceed"</formula>
    </cfRule>
    <cfRule type="cellIs" dxfId="5300" priority="44" operator="equal">
      <formula>"C - Revise and Resubmit - Do Not Proceed"</formula>
    </cfRule>
    <cfRule type="cellIs" dxfId="5299" priority="42" operator="equal">
      <formula>"D - Rejected"</formula>
    </cfRule>
  </conditionalFormatting>
  <conditionalFormatting sqref="V1:BZ9 B19:Q19">
    <cfRule type="cellIs" dxfId="5298" priority="336" operator="equal">
      <formula>"E - Review not Required - Proceed"</formula>
    </cfRule>
    <cfRule type="cellIs" dxfId="5297" priority="340" operator="equal">
      <formula>"A - Work May Proceed"</formula>
    </cfRule>
    <cfRule type="cellIs" dxfId="5296" priority="339" operator="equal">
      <formula>"C - Revise and Resubmit - Do Not Proceed"</formula>
    </cfRule>
    <cfRule type="cellIs" dxfId="5295" priority="338" operator="equal">
      <formula>"B- Incorporate Comments - Proceed"</formula>
    </cfRule>
    <cfRule type="cellIs" dxfId="5294" priority="337" operator="equal">
      <formula>"D - Rejected"</formula>
    </cfRule>
  </conditionalFormatting>
  <conditionalFormatting sqref="W11">
    <cfRule type="cellIs" dxfId="5293" priority="443" stopIfTrue="1" operator="between">
      <formula>"B - Incorporate Comments - Proceed "</formula>
      <formula>"B - Incorporate Comments - Proceed "</formula>
    </cfRule>
    <cfRule type="cellIs" dxfId="5292" priority="442" operator="between">
      <formula>"C - Revise and Resubmit - Do Not Proceed"</formula>
      <formula>"C - Revise and Resubmit - Do Not Proceed"</formula>
    </cfRule>
    <cfRule type="cellIs" dxfId="5291" priority="441" operator="between">
      <formula>"A - Work May Proceed"</formula>
      <formula>"A - Work May Proceed"</formula>
    </cfRule>
    <cfRule type="cellIs" dxfId="5290" priority="440" operator="between">
      <formula>"CANCELLED"</formula>
      <formula>"CANCELLED"</formula>
    </cfRule>
    <cfRule type="cellIs" dxfId="5289" priority="439" operator="between">
      <formula>"D - Rejected "</formula>
      <formula>"D - Rejected "</formula>
    </cfRule>
    <cfRule type="cellIs" dxfId="5288" priority="438" operator="between">
      <formula>"E - Review not Required - Proceed"</formula>
      <formula>"E - Review not Required - Proceed"</formula>
    </cfRule>
    <cfRule type="cellIs" dxfId="5287" priority="437" operator="between">
      <formula>"B - Incorporate Comments - Proceed"</formula>
      <formula>"B - Incorporate Comments - Proceed"</formula>
    </cfRule>
    <cfRule type="cellIs" dxfId="5286" priority="429" operator="equal">
      <formula>"For Information"</formula>
    </cfRule>
    <cfRule type="cellIs" dxfId="5285" priority="428" operator="equal">
      <formula>"B - Incorporate Comments - Proceed"</formula>
    </cfRule>
    <cfRule type="cellIs" dxfId="5284" priority="432" operator="between">
      <formula>"E - Review not Required - Proceed"</formula>
      <formula>"E - Review not Required - Proceed"</formula>
    </cfRule>
    <cfRule type="cellIs" dxfId="5283" priority="434" operator="between">
      <formula>"C - Revise and Resubmit - Do Not Proceed"</formula>
      <formula>"C - Revise and Resubmit - Do Not Proceed"</formula>
    </cfRule>
    <cfRule type="cellIs" dxfId="5282" priority="435" operator="between">
      <formula>"B - Incorporate Comments - Proceed"</formula>
      <formula>"B - Incorporate Comments - Proceed"</formula>
    </cfRule>
    <cfRule type="cellIs" dxfId="5281" priority="436" operator="between">
      <formula>"A - Work May Proceed"</formula>
      <formula>"A - Work May Proceed"</formula>
    </cfRule>
    <cfRule type="cellIs" dxfId="5280" priority="431" operator="equal">
      <formula>"E - Review Not Required - Proceed"</formula>
    </cfRule>
    <cfRule type="cellIs" dxfId="5279" priority="430" operator="equal">
      <formula>"B - Incorporate Comments - Proceed "</formula>
    </cfRule>
    <cfRule type="cellIs" dxfId="5278" priority="433" operator="between">
      <formula>"'D - Rejected "</formula>
      <formula>"'D - Rejected "</formula>
    </cfRule>
  </conditionalFormatting>
  <conditionalFormatting sqref="W24">
    <cfRule type="cellIs" dxfId="5277" priority="250" stopIfTrue="1" operator="equal">
      <formula>"A - Work May Proceed"</formula>
    </cfRule>
  </conditionalFormatting>
  <conditionalFormatting sqref="W34">
    <cfRule type="cellIs" dxfId="5276" priority="260" stopIfTrue="1" operator="equal">
      <formula>"A - Work May Proceed"</formula>
    </cfRule>
  </conditionalFormatting>
  <conditionalFormatting sqref="Z37:AB37">
    <cfRule type="cellIs" dxfId="5275" priority="211" operator="equal">
      <formula>"E - Review not Required - Proceed"</formula>
    </cfRule>
    <cfRule type="cellIs" dxfId="5274" priority="214" operator="equal">
      <formula>"C - Revise and Resubmit - Do Not Proceed"</formula>
    </cfRule>
    <cfRule type="cellIs" dxfId="5273" priority="213" operator="equal">
      <formula>"B- Incorporate Comments - Proceed"</formula>
    </cfRule>
    <cfRule type="cellIs" dxfId="5272" priority="212" operator="equal">
      <formula>"D - Rejected"</formula>
    </cfRule>
  </conditionalFormatting>
  <conditionalFormatting sqref="Z138:AB138">
    <cfRule type="cellIs" dxfId="5271" priority="6" operator="equal">
      <formula>"D - Rejected"</formula>
    </cfRule>
    <cfRule type="cellIs" dxfId="5270" priority="7" operator="equal">
      <formula>"B- Incorporate Comments - Proceed"</formula>
    </cfRule>
    <cfRule type="cellIs" dxfId="5269" priority="8" operator="equal">
      <formula>"C - Revise and Resubmit - Do Not Proceed"</formula>
    </cfRule>
    <cfRule type="cellIs" dxfId="5268" priority="5" operator="equal">
      <formula>"E - Review not Required - Proceed"</formula>
    </cfRule>
  </conditionalFormatting>
  <conditionalFormatting sqref="AD11">
    <cfRule type="cellIs" dxfId="5267" priority="412" operator="equal">
      <formula>"B - Incorporate Comments - Proceed"</formula>
    </cfRule>
    <cfRule type="cellIs" dxfId="5266" priority="427" stopIfTrue="1" operator="between">
      <formula>"B - Incorporate Comments - Proceed "</formula>
      <formula>"B - Incorporate Comments - Proceed "</formula>
    </cfRule>
    <cfRule type="cellIs" dxfId="5265" priority="421" operator="between">
      <formula>"B - Incorporate Comments - Proceed"</formula>
      <formula>"B - Incorporate Comments - Proceed"</formula>
    </cfRule>
    <cfRule type="cellIs" dxfId="5264" priority="426" operator="between">
      <formula>"C - Revise and Resubmit - Do Not Proceed"</formula>
      <formula>"C - Revise and Resubmit - Do Not Proceed"</formula>
    </cfRule>
    <cfRule type="cellIs" dxfId="5263" priority="420" operator="between">
      <formula>"A - Work May Proceed"</formula>
      <formula>"A - Work May Proceed"</formula>
    </cfRule>
    <cfRule type="cellIs" dxfId="5262" priority="419" operator="between">
      <formula>"B - Incorporate Comments - Proceed"</formula>
      <formula>"B - Incorporate Comments - Proceed"</formula>
    </cfRule>
    <cfRule type="cellIs" dxfId="5261" priority="418" operator="between">
      <formula>"C - Revise and Resubmit - Do Not Proceed"</formula>
      <formula>"C - Revise and Resubmit - Do Not Proceed"</formula>
    </cfRule>
    <cfRule type="cellIs" dxfId="5260" priority="417" operator="between">
      <formula>"'D - Rejected "</formula>
      <formula>"'D - Rejected "</formula>
    </cfRule>
    <cfRule type="cellIs" dxfId="5259" priority="425" operator="between">
      <formula>"A - Work May Proceed"</formula>
      <formula>"A - Work May Proceed"</formula>
    </cfRule>
    <cfRule type="cellIs" dxfId="5258" priority="424" operator="between">
      <formula>"CANCELLED"</formula>
      <formula>"CANCELLED"</formula>
    </cfRule>
    <cfRule type="cellIs" dxfId="5257" priority="423" operator="between">
      <formula>"D - Rejected "</formula>
      <formula>"D - Rejected "</formula>
    </cfRule>
    <cfRule type="cellIs" dxfId="5256" priority="422" operator="between">
      <formula>"E - Review not Required - Proceed"</formula>
      <formula>"E - Review not Required - Proceed"</formula>
    </cfRule>
    <cfRule type="cellIs" dxfId="5255" priority="416" operator="between">
      <formula>"E - Review not Required - Proceed"</formula>
      <formula>"E - Review not Required - Proceed"</formula>
    </cfRule>
    <cfRule type="cellIs" dxfId="5254" priority="415" operator="equal">
      <formula>"E - Review Not Required - Proceed"</formula>
    </cfRule>
    <cfRule type="cellIs" dxfId="5253" priority="414" operator="equal">
      <formula>"B - Incorporate Comments - Proceed "</formula>
    </cfRule>
    <cfRule type="cellIs" dxfId="5252" priority="413" operator="equal">
      <formula>"For Information"</formula>
    </cfRule>
  </conditionalFormatting>
  <conditionalFormatting sqref="AD23">
    <cfRule type="cellIs" dxfId="5251" priority="285" stopIfTrue="1" operator="equal">
      <formula>"A - Work May Proceed"</formula>
    </cfRule>
  </conditionalFormatting>
  <conditionalFormatting sqref="AD106">
    <cfRule type="cellIs" dxfId="5250" priority="226" operator="equal">
      <formula>"C - Revise and Resubmit - Do Not Proceed"</formula>
    </cfRule>
    <cfRule type="cellIs" dxfId="5249" priority="224" operator="equal">
      <formula>"D - Rejected"</formula>
    </cfRule>
    <cfRule type="cellIs" dxfId="5248" priority="223" operator="equal">
      <formula>"E - Review not Required - Proceed"</formula>
    </cfRule>
    <cfRule type="cellIs" dxfId="5247" priority="225" operator="equal">
      <formula>"B- Incorporate Comments - Proceed"</formula>
    </cfRule>
  </conditionalFormatting>
  <conditionalFormatting sqref="AG136:AI136">
    <cfRule type="cellIs" dxfId="5246" priority="66" operator="equal">
      <formula>"E - Review not Required - Proceed"</formula>
    </cfRule>
    <cfRule type="cellIs" dxfId="5245" priority="67" operator="equal">
      <formula>"D - Rejected"</formula>
    </cfRule>
    <cfRule type="cellIs" dxfId="5244" priority="68" operator="equal">
      <formula>"B- Incorporate Comments - Proceed"</formula>
    </cfRule>
    <cfRule type="cellIs" dxfId="5243" priority="69" operator="equal">
      <formula>"C - Revise and Resubmit - Do Not Proceed"</formula>
    </cfRule>
  </conditionalFormatting>
  <conditionalFormatting sqref="AI33">
    <cfRule type="cellIs" dxfId="5242" priority="110" operator="equal">
      <formula>"E - Review not Required - Proceed"</formula>
    </cfRule>
    <cfRule type="cellIs" dxfId="5241" priority="111" operator="equal">
      <formula>"D - Rejected"</formula>
    </cfRule>
    <cfRule type="cellIs" dxfId="5240" priority="113" operator="equal">
      <formula>"C - Revise and Resubmit - Do Not Proceed"</formula>
    </cfRule>
    <cfRule type="cellIs" dxfId="5239" priority="112" operator="equal">
      <formula>"B- Incorporate Comments - Proceed"</formula>
    </cfRule>
  </conditionalFormatting>
  <conditionalFormatting sqref="AI34:AL34">
    <cfRule type="cellIs" dxfId="5238" priority="217" operator="equal">
      <formula>"B- Incorporate Comments - Proceed"</formula>
    </cfRule>
    <cfRule type="cellIs" dxfId="5237" priority="218" operator="equal">
      <formula>"C - Revise and Resubmit - Do Not Proceed"</formula>
    </cfRule>
    <cfRule type="cellIs" dxfId="5236" priority="215" operator="equal">
      <formula>"E - Review not Required - Proceed"</formula>
    </cfRule>
    <cfRule type="cellIs" dxfId="5235" priority="216" operator="equal">
      <formula>"D - Rejected"</formula>
    </cfRule>
  </conditionalFormatting>
  <conditionalFormatting sqref="AK11">
    <cfRule type="cellIs" dxfId="5234" priority="406" operator="between">
      <formula>"E - Review not Required - Proceed"</formula>
      <formula>"E - Review not Required - Proceed"</formula>
    </cfRule>
    <cfRule type="cellIs" dxfId="5233" priority="411" stopIfTrue="1" operator="between">
      <formula>"B - Incorporate Comments - Proceed "</formula>
      <formula>"B - Incorporate Comments - Proceed "</formula>
    </cfRule>
    <cfRule type="cellIs" dxfId="5232" priority="410" operator="between">
      <formula>"C - Revise and Resubmit - Do Not Proceed"</formula>
      <formula>"C - Revise and Resubmit - Do Not Proceed"</formula>
    </cfRule>
    <cfRule type="cellIs" dxfId="5231" priority="409" operator="between">
      <formula>"A - Work May Proceed"</formula>
      <formula>"A - Work May Proceed"</formula>
    </cfRule>
    <cfRule type="cellIs" dxfId="5230" priority="408" operator="between">
      <formula>"CANCELLED"</formula>
      <formula>"CANCELLED"</formula>
    </cfRule>
    <cfRule type="cellIs" dxfId="5229" priority="407" operator="between">
      <formula>"D - Rejected "</formula>
      <formula>"D - Rejected "</formula>
    </cfRule>
    <cfRule type="cellIs" dxfId="5228" priority="405" operator="between">
      <formula>"B - Incorporate Comments - Proceed"</formula>
      <formula>"B - Incorporate Comments - Proceed"</formula>
    </cfRule>
    <cfRule type="cellIs" dxfId="5227" priority="404" operator="between">
      <formula>"A - Work May Proceed"</formula>
      <formula>"A - Work May Proceed"</formula>
    </cfRule>
    <cfRule type="cellIs" dxfId="5226" priority="403" operator="between">
      <formula>"B - Incorporate Comments - Proceed"</formula>
      <formula>"B - Incorporate Comments - Proceed"</formula>
    </cfRule>
    <cfRule type="cellIs" dxfId="5225" priority="402" operator="between">
      <formula>"C - Revise and Resubmit - Do Not Proceed"</formula>
      <formula>"C - Revise and Resubmit - Do Not Proceed"</formula>
    </cfRule>
    <cfRule type="cellIs" dxfId="5224" priority="401" operator="between">
      <formula>"'D - Rejected "</formula>
      <formula>"'D - Rejected "</formula>
    </cfRule>
    <cfRule type="cellIs" dxfId="5223" priority="400" operator="between">
      <formula>"E - Review not Required - Proceed"</formula>
      <formula>"E - Review not Required - Proceed"</formula>
    </cfRule>
    <cfRule type="cellIs" dxfId="5222" priority="399" operator="equal">
      <formula>"E - Review Not Required - Proceed"</formula>
    </cfRule>
    <cfRule type="cellIs" dxfId="5221" priority="398" operator="equal">
      <formula>"B - Incorporate Comments - Proceed "</formula>
    </cfRule>
    <cfRule type="cellIs" dxfId="5220" priority="397" operator="equal">
      <formula>"For Information"</formula>
    </cfRule>
    <cfRule type="cellIs" dxfId="5219" priority="396" operator="equal">
      <formula>"B - Incorporate Comments - Proceed"</formula>
    </cfRule>
  </conditionalFormatting>
  <conditionalFormatting sqref="AN33:AP34">
    <cfRule type="cellIs" dxfId="5218" priority="93" operator="equal">
      <formula>"B- Incorporate Comments - Proceed"</formula>
    </cfRule>
    <cfRule type="cellIs" dxfId="5217" priority="92" operator="equal">
      <formula>"D - Rejected"</formula>
    </cfRule>
    <cfRule type="cellIs" dxfId="5216" priority="91" operator="equal">
      <formula>"E - Review not Required - Proceed"</formula>
    </cfRule>
    <cfRule type="cellIs" dxfId="5215" priority="94" operator="equal">
      <formula>"C - Revise and Resubmit - Do Not Proceed"</formula>
    </cfRule>
  </conditionalFormatting>
  <conditionalFormatting sqref="AR11">
    <cfRule type="cellIs" dxfId="5214" priority="370" stopIfTrue="1" operator="between">
      <formula>"B - Incorporate Comments - Proceed "</formula>
      <formula>"B - Incorporate Comments - Proceed "</formula>
    </cfRule>
    <cfRule type="cellIs" dxfId="5213" priority="351" operator="equal">
      <formula>"E - Review not Required - Proceed"</formula>
    </cfRule>
    <cfRule type="cellIs" dxfId="5212" priority="352" operator="equal">
      <formula>"D - Rejected"</formula>
    </cfRule>
    <cfRule type="cellIs" dxfId="5211" priority="353" operator="equal">
      <formula>"B - Incorporate Comments - Proceed"</formula>
    </cfRule>
    <cfRule type="cellIs" dxfId="5210" priority="354" operator="equal">
      <formula>"C - Revise and Resubmit - Do Not Proceed"</formula>
    </cfRule>
    <cfRule type="cellIs" dxfId="5209" priority="355" operator="equal">
      <formula>"A - Work May Proceed"</formula>
    </cfRule>
    <cfRule type="cellIs" dxfId="5208" priority="356" operator="equal">
      <formula>"For Information"</formula>
    </cfRule>
    <cfRule type="cellIs" dxfId="5207" priority="357" operator="equal">
      <formula>"B - Incorporate Comments - Proceed "</formula>
    </cfRule>
    <cfRule type="cellIs" dxfId="5206" priority="358" operator="equal">
      <formula>"E - Review Not Required - Proceed"</formula>
    </cfRule>
    <cfRule type="cellIs" dxfId="5205" priority="359" operator="between">
      <formula>"E - Review not Required - Proceed"</formula>
      <formula>"E - Review not Required - Proceed"</formula>
    </cfRule>
    <cfRule type="cellIs" dxfId="5204" priority="360" operator="between">
      <formula>"'D - Rejected "</formula>
      <formula>"'D - Rejected "</formula>
    </cfRule>
    <cfRule type="cellIs" dxfId="5203" priority="361" operator="between">
      <formula>"C - Revise and Resubmit - Do Not Proceed"</formula>
      <formula>"C - Revise and Resubmit - Do Not Proceed"</formula>
    </cfRule>
    <cfRule type="cellIs" dxfId="5202" priority="362" operator="between">
      <formula>"B - Incorporate Comments - Proceed"</formula>
      <formula>"B - Incorporate Comments - Proceed"</formula>
    </cfRule>
    <cfRule type="cellIs" dxfId="5201" priority="363" operator="between">
      <formula>"A - Work May Proceed"</formula>
      <formula>"A - Work May Proceed"</formula>
    </cfRule>
    <cfRule type="cellIs" dxfId="5200" priority="364" operator="between">
      <formula>"B - Incorporate Comments - Proceed"</formula>
      <formula>"B - Incorporate Comments - Proceed"</formula>
    </cfRule>
    <cfRule type="cellIs" dxfId="5199" priority="369" operator="between">
      <formula>"C - Revise and Resubmit - Do Not Proceed"</formula>
      <formula>"C - Revise and Resubmit - Do Not Proceed"</formula>
    </cfRule>
    <cfRule type="cellIs" dxfId="5198" priority="366" operator="between">
      <formula>"D - Rejected "</formula>
      <formula>"D - Rejected "</formula>
    </cfRule>
    <cfRule type="cellIs" dxfId="5197" priority="367" operator="between">
      <formula>"CANCELLED"</formula>
      <formula>"CANCELLED"</formula>
    </cfRule>
    <cfRule type="cellIs" dxfId="5196" priority="365" operator="between">
      <formula>"E - Review not Required - Proceed"</formula>
      <formula>"E - Review not Required - Proceed"</formula>
    </cfRule>
    <cfRule type="cellIs" dxfId="5195" priority="368" operator="between">
      <formula>"A - Work May Proceed"</formula>
      <formula>"A - Work May Proceed"</formula>
    </cfRule>
  </conditionalFormatting>
  <conditionalFormatting sqref="AU23:AW23">
    <cfRule type="cellIs" dxfId="5194" priority="122" operator="equal">
      <formula>"C - Revise and Resubmit - Do Not Proceed"</formula>
    </cfRule>
    <cfRule type="cellIs" dxfId="5193" priority="120" operator="equal">
      <formula>"D - Rejected"</formula>
    </cfRule>
    <cfRule type="cellIs" dxfId="5192" priority="119" operator="equal">
      <formula>"E - Review not Required - Proceed"</formula>
    </cfRule>
    <cfRule type="cellIs" dxfId="5191" priority="121" operator="equal">
      <formula>"B- Incorporate Comments - Proceed"</formula>
    </cfRule>
  </conditionalFormatting>
  <conditionalFormatting sqref="AW34">
    <cfRule type="cellIs" dxfId="5190" priority="130" operator="equal">
      <formula>"B- Incorporate Comments - Proceed"</formula>
    </cfRule>
    <cfRule type="cellIs" dxfId="5189" priority="129" operator="equal">
      <formula>"D - Rejected"</formula>
    </cfRule>
    <cfRule type="cellIs" dxfId="5188" priority="128" operator="equal">
      <formula>"E - Review not Required - Proceed"</formula>
    </cfRule>
    <cfRule type="cellIs" dxfId="5187" priority="131" operator="equal">
      <formula>"C - Revise and Resubmit - Do Not Proceed"</formula>
    </cfRule>
  </conditionalFormatting>
  <conditionalFormatting sqref="AY11">
    <cfRule type="cellIs" dxfId="5186" priority="383" operator="between">
      <formula>"A - Work May Proceed"</formula>
      <formula>"A - Work May Proceed"</formula>
    </cfRule>
    <cfRule type="cellIs" dxfId="5185" priority="384" operator="between">
      <formula>"B - Incorporate Comments - Proceed"</formula>
      <formula>"B - Incorporate Comments - Proceed"</formula>
    </cfRule>
    <cfRule type="cellIs" dxfId="5184" priority="385" operator="between">
      <formula>"E - Review not Required - Proceed"</formula>
      <formula>"E - Review not Required - Proceed"</formula>
    </cfRule>
    <cfRule type="cellIs" dxfId="5183" priority="386" operator="between">
      <formula>"D - Rejected "</formula>
      <formula>"D - Rejected "</formula>
    </cfRule>
    <cfRule type="cellIs" dxfId="5182" priority="387" operator="between">
      <formula>"CANCELLED"</formula>
      <formula>"CANCELLED"</formula>
    </cfRule>
    <cfRule type="cellIs" dxfId="5181" priority="388" operator="between">
      <formula>"A - Work May Proceed"</formula>
      <formula>"A - Work May Proceed"</formula>
    </cfRule>
    <cfRule type="cellIs" dxfId="5180" priority="390" stopIfTrue="1" operator="between">
      <formula>"B - Incorporate Comments - Proceed "</formula>
      <formula>"B - Incorporate Comments - Proceed "</formula>
    </cfRule>
    <cfRule type="cellIs" dxfId="5179" priority="389" operator="between">
      <formula>"C - Revise and Resubmit - Do Not Proceed"</formula>
      <formula>"C - Revise and Resubmit - Do Not Proceed"</formula>
    </cfRule>
    <cfRule type="cellIs" dxfId="5178" priority="371" operator="equal">
      <formula>"E - Review not Required - Proceed"</formula>
    </cfRule>
    <cfRule type="cellIs" dxfId="5177" priority="372" operator="equal">
      <formula>"D - Rejected"</formula>
    </cfRule>
    <cfRule type="cellIs" dxfId="5176" priority="373" operator="equal">
      <formula>"B - Incorporate Comments - Proceed"</formula>
    </cfRule>
    <cfRule type="cellIs" dxfId="5175" priority="374" operator="equal">
      <formula>"C - Revise and Resubmit - Do Not Proceed"</formula>
    </cfRule>
    <cfRule type="cellIs" dxfId="5174" priority="375" operator="equal">
      <formula>"A - Work May Proceed"</formula>
    </cfRule>
    <cfRule type="cellIs" dxfId="5173" priority="376" operator="equal">
      <formula>"For Information"</formula>
    </cfRule>
    <cfRule type="cellIs" dxfId="5172" priority="377" operator="equal">
      <formula>"B - Incorporate Comments - Proceed "</formula>
    </cfRule>
    <cfRule type="cellIs" dxfId="5171" priority="378" operator="equal">
      <formula>"E - Review Not Required - Proceed"</formula>
    </cfRule>
    <cfRule type="cellIs" dxfId="5170" priority="379" operator="between">
      <formula>"E - Review not Required - Proceed"</formula>
      <formula>"E - Review not Required - Proceed"</formula>
    </cfRule>
    <cfRule type="cellIs" dxfId="5169" priority="380" operator="between">
      <formula>"'D - Rejected "</formula>
      <formula>"'D - Rejected "</formula>
    </cfRule>
    <cfRule type="cellIs" dxfId="5168" priority="381" operator="between">
      <formula>"C - Revise and Resubmit - Do Not Proceed"</formula>
      <formula>"C - Revise and Resubmit - Do Not Proceed"</formula>
    </cfRule>
    <cfRule type="cellIs" dxfId="5167" priority="382" operator="between">
      <formula>"B - Incorporate Comments - Proceed"</formula>
      <formula>"B - Incorporate Comments - Proceed"</formula>
    </cfRule>
  </conditionalFormatting>
  <conditionalFormatting sqref="BB23:BD23">
    <cfRule type="cellIs" dxfId="5166" priority="81" operator="equal">
      <formula>"C - Revise and Resubmit - Do Not Proceed"</formula>
    </cfRule>
    <cfRule type="cellIs" dxfId="5165" priority="80" operator="equal">
      <formula>"B- Incorporate Comments - Proceed"</formula>
    </cfRule>
    <cfRule type="cellIs" dxfId="5164" priority="79" operator="equal">
      <formula>"D - Rejected"</formula>
    </cfRule>
    <cfRule type="cellIs" dxfId="5163" priority="78" operator="equal">
      <formula>"E - Review not Required - Proceed"</formula>
    </cfRule>
  </conditionalFormatting>
  <conditionalFormatting sqref="BF11">
    <cfRule type="cellIs" dxfId="5162" priority="194" operator="equal">
      <formula>"C - Revise and Resubmit - Do Not Proceed"</formula>
    </cfRule>
    <cfRule type="cellIs" dxfId="5161" priority="196" operator="equal">
      <formula>"For Information"</formula>
    </cfRule>
    <cfRule type="cellIs" dxfId="5160" priority="197" operator="equal">
      <formula>"B - Incorporate Comments - Proceed "</formula>
    </cfRule>
    <cfRule type="cellIs" dxfId="5159" priority="198" operator="equal">
      <formula>"E - Review Not Required - Proceed"</formula>
    </cfRule>
    <cfRule type="cellIs" dxfId="5158" priority="199" operator="between">
      <formula>"E - Review not Required - Proceed"</formula>
      <formula>"E - Review not Required - Proceed"</formula>
    </cfRule>
    <cfRule type="cellIs" dxfId="5157" priority="200" operator="between">
      <formula>"'D - Rejected "</formula>
      <formula>"'D - Rejected "</formula>
    </cfRule>
    <cfRule type="cellIs" dxfId="5156" priority="201" operator="between">
      <formula>"C - Revise and Resubmit - Do Not Proceed"</formula>
      <formula>"C - Revise and Resubmit - Do Not Proceed"</formula>
    </cfRule>
    <cfRule type="cellIs" dxfId="5155" priority="192" operator="equal">
      <formula>"D - Rejected"</formula>
    </cfRule>
    <cfRule type="cellIs" dxfId="5154" priority="191" operator="equal">
      <formula>"E - Review not Required - Proceed"</formula>
    </cfRule>
    <cfRule type="cellIs" dxfId="5153" priority="209" operator="between">
      <formula>"C - Revise and Resubmit - Do Not Proceed"</formula>
      <formula>"C - Revise and Resubmit - Do Not Proceed"</formula>
    </cfRule>
    <cfRule type="cellIs" dxfId="5152" priority="202" operator="between">
      <formula>"B - Incorporate Comments - Proceed"</formula>
      <formula>"B - Incorporate Comments - Proceed"</formula>
    </cfRule>
    <cfRule type="cellIs" dxfId="5151" priority="203" operator="between">
      <formula>"A - Work May Proceed"</formula>
      <formula>"A - Work May Proceed"</formula>
    </cfRule>
    <cfRule type="cellIs" dxfId="5150" priority="204" operator="between">
      <formula>"B - Incorporate Comments - Proceed"</formula>
      <formula>"B - Incorporate Comments - Proceed"</formula>
    </cfRule>
    <cfRule type="cellIs" dxfId="5149" priority="205" operator="between">
      <formula>"E - Review not Required - Proceed"</formula>
      <formula>"E - Review not Required - Proceed"</formula>
    </cfRule>
    <cfRule type="cellIs" dxfId="5148" priority="207" operator="between">
      <formula>"CANCELLED"</formula>
      <formula>"CANCELLED"</formula>
    </cfRule>
    <cfRule type="cellIs" dxfId="5147" priority="208" operator="between">
      <formula>"A - Work May Proceed"</formula>
      <formula>"A - Work May Proceed"</formula>
    </cfRule>
    <cfRule type="cellIs" dxfId="5146" priority="210" stopIfTrue="1" operator="between">
      <formula>"B - Incorporate Comments - Proceed "</formula>
      <formula>"B - Incorporate Comments - Proceed "</formula>
    </cfRule>
    <cfRule type="cellIs" dxfId="5145" priority="193" operator="equal">
      <formula>"B - Incorporate Comments - Proceed"</formula>
    </cfRule>
    <cfRule type="cellIs" dxfId="5144" priority="206" operator="between">
      <formula>"D - Rejected "</formula>
      <formula>"D - Rejected "</formula>
    </cfRule>
    <cfRule type="cellIs" dxfId="5143" priority="195" operator="equal">
      <formula>"A - Work May Proceed"</formula>
    </cfRule>
  </conditionalFormatting>
  <conditionalFormatting sqref="BF24">
    <cfRule type="cellIs" dxfId="5142" priority="190" stopIfTrue="1" operator="equal">
      <formula>"A - Work May Proceed"</formula>
    </cfRule>
  </conditionalFormatting>
  <conditionalFormatting sqref="BI23:BK23">
    <cfRule type="cellIs" dxfId="5141" priority="9" operator="equal">
      <formula>"E - Review not Required - Proceed"</formula>
    </cfRule>
    <cfRule type="cellIs" dxfId="5140" priority="10" operator="equal">
      <formula>"D - Rejected"</formula>
    </cfRule>
    <cfRule type="cellIs" dxfId="5139" priority="11" operator="equal">
      <formula>"B- Incorporate Comments - Proceed"</formula>
    </cfRule>
    <cfRule type="cellIs" dxfId="5138" priority="12" operator="equal">
      <formula>"C - Revise and Resubmit - Do Not Proceed"</formula>
    </cfRule>
  </conditionalFormatting>
  <conditionalFormatting sqref="BM11">
    <cfRule type="cellIs" dxfId="5137" priority="161" stopIfTrue="1" operator="between">
      <formula>"B - Incorporate Comments - Proceed "</formula>
      <formula>"B - Incorporate Comments - Proceed "</formula>
    </cfRule>
    <cfRule type="cellIs" dxfId="5136" priority="159" operator="between">
      <formula>"A - Work May Proceed"</formula>
      <formula>"A - Work May Proceed"</formula>
    </cfRule>
    <cfRule type="cellIs" dxfId="5135" priority="160" operator="between">
      <formula>"C - Revise and Resubmit - Do Not Proceed"</formula>
      <formula>"C - Revise and Resubmit - Do Not Proceed"</formula>
    </cfRule>
    <cfRule type="cellIs" dxfId="5134" priority="158" operator="between">
      <formula>"CANCELLED"</formula>
      <formula>"CANCELLED"</formula>
    </cfRule>
    <cfRule type="cellIs" dxfId="5133" priority="156" operator="between">
      <formula>"E - Review not Required - Proceed"</formula>
      <formula>"E - Review not Required - Proceed"</formula>
    </cfRule>
    <cfRule type="cellIs" dxfId="5132" priority="155" operator="between">
      <formula>"B - Incorporate Comments - Proceed"</formula>
      <formula>"B - Incorporate Comments - Proceed"</formula>
    </cfRule>
    <cfRule type="cellIs" dxfId="5131" priority="154" operator="between">
      <formula>"A - Work May Proceed"</formula>
      <formula>"A - Work May Proceed"</formula>
    </cfRule>
    <cfRule type="cellIs" dxfId="5130" priority="150" operator="between">
      <formula>"E - Review not Required - Proceed"</formula>
      <formula>"E - Review not Required - Proceed"</formula>
    </cfRule>
    <cfRule type="cellIs" dxfId="5129" priority="148" operator="equal">
      <formula>"B - Incorporate Comments - Proceed "</formula>
    </cfRule>
    <cfRule type="cellIs" dxfId="5128" priority="153" operator="between">
      <formula>"B - Incorporate Comments - Proceed"</formula>
      <formula>"B - Incorporate Comments - Proceed"</formula>
    </cfRule>
    <cfRule type="cellIs" dxfId="5127" priority="152" operator="between">
      <formula>"C - Revise and Resubmit - Do Not Proceed"</formula>
      <formula>"C - Revise and Resubmit - Do Not Proceed"</formula>
    </cfRule>
    <cfRule type="cellIs" dxfId="5126" priority="151" operator="between">
      <formula>"'D - Rejected "</formula>
      <formula>"'D - Rejected "</formula>
    </cfRule>
    <cfRule type="cellIs" dxfId="5125" priority="149" operator="equal">
      <formula>"E - Review Not Required - Proceed"</formula>
    </cfRule>
    <cfRule type="cellIs" dxfId="5124" priority="147" operator="equal">
      <formula>"For Information"</formula>
    </cfRule>
    <cfRule type="cellIs" dxfId="5123" priority="146" operator="equal">
      <formula>"A - Work May Proceed"</formula>
    </cfRule>
    <cfRule type="cellIs" dxfId="5122" priority="145" operator="equal">
      <formula>"C - Revise and Resubmit - Do Not Proceed"</formula>
    </cfRule>
    <cfRule type="cellIs" dxfId="5121" priority="144" operator="equal">
      <formula>"B - Incorporate Comments - Proceed"</formula>
    </cfRule>
    <cfRule type="cellIs" dxfId="5120" priority="143" operator="equal">
      <formula>"D - Rejected"</formula>
    </cfRule>
    <cfRule type="cellIs" dxfId="5119" priority="142" operator="equal">
      <formula>"E - Review not Required - Proceed"</formula>
    </cfRule>
    <cfRule type="cellIs" dxfId="5118" priority="157" operator="between">
      <formula>"D - Rejected "</formula>
      <formula>"D - Rejected "</formula>
    </cfRule>
  </conditionalFormatting>
  <conditionalFormatting sqref="BM24">
    <cfRule type="cellIs" dxfId="5117" priority="140" stopIfTrue="1" operator="equal">
      <formula>"A - Work May Proceed"</formula>
    </cfRule>
  </conditionalFormatting>
  <conditionalFormatting sqref="BT11">
    <cfRule type="cellIs" dxfId="5116" priority="39" operator="between">
      <formula>"C - Revise and Resubmit - Do Not Proceed"</formula>
      <formula>"C - Revise and Resubmit - Do Not Proceed"</formula>
    </cfRule>
    <cfRule type="cellIs" dxfId="5115" priority="40" stopIfTrue="1" operator="between">
      <formula>"B - Incorporate Comments - Proceed "</formula>
      <formula>"B - Incorporate Comments - Proceed "</formula>
    </cfRule>
    <cfRule type="cellIs" dxfId="5114" priority="28" operator="equal">
      <formula>"E - Review Not Required - Proceed"</formula>
    </cfRule>
    <cfRule type="cellIs" dxfId="5113" priority="29" operator="between">
      <formula>"E - Review not Required - Proceed"</formula>
      <formula>"E - Review not Required - Proceed"</formula>
    </cfRule>
    <cfRule type="cellIs" dxfId="5112" priority="30" operator="between">
      <formula>"'D - Rejected "</formula>
      <formula>"'D - Rejected "</formula>
    </cfRule>
    <cfRule type="cellIs" dxfId="5111" priority="31" operator="between">
      <formula>"C - Revise and Resubmit - Do Not Proceed"</formula>
      <formula>"C - Revise and Resubmit - Do Not Proceed"</formula>
    </cfRule>
    <cfRule type="cellIs" dxfId="5110" priority="32" operator="between">
      <formula>"B - Incorporate Comments - Proceed"</formula>
      <formula>"B - Incorporate Comments - Proceed"</formula>
    </cfRule>
    <cfRule type="cellIs" dxfId="5109" priority="22" operator="equal">
      <formula>"D - Rejected"</formula>
    </cfRule>
    <cfRule type="cellIs" dxfId="5108" priority="26" operator="equal">
      <formula>"For Information"</formula>
    </cfRule>
    <cfRule type="cellIs" dxfId="5107" priority="25" operator="equal">
      <formula>"A - Work May Proceed"</formula>
    </cfRule>
    <cfRule type="cellIs" dxfId="5106" priority="24" operator="equal">
      <formula>"C - Revise and Resubmit - Do Not Proceed"</formula>
    </cfRule>
    <cfRule type="cellIs" dxfId="5105" priority="36" operator="between">
      <formula>"D - Rejected "</formula>
      <formula>"D - Rejected "</formula>
    </cfRule>
    <cfRule type="cellIs" dxfId="5104" priority="27" operator="equal">
      <formula>"B - Incorporate Comments - Proceed "</formula>
    </cfRule>
    <cfRule type="cellIs" dxfId="5103" priority="23" operator="equal">
      <formula>"B - Incorporate Comments - Proceed"</formula>
    </cfRule>
    <cfRule type="cellIs" dxfId="5102" priority="33" operator="between">
      <formula>"A - Work May Proceed"</formula>
      <formula>"A - Work May Proceed"</formula>
    </cfRule>
    <cfRule type="cellIs" dxfId="5101" priority="34" operator="between">
      <formula>"B - Incorporate Comments - Proceed"</formula>
      <formula>"B - Incorporate Comments - Proceed"</formula>
    </cfRule>
    <cfRule type="cellIs" dxfId="5100" priority="35" operator="between">
      <formula>"E - Review not Required - Proceed"</formula>
      <formula>"E - Review not Required - Proceed"</formula>
    </cfRule>
    <cfRule type="cellIs" dxfId="5099" priority="37" operator="between">
      <formula>"CANCELLED"</formula>
      <formula>"CANCELLED"</formula>
    </cfRule>
    <cfRule type="cellIs" dxfId="5098" priority="38" operator="between">
      <formula>"A - Work May Proceed"</formula>
      <formula>"A - Work May Proceed"</formula>
    </cfRule>
    <cfRule type="cellIs" dxfId="5097" priority="21" operator="equal">
      <formula>"E - Review not Required - Proceed"</formula>
    </cfRule>
  </conditionalFormatting>
  <conditionalFormatting sqref="CA1:XFD10 B25:XFD28 AK36:XFD36 B37:XFD41 B42:Q42 B43:XFD48 B51:XFD60">
    <cfRule type="cellIs" dxfId="5096" priority="330" operator="equal">
      <formula>"A - Work May Proceed"</formula>
    </cfRule>
    <cfRule type="cellIs" dxfId="5095" priority="329" operator="equal">
      <formula>"C - Revise and Resubmit - Do Not Proceed"</formula>
    </cfRule>
    <cfRule type="cellIs" dxfId="5094" priority="327" operator="equal">
      <formula>"D - Rejected"</formula>
    </cfRule>
    <cfRule type="cellIs" dxfId="5093" priority="326" operator="equal">
      <formula>"E - Review not Required - Proceed"</formula>
    </cfRule>
    <cfRule type="cellIs" dxfId="5092" priority="328" operator="equal">
      <formula>"B- Incorporate Comments - Proceed"</formula>
    </cfRule>
  </conditionalFormatting>
  <pageMargins left="0.7" right="0.7" top="0.75" bottom="0.75" header="0.3" footer="0.3"/>
  <pageSetup paperSize="8" scale="10" fitToHeight="0" orientation="landscape" r:id="rId1"/>
  <colBreaks count="1" manualBreakCount="1">
    <brk id="78" max="197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tabColor theme="4"/>
    <pageSetUpPr fitToPage="1"/>
  </sheetPr>
  <dimension ref="A1:BF16"/>
  <sheetViews>
    <sheetView zoomScale="55" zoomScaleNormal="55" workbookViewId="0">
      <pane ySplit="11" topLeftCell="A12" activePane="bottomLeft" state="frozen"/>
      <selection activeCell="A14" sqref="A14"/>
      <selection pane="bottomLeft" activeCell="I10" sqref="A10:XFD11"/>
    </sheetView>
  </sheetViews>
  <sheetFormatPr defaultColWidth="9.140625" defaultRowHeight="15" x14ac:dyDescent="0.25"/>
  <cols>
    <col min="1" max="1" width="29.28515625" style="393" customWidth="1"/>
    <col min="2" max="2" width="32" style="393" customWidth="1"/>
    <col min="3" max="3" width="24.5703125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19.7109375" style="393" customWidth="1"/>
    <col min="9" max="9" width="33.7109375" style="394" customWidth="1"/>
    <col min="10" max="10" width="30.140625" style="395" customWidth="1"/>
    <col min="11" max="12" width="30.140625" style="394" customWidth="1"/>
    <col min="13" max="14" width="30.140625" style="395" customWidth="1"/>
    <col min="15" max="16" width="30.140625" style="393" customWidth="1"/>
    <col min="17" max="17" width="30.140625" style="397" customWidth="1"/>
    <col min="18" max="19" width="30.140625" style="393" customWidth="1"/>
    <col min="20" max="21" width="30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9.85546875" style="401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/>
      <c r="V1" s="7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"/>
    </row>
    <row r="2" spans="1:58" s="379" customFormat="1" ht="24" customHeight="1" x14ac:dyDescent="0.35">
      <c r="A2" s="8"/>
      <c r="B2" s="25" t="s">
        <v>28</v>
      </c>
      <c r="C2" s="26" t="s">
        <v>31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/>
      <c r="V2" s="7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"/>
    </row>
    <row r="3" spans="1:58" s="379" customFormat="1" ht="24" customHeight="1" x14ac:dyDescent="0.35">
      <c r="A3" s="8"/>
      <c r="B3" s="25" t="s">
        <v>507</v>
      </c>
      <c r="C3" s="49" t="s">
        <v>455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/>
      <c r="V3" s="7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/>
      <c r="V4" s="7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"/>
    </row>
    <row r="5" spans="1:58" s="379" customFormat="1" ht="29.25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/>
      <c r="V5" s="7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"/>
    </row>
    <row r="6" spans="1:58" s="379" customFormat="1" ht="24" customHeight="1" x14ac:dyDescent="0.35">
      <c r="A6" s="8"/>
      <c r="B6" s="64">
        <f>COUNTIF(B11:B16,"A - Work May Proceed")</f>
        <v>1</v>
      </c>
      <c r="C6" s="65">
        <f>COUNTIF(B11:B16,"B- Incorporate Comments - Proceed")</f>
        <v>1</v>
      </c>
      <c r="D6" s="65">
        <f>COUNTIF(B11:B16,"C - Revise and Resubmit - Do Not Proceed")</f>
        <v>0</v>
      </c>
      <c r="E6" s="65">
        <f>COUNTIF(B11:B16,"D - Rejected")</f>
        <v>0</v>
      </c>
      <c r="F6" s="65">
        <f>COUNTIF(B11:B16,"E - Review not Required - Proceed")</f>
        <v>0</v>
      </c>
      <c r="G6" s="66">
        <f>COUNTIF(B11:B16,"UR")</f>
        <v>0</v>
      </c>
      <c r="H6" s="66">
        <f>COUNTIF(B11:B16,"FA")</f>
        <v>0</v>
      </c>
      <c r="I6" s="66">
        <f>COUNTIF(B11:B16,"Terminated")</f>
        <v>0</v>
      </c>
      <c r="J6" s="66">
        <f>COUNTIF(B11:B16,"Cancelled")</f>
        <v>2</v>
      </c>
      <c r="K6"/>
      <c r="L6"/>
      <c r="M6"/>
      <c r="N6"/>
      <c r="O6"/>
      <c r="P6"/>
      <c r="Q6"/>
      <c r="R6"/>
      <c r="S6"/>
      <c r="T6"/>
      <c r="U6"/>
      <c r="V6" s="7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/>
      <c r="V7" s="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"/>
    </row>
    <row r="8" spans="1:58" s="379" customFormat="1" ht="24" customHeight="1" x14ac:dyDescent="0.35">
      <c r="A8" s="8"/>
      <c r="B8" s="72" t="s">
        <v>509</v>
      </c>
      <c r="C8" s="73">
        <f>SUM(B6:J6)</f>
        <v>4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/>
      <c r="V8" s="7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/>
      <c r="V9" s="7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"/>
    </row>
    <row r="10" spans="1:58" s="405" customFormat="1" ht="36.75" customHeight="1" x14ac:dyDescent="0.2">
      <c r="A10" s="559" t="s">
        <v>3297</v>
      </c>
      <c r="B10" s="554" t="s">
        <v>17</v>
      </c>
      <c r="C10" s="556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7"/>
      <c r="D11" s="557"/>
      <c r="E11" s="557"/>
      <c r="F11" s="557"/>
      <c r="G11" s="553"/>
      <c r="H11" s="540"/>
      <c r="I11" s="46" t="s">
        <v>0</v>
      </c>
      <c r="J11" s="52" t="s">
        <v>9</v>
      </c>
      <c r="K11" s="46" t="s">
        <v>11</v>
      </c>
      <c r="L11" s="89" t="s">
        <v>939</v>
      </c>
      <c r="M11" s="52" t="s">
        <v>6</v>
      </c>
      <c r="N11" s="106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79" t="s">
        <v>508</v>
      </c>
      <c r="C12" s="13" t="s">
        <v>627</v>
      </c>
      <c r="D12" s="10" t="s">
        <v>622</v>
      </c>
      <c r="E12" s="12" t="s">
        <v>623</v>
      </c>
      <c r="F12" s="10" t="s">
        <v>624</v>
      </c>
      <c r="G12" s="10" t="s">
        <v>30</v>
      </c>
      <c r="H12" s="10" t="s">
        <v>455</v>
      </c>
      <c r="I12" s="116" t="s">
        <v>3</v>
      </c>
      <c r="J12" s="53">
        <v>45595</v>
      </c>
      <c r="K12" s="13" t="s">
        <v>625</v>
      </c>
      <c r="L12" s="53">
        <f>J12+7</f>
        <v>45602</v>
      </c>
      <c r="M12" s="53">
        <v>45596</v>
      </c>
      <c r="N12" s="92">
        <f>M12-L12</f>
        <v>-6</v>
      </c>
      <c r="O12" s="10" t="s">
        <v>631</v>
      </c>
      <c r="P12" s="9" t="s">
        <v>508</v>
      </c>
      <c r="Q12" s="21">
        <v>45652</v>
      </c>
      <c r="R12" s="10" t="s">
        <v>1657</v>
      </c>
      <c r="S12" s="10" t="s">
        <v>626</v>
      </c>
      <c r="T12" s="21" t="s">
        <v>626</v>
      </c>
      <c r="U12" s="21" t="s">
        <v>626</v>
      </c>
      <c r="V12" s="10" t="s">
        <v>626</v>
      </c>
      <c r="W12" s="10"/>
      <c r="X12" s="21"/>
      <c r="Y12" s="10"/>
      <c r="Z12" s="10"/>
      <c r="AA12" s="21"/>
      <c r="AB12" s="21"/>
      <c r="AC12" s="10"/>
      <c r="AD12" s="10"/>
      <c r="AE12" s="21"/>
      <c r="AF12" s="10"/>
      <c r="AG12" s="10"/>
      <c r="AH12" s="21"/>
      <c r="AI12" s="21"/>
      <c r="AJ12" s="10"/>
      <c r="AK12" s="10"/>
      <c r="AL12" s="20"/>
      <c r="AM12" s="12"/>
      <c r="AN12" s="12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12"/>
      <c r="BF12" s="259" t="s">
        <v>1117</v>
      </c>
    </row>
    <row r="13" spans="1:58" s="381" customFormat="1" ht="42" customHeight="1" x14ac:dyDescent="0.25">
      <c r="A13" s="367">
        <v>730007</v>
      </c>
      <c r="B13" s="116" t="s">
        <v>18</v>
      </c>
      <c r="C13" s="13" t="s">
        <v>2384</v>
      </c>
      <c r="D13" s="10" t="s">
        <v>1601</v>
      </c>
      <c r="E13" s="12" t="s">
        <v>1600</v>
      </c>
      <c r="F13" s="10" t="s">
        <v>1602</v>
      </c>
      <c r="G13" s="10" t="s">
        <v>30</v>
      </c>
      <c r="H13" s="10" t="s">
        <v>455</v>
      </c>
      <c r="I13" s="116" t="s">
        <v>3</v>
      </c>
      <c r="J13" s="53">
        <v>45647</v>
      </c>
      <c r="K13" s="13" t="s">
        <v>1585</v>
      </c>
      <c r="L13" s="53">
        <f>J13+7</f>
        <v>45654</v>
      </c>
      <c r="M13" s="53">
        <v>45657</v>
      </c>
      <c r="N13" s="92">
        <f>M13-L13</f>
        <v>3</v>
      </c>
      <c r="O13" s="10" t="s">
        <v>1604</v>
      </c>
      <c r="P13" s="10" t="s">
        <v>3</v>
      </c>
      <c r="Q13" s="21">
        <v>45670</v>
      </c>
      <c r="R13" s="10" t="s">
        <v>1958</v>
      </c>
      <c r="S13" s="53">
        <f>Q13+7</f>
        <v>45677</v>
      </c>
      <c r="T13" s="21">
        <v>45687</v>
      </c>
      <c r="U13" s="92">
        <f>T13-S13</f>
        <v>10</v>
      </c>
      <c r="V13" s="10" t="s">
        <v>2061</v>
      </c>
      <c r="W13" s="10" t="s">
        <v>3</v>
      </c>
      <c r="X13" s="21">
        <v>45699</v>
      </c>
      <c r="Y13" s="10" t="s">
        <v>2408</v>
      </c>
      <c r="Z13" s="21">
        <f>X13+7</f>
        <v>45706</v>
      </c>
      <c r="AA13" s="21">
        <v>45712</v>
      </c>
      <c r="AB13" s="92">
        <f>AA13-Z13</f>
        <v>6</v>
      </c>
      <c r="AC13" s="10" t="s">
        <v>2424</v>
      </c>
      <c r="AD13" s="116" t="s">
        <v>3</v>
      </c>
      <c r="AE13" s="21">
        <v>45937</v>
      </c>
      <c r="AF13" s="10" t="s">
        <v>4421</v>
      </c>
      <c r="AG13" s="21">
        <f>AE13+7</f>
        <v>45944</v>
      </c>
      <c r="AH13" s="21">
        <v>45949</v>
      </c>
      <c r="AI13" s="92">
        <f>AH13-AG13</f>
        <v>5</v>
      </c>
      <c r="AJ13" s="10" t="s">
        <v>4429</v>
      </c>
      <c r="AK13" s="116" t="s">
        <v>18</v>
      </c>
      <c r="AL13" s="20">
        <v>45960</v>
      </c>
      <c r="AM13" s="12" t="s">
        <v>4642</v>
      </c>
      <c r="AN13" s="21">
        <f>AL13+7</f>
        <v>45967</v>
      </c>
      <c r="AO13" s="20">
        <v>45965</v>
      </c>
      <c r="AP13" s="92">
        <f>AO13-AN13</f>
        <v>-2</v>
      </c>
      <c r="AQ13" s="20" t="s">
        <v>4669</v>
      </c>
      <c r="AR13" s="116" t="s">
        <v>18</v>
      </c>
      <c r="AS13" s="20">
        <v>46188</v>
      </c>
      <c r="AT13" s="20" t="s">
        <v>6997</v>
      </c>
      <c r="AU13" s="21">
        <f>AS13+7</f>
        <v>46195</v>
      </c>
      <c r="AV13" s="20">
        <v>46198</v>
      </c>
      <c r="AW13" s="92">
        <f>AV13-AU13</f>
        <v>3</v>
      </c>
      <c r="AX13" s="20" t="s">
        <v>7011</v>
      </c>
      <c r="AY13" s="20"/>
      <c r="AZ13" s="20"/>
      <c r="BA13" s="20"/>
      <c r="BB13" s="20"/>
      <c r="BC13" s="20"/>
      <c r="BD13" s="20"/>
      <c r="BE13" s="12"/>
      <c r="BF13" s="368"/>
    </row>
    <row r="14" spans="1:58" s="381" customFormat="1" ht="42" customHeight="1" x14ac:dyDescent="0.25">
      <c r="A14" s="367">
        <v>730007</v>
      </c>
      <c r="B14" s="13" t="s">
        <v>5</v>
      </c>
      <c r="C14" s="13" t="s">
        <v>725</v>
      </c>
      <c r="D14" s="10" t="s">
        <v>2730</v>
      </c>
      <c r="E14" s="12" t="s">
        <v>2731</v>
      </c>
      <c r="F14" s="10" t="s">
        <v>2732</v>
      </c>
      <c r="G14" s="10" t="s">
        <v>30</v>
      </c>
      <c r="H14" s="10" t="s">
        <v>455</v>
      </c>
      <c r="I14" s="116" t="s">
        <v>3</v>
      </c>
      <c r="J14" s="53">
        <v>45726</v>
      </c>
      <c r="K14" s="13" t="s">
        <v>2733</v>
      </c>
      <c r="L14" s="53">
        <f>J14+7</f>
        <v>45733</v>
      </c>
      <c r="M14" s="53">
        <v>45735</v>
      </c>
      <c r="N14" s="92">
        <f>M14-L14</f>
        <v>2</v>
      </c>
      <c r="O14" s="10" t="s">
        <v>2757</v>
      </c>
      <c r="P14" s="59" t="s">
        <v>18</v>
      </c>
      <c r="Q14" s="21">
        <v>45908</v>
      </c>
      <c r="R14" s="10" t="s">
        <v>4140</v>
      </c>
      <c r="S14" s="53">
        <f>Q14+7</f>
        <v>45915</v>
      </c>
      <c r="T14" s="21">
        <v>45916</v>
      </c>
      <c r="U14" s="92">
        <f>T14-S14</f>
        <v>1</v>
      </c>
      <c r="V14" s="10" t="s">
        <v>4147</v>
      </c>
      <c r="W14" s="59" t="s">
        <v>18</v>
      </c>
      <c r="X14" s="21">
        <v>46163</v>
      </c>
      <c r="Y14" s="10" t="s">
        <v>6880</v>
      </c>
      <c r="Z14" s="21">
        <f>X14+7</f>
        <v>46170</v>
      </c>
      <c r="AA14" s="21">
        <v>46182</v>
      </c>
      <c r="AB14" s="92">
        <f>AA14-Z14</f>
        <v>12</v>
      </c>
      <c r="AC14" s="10" t="s">
        <v>6925</v>
      </c>
      <c r="AD14" s="59" t="s">
        <v>5</v>
      </c>
      <c r="AE14" s="21">
        <v>46183</v>
      </c>
      <c r="AF14" s="10" t="s">
        <v>6984</v>
      </c>
      <c r="AG14" s="21">
        <f>AE14+7</f>
        <v>46190</v>
      </c>
      <c r="AH14" s="21">
        <v>46188</v>
      </c>
      <c r="AI14" s="92">
        <f>AH14-AG14</f>
        <v>-2</v>
      </c>
      <c r="AJ14" s="10" t="s">
        <v>6990</v>
      </c>
      <c r="AK14" s="10"/>
      <c r="AL14" s="20"/>
      <c r="AM14" s="12"/>
      <c r="AN14" s="12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12"/>
      <c r="BF14" s="368"/>
    </row>
    <row r="15" spans="1:58" s="381" customFormat="1" ht="42" customHeight="1" x14ac:dyDescent="0.25">
      <c r="A15" s="442" t="s">
        <v>3256</v>
      </c>
      <c r="B15" s="58" t="s">
        <v>508</v>
      </c>
      <c r="C15" s="13" t="s">
        <v>627</v>
      </c>
      <c r="D15" s="12" t="s">
        <v>3345</v>
      </c>
      <c r="E15" s="12" t="s">
        <v>3346</v>
      </c>
      <c r="F15" s="16" t="s">
        <v>3049</v>
      </c>
      <c r="G15" s="10" t="s">
        <v>30</v>
      </c>
      <c r="H15" s="10" t="s">
        <v>455</v>
      </c>
      <c r="I15" s="16" t="s">
        <v>3</v>
      </c>
      <c r="J15" s="53">
        <v>45801</v>
      </c>
      <c r="K15" s="13" t="s">
        <v>3347</v>
      </c>
      <c r="L15" s="53">
        <f>J15+7</f>
        <v>45808</v>
      </c>
      <c r="M15" s="53">
        <v>45804</v>
      </c>
      <c r="N15" s="92">
        <f>M15-L15</f>
        <v>-4</v>
      </c>
      <c r="O15" s="10" t="s">
        <v>3355</v>
      </c>
      <c r="P15" s="10" t="s">
        <v>508</v>
      </c>
      <c r="Q15" s="21">
        <v>45921</v>
      </c>
      <c r="R15" s="10" t="s">
        <v>4252</v>
      </c>
      <c r="S15" s="10" t="s">
        <v>626</v>
      </c>
      <c r="T15" s="21" t="s">
        <v>626</v>
      </c>
      <c r="U15" s="21" t="s">
        <v>626</v>
      </c>
      <c r="V15" s="10" t="s">
        <v>626</v>
      </c>
      <c r="W15" s="10"/>
      <c r="X15" s="21"/>
      <c r="Y15" s="10"/>
      <c r="Z15" s="10"/>
      <c r="AA15" s="21"/>
      <c r="AB15" s="21"/>
      <c r="AC15" s="10"/>
      <c r="AD15" s="10"/>
      <c r="AE15" s="21"/>
      <c r="AF15" s="10"/>
      <c r="AG15" s="10"/>
      <c r="AH15" s="21"/>
      <c r="AI15" s="21"/>
      <c r="AJ15" s="10"/>
      <c r="AK15" s="10"/>
      <c r="AL15" s="17"/>
      <c r="AM15" s="11"/>
      <c r="AN15" s="11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1"/>
      <c r="BF15" s="368"/>
    </row>
    <row r="16" spans="1:58" s="381" customFormat="1" ht="42" customHeight="1" thickBot="1" x14ac:dyDescent="0.3">
      <c r="A16" s="369"/>
      <c r="B16" s="446"/>
      <c r="C16" s="446"/>
      <c r="D16" s="370"/>
      <c r="E16" s="370"/>
      <c r="F16" s="262"/>
      <c r="G16" s="263"/>
      <c r="H16" s="263"/>
      <c r="I16" s="262"/>
      <c r="J16" s="372"/>
      <c r="K16" s="373"/>
      <c r="L16" s="373"/>
      <c r="M16" s="372"/>
      <c r="N16" s="372"/>
      <c r="O16" s="263"/>
      <c r="P16" s="447"/>
      <c r="Q16" s="374"/>
      <c r="R16" s="263"/>
      <c r="S16" s="263"/>
      <c r="T16" s="374"/>
      <c r="U16" s="374"/>
      <c r="V16" s="263"/>
      <c r="W16" s="263"/>
      <c r="X16" s="374"/>
      <c r="Y16" s="263"/>
      <c r="Z16" s="263"/>
      <c r="AA16" s="374"/>
      <c r="AB16" s="374"/>
      <c r="AC16" s="263"/>
      <c r="AD16" s="263"/>
      <c r="AE16" s="374"/>
      <c r="AF16" s="263"/>
      <c r="AG16" s="263"/>
      <c r="AH16" s="374"/>
      <c r="AI16" s="374"/>
      <c r="AJ16" s="263"/>
      <c r="AK16" s="263"/>
      <c r="AL16" s="376"/>
      <c r="AM16" s="371"/>
      <c r="AN16" s="371"/>
      <c r="AO16" s="376"/>
      <c r="AP16" s="376"/>
      <c r="AQ16" s="376"/>
      <c r="AR16" s="376"/>
      <c r="AS16" s="376"/>
      <c r="AT16" s="376"/>
      <c r="AU16" s="376"/>
      <c r="AV16" s="376"/>
      <c r="AW16" s="376"/>
      <c r="AX16" s="376"/>
      <c r="AY16" s="376"/>
      <c r="AZ16" s="376"/>
      <c r="BA16" s="376"/>
      <c r="BB16" s="376"/>
      <c r="BC16" s="376"/>
      <c r="BD16" s="376"/>
      <c r="BE16" s="371"/>
      <c r="BF16" s="378"/>
    </row>
  </sheetData>
  <autoFilter ref="A11:BF11" xr:uid="{00000000-0009-0000-0000-000009000000}"/>
  <mergeCells count="18">
    <mergeCell ref="H1:H2"/>
    <mergeCell ref="I1:I2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  <mergeCell ref="E10:E11"/>
    <mergeCell ref="F10:F11"/>
    <mergeCell ref="A10:A11"/>
    <mergeCell ref="G10:G11"/>
    <mergeCell ref="B10:B11"/>
    <mergeCell ref="C10:C11"/>
    <mergeCell ref="D10:D11"/>
  </mergeCells>
  <phoneticPr fontId="5" type="noConversion"/>
  <conditionalFormatting sqref="A12:XFD1048576">
    <cfRule type="cellIs" dxfId="5091" priority="18" operator="equal">
      <formula>"B- Incorporate Comments - Proceed"</formula>
    </cfRule>
    <cfRule type="cellIs" dxfId="5090" priority="16" operator="equal">
      <formula>"E - Review not Required - Proceed"</formula>
    </cfRule>
    <cfRule type="cellIs" dxfId="5089" priority="17" operator="equal">
      <formula>"D - Rejected"</formula>
    </cfRule>
    <cfRule type="cellIs" dxfId="5088" priority="19" operator="equal">
      <formula>"C - Revise and Resubmit - Do Not Proceed"</formula>
    </cfRule>
    <cfRule type="cellIs" dxfId="5087" priority="20" operator="equal">
      <formula>"A - Work May Proceed"</formula>
    </cfRule>
  </conditionalFormatting>
  <conditionalFormatting sqref="D11:BE11 B1:G2 V1:BF9 B3:H4 B9:H9 B10:BF10 A10:A11 B11">
    <cfRule type="cellIs" dxfId="5086" priority="64" operator="equal">
      <formula>"C - Revise and Resubmit - Do Not Proceed"</formula>
    </cfRule>
    <cfRule type="cellIs" dxfId="5085" priority="63" operator="equal">
      <formula>"B- Incorporate Comments - Proceed"</formula>
    </cfRule>
    <cfRule type="cellIs" dxfId="5084" priority="62" operator="equal">
      <formula>"D - Rejected"</formula>
    </cfRule>
    <cfRule type="cellIs" dxfId="5083" priority="61" operator="equal">
      <formula>"E - Review not Required - Proceed"</formula>
    </cfRule>
    <cfRule type="cellIs" dxfId="5082" priority="65" operator="equal">
      <formula>"A - Work May Proceed"</formula>
    </cfRule>
  </conditionalFormatting>
  <conditionalFormatting sqref="I11">
    <cfRule type="cellIs" dxfId="5081" priority="145" stopIfTrue="1" operator="between">
      <formula>"B - Incorporate Comments - Proceed "</formula>
      <formula>"B - Incorporate Comments - Proceed "</formula>
    </cfRule>
    <cfRule type="cellIs" dxfId="5080" priority="144" operator="between">
      <formula>"C - Revise and Resubmit - Do Not Proceed"</formula>
      <formula>"C - Revise and Resubmit - Do Not Proceed"</formula>
    </cfRule>
    <cfRule type="cellIs" dxfId="5079" priority="130" operator="equal">
      <formula>"B - Incorporate Comments - Proceed"</formula>
    </cfRule>
    <cfRule type="cellIs" dxfId="5078" priority="143" operator="between">
      <formula>"A - Work May Proceed"</formula>
      <formula>"A - Work May Proceed"</formula>
    </cfRule>
    <cfRule type="cellIs" dxfId="5077" priority="142" operator="between">
      <formula>"CANCELLED"</formula>
      <formula>"CANCELLED"</formula>
    </cfRule>
    <cfRule type="cellIs" dxfId="5076" priority="141" operator="between">
      <formula>"D - Rejected "</formula>
      <formula>"D - Rejected "</formula>
    </cfRule>
    <cfRule type="cellIs" dxfId="5075" priority="140" operator="between">
      <formula>"E - Review not Required - Proceed"</formula>
      <formula>"E - Review not Required - Proceed"</formula>
    </cfRule>
    <cfRule type="cellIs" dxfId="5074" priority="139" operator="between">
      <formula>"B - Incorporate Comments - Proceed"</formula>
      <formula>"B - Incorporate Comments - Proceed"</formula>
    </cfRule>
    <cfRule type="cellIs" dxfId="5073" priority="138" operator="between">
      <formula>"A - Work May Proceed"</formula>
      <formula>"A - Work May Proceed"</formula>
    </cfRule>
    <cfRule type="cellIs" dxfId="5072" priority="137" operator="between">
      <formula>"B - Incorporate Comments - Proceed"</formula>
      <formula>"B - Incorporate Comments - Proceed"</formula>
    </cfRule>
    <cfRule type="cellIs" dxfId="5071" priority="136" operator="between">
      <formula>"C - Revise and Resubmit - Do Not Proceed"</formula>
      <formula>"C - Revise and Resubmit - Do Not Proceed"</formula>
    </cfRule>
    <cfRule type="cellIs" dxfId="5070" priority="135" operator="between">
      <formula>"'D - Rejected "</formula>
      <formula>"'D - Rejected "</formula>
    </cfRule>
    <cfRule type="cellIs" dxfId="5069" priority="134" operator="between">
      <formula>"E - Review not Required - Proceed"</formula>
      <formula>"E - Review not Required - Proceed"</formula>
    </cfRule>
    <cfRule type="cellIs" dxfId="5068" priority="133" operator="equal">
      <formula>"E - Review Not Required - Proceed"</formula>
    </cfRule>
    <cfRule type="cellIs" dxfId="5067" priority="132" operator="equal">
      <formula>"B - Incorporate Comments - Proceed "</formula>
    </cfRule>
    <cfRule type="cellIs" dxfId="5066" priority="131" operator="equal">
      <formula>"For Information"</formula>
    </cfRule>
  </conditionalFormatting>
  <conditionalFormatting sqref="J5:J6 B5:I7 B8:J8">
    <cfRule type="cellIs" dxfId="5065" priority="12" operator="equal">
      <formula>"D - Rejected"</formula>
    </cfRule>
    <cfRule type="cellIs" dxfId="5064" priority="13" operator="equal">
      <formula>"B- Incorporate Comments - Proceed"</formula>
    </cfRule>
    <cfRule type="cellIs" dxfId="5063" priority="14" operator="equal">
      <formula>"C - Revise and Resubmit - Do Not Proceed"</formula>
    </cfRule>
    <cfRule type="cellIs" dxfId="5062" priority="15" stopIfTrue="1" operator="equal">
      <formula>"A - Work May Proceed"</formula>
    </cfRule>
    <cfRule type="cellIs" dxfId="5061" priority="11" operator="equal">
      <formula>"E - Review not Required - Proceed"</formula>
    </cfRule>
  </conditionalFormatting>
  <conditionalFormatting sqref="P11">
    <cfRule type="cellIs" dxfId="5060" priority="128" operator="between">
      <formula>"C - Revise and Resubmit - Do Not Proceed"</formula>
      <formula>"C - Revise and Resubmit - Do Not Proceed"</formula>
    </cfRule>
    <cfRule type="cellIs" dxfId="5059" priority="127" operator="between">
      <formula>"A - Work May Proceed"</formula>
      <formula>"A - Work May Proceed"</formula>
    </cfRule>
    <cfRule type="cellIs" dxfId="5058" priority="126" operator="between">
      <formula>"CANCELLED"</formula>
      <formula>"CANCELLED"</formula>
    </cfRule>
    <cfRule type="cellIs" dxfId="5057" priority="125" operator="between">
      <formula>"D - Rejected "</formula>
      <formula>"D - Rejected "</formula>
    </cfRule>
    <cfRule type="cellIs" dxfId="5056" priority="124" operator="between">
      <formula>"E - Review not Required - Proceed"</formula>
      <formula>"E - Review not Required - Proceed"</formula>
    </cfRule>
    <cfRule type="cellIs" dxfId="5055" priority="123" operator="between">
      <formula>"B - Incorporate Comments - Proceed"</formula>
      <formula>"B - Incorporate Comments - Proceed"</formula>
    </cfRule>
    <cfRule type="cellIs" dxfId="5054" priority="122" operator="between">
      <formula>"A - Work May Proceed"</formula>
      <formula>"A - Work May Proceed"</formula>
    </cfRule>
    <cfRule type="cellIs" dxfId="5053" priority="121" operator="between">
      <formula>"B - Incorporate Comments - Proceed"</formula>
      <formula>"B - Incorporate Comments - Proceed"</formula>
    </cfRule>
    <cfRule type="cellIs" dxfId="5052" priority="120" operator="between">
      <formula>"C - Revise and Resubmit - Do Not Proceed"</formula>
      <formula>"C - Revise and Resubmit - Do Not Proceed"</formula>
    </cfRule>
    <cfRule type="cellIs" dxfId="5051" priority="119" operator="between">
      <formula>"'D - Rejected "</formula>
      <formula>"'D - Rejected "</formula>
    </cfRule>
    <cfRule type="cellIs" dxfId="5050" priority="118" operator="between">
      <formula>"E - Review not Required - Proceed"</formula>
      <formula>"E - Review not Required - Proceed"</formula>
    </cfRule>
    <cfRule type="cellIs" dxfId="5049" priority="117" operator="equal">
      <formula>"E - Review Not Required - Proceed"</formula>
    </cfRule>
    <cfRule type="cellIs" dxfId="5048" priority="116" operator="equal">
      <formula>"B - Incorporate Comments - Proceed "</formula>
    </cfRule>
    <cfRule type="cellIs" dxfId="5047" priority="115" operator="equal">
      <formula>"For Information"</formula>
    </cfRule>
    <cfRule type="cellIs" dxfId="5046" priority="114" operator="equal">
      <formula>"B - Incorporate Comments - Proceed"</formula>
    </cfRule>
    <cfRule type="cellIs" dxfId="5045" priority="129" stopIfTrue="1" operator="between">
      <formula>"B - Incorporate Comments - Proceed "</formula>
      <formula>"B - Incorporate Comments - Proceed "</formula>
    </cfRule>
  </conditionalFormatting>
  <conditionalFormatting sqref="W11">
    <cfRule type="cellIs" dxfId="5044" priority="112" operator="between">
      <formula>"C - Revise and Resubmit - Do Not Proceed"</formula>
      <formula>"C - Revise and Resubmit - Do Not Proceed"</formula>
    </cfRule>
    <cfRule type="cellIs" dxfId="5043" priority="111" operator="between">
      <formula>"A - Work May Proceed"</formula>
      <formula>"A - Work May Proceed"</formula>
    </cfRule>
    <cfRule type="cellIs" dxfId="5042" priority="110" operator="between">
      <formula>"CANCELLED"</formula>
      <formula>"CANCELLED"</formula>
    </cfRule>
    <cfRule type="cellIs" dxfId="5041" priority="98" operator="equal">
      <formula>"B - Incorporate Comments - Proceed"</formula>
    </cfRule>
    <cfRule type="cellIs" dxfId="5040" priority="99" operator="equal">
      <formula>"For Information"</formula>
    </cfRule>
    <cfRule type="cellIs" dxfId="5039" priority="100" operator="equal">
      <formula>"B - Incorporate Comments - Proceed "</formula>
    </cfRule>
    <cfRule type="cellIs" dxfId="5038" priority="101" operator="equal">
      <formula>"E - Review Not Required - Proceed"</formula>
    </cfRule>
    <cfRule type="cellIs" dxfId="5037" priority="113" stopIfTrue="1" operator="between">
      <formula>"B - Incorporate Comments - Proceed "</formula>
      <formula>"B - Incorporate Comments - Proceed "</formula>
    </cfRule>
    <cfRule type="cellIs" dxfId="5036" priority="109" operator="between">
      <formula>"D - Rejected "</formula>
      <formula>"D - Rejected "</formula>
    </cfRule>
    <cfRule type="cellIs" dxfId="5035" priority="108" operator="between">
      <formula>"E - Review not Required - Proceed"</formula>
      <formula>"E - Review not Required - Proceed"</formula>
    </cfRule>
    <cfRule type="cellIs" dxfId="5034" priority="107" operator="between">
      <formula>"B - Incorporate Comments - Proceed"</formula>
      <formula>"B - Incorporate Comments - Proceed"</formula>
    </cfRule>
    <cfRule type="cellIs" dxfId="5033" priority="106" operator="between">
      <formula>"A - Work May Proceed"</formula>
      <formula>"A - Work May Proceed"</formula>
    </cfRule>
    <cfRule type="cellIs" dxfId="5032" priority="105" operator="between">
      <formula>"B - Incorporate Comments - Proceed"</formula>
      <formula>"B - Incorporate Comments - Proceed"</formula>
    </cfRule>
    <cfRule type="cellIs" dxfId="5031" priority="104" operator="between">
      <formula>"C - Revise and Resubmit - Do Not Proceed"</formula>
      <formula>"C - Revise and Resubmit - Do Not Proceed"</formula>
    </cfRule>
    <cfRule type="cellIs" dxfId="5030" priority="103" operator="between">
      <formula>"'D - Rejected "</formula>
      <formula>"'D - Rejected "</formula>
    </cfRule>
    <cfRule type="cellIs" dxfId="5029" priority="102" operator="between">
      <formula>"E - Review not Required - Proceed"</formula>
      <formula>"E - Review not Required - Proceed"</formula>
    </cfRule>
  </conditionalFormatting>
  <conditionalFormatting sqref="AD11">
    <cfRule type="cellIs" dxfId="5028" priority="93" operator="between">
      <formula>"D - Rejected "</formula>
      <formula>"D - Rejected "</formula>
    </cfRule>
    <cfRule type="cellIs" dxfId="5027" priority="95" operator="between">
      <formula>"A - Work May Proceed"</formula>
      <formula>"A - Work May Proceed"</formula>
    </cfRule>
    <cfRule type="cellIs" dxfId="5026" priority="96" operator="between">
      <formula>"C - Revise and Resubmit - Do Not Proceed"</formula>
      <formula>"C - Revise and Resubmit - Do Not Proceed"</formula>
    </cfRule>
    <cfRule type="cellIs" dxfId="5025" priority="97" stopIfTrue="1" operator="between">
      <formula>"B - Incorporate Comments - Proceed "</formula>
      <formula>"B - Incorporate Comments - Proceed "</formula>
    </cfRule>
    <cfRule type="cellIs" dxfId="5024" priority="94" operator="between">
      <formula>"CANCELLED"</formula>
      <formula>"CANCELLED"</formula>
    </cfRule>
    <cfRule type="cellIs" dxfId="5023" priority="82" operator="equal">
      <formula>"B - Incorporate Comments - Proceed"</formula>
    </cfRule>
    <cfRule type="cellIs" dxfId="5022" priority="83" operator="equal">
      <formula>"For Information"</formula>
    </cfRule>
    <cfRule type="cellIs" dxfId="5021" priority="84" operator="equal">
      <formula>"B - Incorporate Comments - Proceed "</formula>
    </cfRule>
    <cfRule type="cellIs" dxfId="5020" priority="85" operator="equal">
      <formula>"E - Review Not Required - Proceed"</formula>
    </cfRule>
    <cfRule type="cellIs" dxfId="5019" priority="86" operator="between">
      <formula>"E - Review not Required - Proceed"</formula>
      <formula>"E - Review not Required - Proceed"</formula>
    </cfRule>
    <cfRule type="cellIs" dxfId="5018" priority="87" operator="between">
      <formula>"'D - Rejected "</formula>
      <formula>"'D - Rejected "</formula>
    </cfRule>
    <cfRule type="cellIs" dxfId="5017" priority="88" operator="between">
      <formula>"C - Revise and Resubmit - Do Not Proceed"</formula>
      <formula>"C - Revise and Resubmit - Do Not Proceed"</formula>
    </cfRule>
    <cfRule type="cellIs" dxfId="5016" priority="89" operator="between">
      <formula>"B - Incorporate Comments - Proceed"</formula>
      <formula>"B - Incorporate Comments - Proceed"</formula>
    </cfRule>
    <cfRule type="cellIs" dxfId="5015" priority="90" operator="between">
      <formula>"A - Work May Proceed"</formula>
      <formula>"A - Work May Proceed"</formula>
    </cfRule>
    <cfRule type="cellIs" dxfId="5014" priority="91" operator="between">
      <formula>"B - Incorporate Comments - Proceed"</formula>
      <formula>"B - Incorporate Comments - Proceed"</formula>
    </cfRule>
    <cfRule type="cellIs" dxfId="5013" priority="92" operator="between">
      <formula>"E - Review not Required - Proceed"</formula>
      <formula>"E - Review not Required - Proceed"</formula>
    </cfRule>
  </conditionalFormatting>
  <conditionalFormatting sqref="AK11">
    <cfRule type="cellIs" dxfId="5012" priority="81" stopIfTrue="1" operator="between">
      <formula>"B - Incorporate Comments - Proceed "</formula>
      <formula>"B - Incorporate Comments - Proceed "</formula>
    </cfRule>
    <cfRule type="cellIs" dxfId="5011" priority="69" operator="equal">
      <formula>"E - Review Not Required - Proceed"</formula>
    </cfRule>
    <cfRule type="cellIs" dxfId="5010" priority="68" operator="equal">
      <formula>"B - Incorporate Comments - Proceed "</formula>
    </cfRule>
    <cfRule type="cellIs" dxfId="5009" priority="67" operator="equal">
      <formula>"For Information"</formula>
    </cfRule>
    <cfRule type="cellIs" dxfId="5008" priority="78" operator="between">
      <formula>"CANCELLED"</formula>
      <formula>"CANCELLED"</formula>
    </cfRule>
    <cfRule type="cellIs" dxfId="5007" priority="79" operator="between">
      <formula>"A - Work May Proceed"</formula>
      <formula>"A - Work May Proceed"</formula>
    </cfRule>
    <cfRule type="cellIs" dxfId="5006" priority="80" operator="between">
      <formula>"C - Revise and Resubmit - Do Not Proceed"</formula>
      <formula>"C - Revise and Resubmit - Do Not Proceed"</formula>
    </cfRule>
    <cfRule type="cellIs" dxfId="5005" priority="71" operator="between">
      <formula>"'D - Rejected "</formula>
      <formula>"'D - Rejected "</formula>
    </cfRule>
    <cfRule type="cellIs" dxfId="5004" priority="77" operator="between">
      <formula>"D - Rejected "</formula>
      <formula>"D - Rejected "</formula>
    </cfRule>
    <cfRule type="cellIs" dxfId="5003" priority="76" operator="between">
      <formula>"E - Review not Required - Proceed"</formula>
      <formula>"E - Review not Required - Proceed"</formula>
    </cfRule>
    <cfRule type="cellIs" dxfId="5002" priority="75" operator="between">
      <formula>"B - Incorporate Comments - Proceed"</formula>
      <formula>"B - Incorporate Comments - Proceed"</formula>
    </cfRule>
    <cfRule type="cellIs" dxfId="5001" priority="74" operator="between">
      <formula>"A - Work May Proceed"</formula>
      <formula>"A - Work May Proceed"</formula>
    </cfRule>
    <cfRule type="cellIs" dxfId="5000" priority="73" operator="between">
      <formula>"B - Incorporate Comments - Proceed"</formula>
      <formula>"B - Incorporate Comments - Proceed"</formula>
    </cfRule>
    <cfRule type="cellIs" dxfId="4999" priority="72" operator="between">
      <formula>"C - Revise and Resubmit - Do Not Proceed"</formula>
      <formula>"C - Revise and Resubmit - Do Not Proceed"</formula>
    </cfRule>
    <cfRule type="cellIs" dxfId="4998" priority="66" operator="equal">
      <formula>"B - Incorporate Comments - Proceed"</formula>
    </cfRule>
    <cfRule type="cellIs" dxfId="4997" priority="70" operator="between">
      <formula>"E - Review not Required - Proceed"</formula>
      <formula>"E - Review not Required - Proceed"</formula>
    </cfRule>
  </conditionalFormatting>
  <conditionalFormatting sqref="AR11">
    <cfRule type="cellIs" dxfId="4996" priority="22" operator="equal">
      <formula>"D - Rejected"</formula>
    </cfRule>
    <cfRule type="cellIs" dxfId="4995" priority="23" operator="equal">
      <formula>"B - Incorporate Comments - Proceed"</formula>
    </cfRule>
    <cfRule type="cellIs" dxfId="4994" priority="24" operator="equal">
      <formula>"C - Revise and Resubmit - Do Not Proceed"</formula>
    </cfRule>
    <cfRule type="cellIs" dxfId="4993" priority="21" operator="equal">
      <formula>"E - Review not Required - Proceed"</formula>
    </cfRule>
    <cfRule type="cellIs" dxfId="4992" priority="34" operator="between">
      <formula>"B - Incorporate Comments - Proceed"</formula>
      <formula>"B - Incorporate Comments - Proceed"</formula>
    </cfRule>
    <cfRule type="cellIs" dxfId="4991" priority="32" operator="between">
      <formula>"B - Incorporate Comments - Proceed"</formula>
      <formula>"B - Incorporate Comments - Proceed"</formula>
    </cfRule>
    <cfRule type="cellIs" dxfId="4990" priority="31" operator="between">
      <formula>"C - Revise and Resubmit - Do Not Proceed"</formula>
      <formula>"C - Revise and Resubmit - Do Not Proceed"</formula>
    </cfRule>
    <cfRule type="cellIs" dxfId="4989" priority="30" operator="between">
      <formula>"'D - Rejected "</formula>
      <formula>"'D - Rejected "</formula>
    </cfRule>
    <cfRule type="cellIs" dxfId="4988" priority="29" operator="between">
      <formula>"E - Review not Required - Proceed"</formula>
      <formula>"E - Review not Required - Proceed"</formula>
    </cfRule>
    <cfRule type="cellIs" dxfId="4987" priority="28" operator="equal">
      <formula>"E - Review Not Required - Proceed"</formula>
    </cfRule>
    <cfRule type="cellIs" dxfId="4986" priority="26" operator="equal">
      <formula>"For Information"</formula>
    </cfRule>
    <cfRule type="cellIs" dxfId="4985" priority="25" operator="equal">
      <formula>"A - Work May Proceed"</formula>
    </cfRule>
    <cfRule type="cellIs" dxfId="4984" priority="33" operator="between">
      <formula>"A - Work May Proceed"</formula>
      <formula>"A - Work May Proceed"</formula>
    </cfRule>
    <cfRule type="cellIs" dxfId="4983" priority="27" operator="equal">
      <formula>"B - Incorporate Comments - Proceed "</formula>
    </cfRule>
    <cfRule type="cellIs" dxfId="4982" priority="40" stopIfTrue="1" operator="between">
      <formula>"B - Incorporate Comments - Proceed "</formula>
      <formula>"B - Incorporate Comments - Proceed "</formula>
    </cfRule>
    <cfRule type="cellIs" dxfId="4981" priority="39" operator="between">
      <formula>"C - Revise and Resubmit - Do Not Proceed"</formula>
      <formula>"C - Revise and Resubmit - Do Not Proceed"</formula>
    </cfRule>
    <cfRule type="cellIs" dxfId="4980" priority="38" operator="between">
      <formula>"A - Work May Proceed"</formula>
      <formula>"A - Work May Proceed"</formula>
    </cfRule>
    <cfRule type="cellIs" dxfId="4979" priority="37" operator="between">
      <formula>"CANCELLED"</formula>
      <formula>"CANCELLED"</formula>
    </cfRule>
    <cfRule type="cellIs" dxfId="4978" priority="36" operator="between">
      <formula>"D - Rejected "</formula>
      <formula>"D - Rejected "</formula>
    </cfRule>
    <cfRule type="cellIs" dxfId="4977" priority="35" operator="between">
      <formula>"E - Review not Required - Proceed"</formula>
      <formula>"E - Review not Required - Proceed"</formula>
    </cfRule>
  </conditionalFormatting>
  <conditionalFormatting sqref="AY11">
    <cfRule type="cellIs" dxfId="4976" priority="60" stopIfTrue="1" operator="between">
      <formula>"B - Incorporate Comments - Proceed "</formula>
      <formula>"B - Incorporate Comments - Proceed "</formula>
    </cfRule>
    <cfRule type="cellIs" dxfId="4975" priority="59" operator="between">
      <formula>"C - Revise and Resubmit - Do Not Proceed"</formula>
      <formula>"C - Revise and Resubmit - Do Not Proceed"</formula>
    </cfRule>
    <cfRule type="cellIs" dxfId="4974" priority="58" operator="between">
      <formula>"A - Work May Proceed"</formula>
      <formula>"A - Work May Proceed"</formula>
    </cfRule>
    <cfRule type="cellIs" dxfId="4973" priority="57" operator="between">
      <formula>"CANCELLED"</formula>
      <formula>"CANCELLED"</formula>
    </cfRule>
    <cfRule type="cellIs" dxfId="4972" priority="56" operator="between">
      <formula>"D - Rejected "</formula>
      <formula>"D - Rejected "</formula>
    </cfRule>
    <cfRule type="cellIs" dxfId="4971" priority="55" operator="between">
      <formula>"E - Review not Required - Proceed"</formula>
      <formula>"E - Review not Required - Proceed"</formula>
    </cfRule>
    <cfRule type="cellIs" dxfId="4970" priority="54" operator="between">
      <formula>"B - Incorporate Comments - Proceed"</formula>
      <formula>"B - Incorporate Comments - Proceed"</formula>
    </cfRule>
    <cfRule type="cellIs" dxfId="4969" priority="53" operator="between">
      <formula>"A - Work May Proceed"</formula>
      <formula>"A - Work May Proceed"</formula>
    </cfRule>
    <cfRule type="cellIs" dxfId="4968" priority="47" operator="equal">
      <formula>"B - Incorporate Comments - Proceed "</formula>
    </cfRule>
    <cfRule type="cellIs" dxfId="4967" priority="46" operator="equal">
      <formula>"For Information"</formula>
    </cfRule>
    <cfRule type="cellIs" dxfId="4966" priority="45" operator="equal">
      <formula>"A - Work May Proceed"</formula>
    </cfRule>
    <cfRule type="cellIs" dxfId="4965" priority="44" operator="equal">
      <formula>"C - Revise and Resubmit - Do Not Proceed"</formula>
    </cfRule>
    <cfRule type="cellIs" dxfId="4964" priority="52" operator="between">
      <formula>"B - Incorporate Comments - Proceed"</formula>
      <formula>"B - Incorporate Comments - Proceed"</formula>
    </cfRule>
    <cfRule type="cellIs" dxfId="4963" priority="43" operator="equal">
      <formula>"B - Incorporate Comments - Proceed"</formula>
    </cfRule>
    <cfRule type="cellIs" dxfId="4962" priority="42" operator="equal">
      <formula>"D - Rejected"</formula>
    </cfRule>
    <cfRule type="cellIs" dxfId="4961" priority="51" operator="between">
      <formula>"C - Revise and Resubmit - Do Not Proceed"</formula>
      <formula>"C - Revise and Resubmit - Do Not Proceed"</formula>
    </cfRule>
    <cfRule type="cellIs" dxfId="4960" priority="41" operator="equal">
      <formula>"E - Review not Required - Proceed"</formula>
    </cfRule>
    <cfRule type="cellIs" dxfId="4959" priority="50" operator="between">
      <formula>"'D - Rejected "</formula>
      <formula>"'D - Rejected "</formula>
    </cfRule>
    <cfRule type="cellIs" dxfId="4958" priority="49" operator="between">
      <formula>"E - Review not Required - Proceed"</formula>
      <formula>"E - Review not Required - Proceed"</formula>
    </cfRule>
    <cfRule type="cellIs" dxfId="4957" priority="48" operator="equal">
      <formula>"E - Review Not Required - Proceed"</formula>
    </cfRule>
  </conditionalFormatting>
  <pageMargins left="0.7" right="0.7" top="0.75" bottom="0.75" header="0.3" footer="0.3"/>
  <pageSetup paperSize="8" scale="10" fitToHeight="0" orientation="landscape" r:id="rId1"/>
  <colBreaks count="1" manualBreakCount="1">
    <brk id="57" max="197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A7BD-F04C-49EC-941C-9542D3F8354E}">
  <sheetPr codeName="Sheet1">
    <tabColor theme="4"/>
    <pageSetUpPr fitToPage="1"/>
  </sheetPr>
  <dimension ref="A1:BF14"/>
  <sheetViews>
    <sheetView zoomScale="55" zoomScaleNormal="55" zoomScaleSheetLayoutView="70" workbookViewId="0">
      <pane ySplit="11" topLeftCell="A12" activePane="bottomLeft" state="frozen"/>
      <selection activeCell="A14" sqref="A14"/>
      <selection pane="bottomLeft" activeCell="I10" sqref="A10:XFD11"/>
    </sheetView>
  </sheetViews>
  <sheetFormatPr defaultColWidth="9.140625" defaultRowHeight="15" x14ac:dyDescent="0.25"/>
  <cols>
    <col min="1" max="1" width="22.85546875" style="454" customWidth="1"/>
    <col min="2" max="2" width="32" style="454" customWidth="1"/>
    <col min="3" max="3" width="24.5703125" style="454" customWidth="1"/>
    <col min="4" max="5" width="57.85546875" style="454" customWidth="1"/>
    <col min="6" max="6" width="77.7109375" style="455" bestFit="1" customWidth="1"/>
    <col min="7" max="7" width="29.28515625" style="454" customWidth="1"/>
    <col min="8" max="8" width="19.7109375" style="454" customWidth="1"/>
    <col min="9" max="9" width="33.7109375" style="455" customWidth="1"/>
    <col min="10" max="10" width="30.140625" style="456" customWidth="1"/>
    <col min="11" max="12" width="30.140625" style="455" customWidth="1"/>
    <col min="13" max="14" width="30.140625" style="456" customWidth="1"/>
    <col min="15" max="16" width="30.140625" style="454" customWidth="1"/>
    <col min="17" max="17" width="30.140625" style="457" customWidth="1"/>
    <col min="18" max="19" width="30.140625" style="454" customWidth="1"/>
    <col min="20" max="21" width="30.140625" style="457" customWidth="1"/>
    <col min="22" max="23" width="30.140625" style="454" customWidth="1"/>
    <col min="24" max="24" width="30.140625" style="457" customWidth="1"/>
    <col min="25" max="26" width="30.140625" style="454" customWidth="1"/>
    <col min="27" max="28" width="30.140625" style="457" customWidth="1"/>
    <col min="29" max="30" width="30.140625" style="454" customWidth="1"/>
    <col min="31" max="31" width="30.140625" style="457" customWidth="1"/>
    <col min="32" max="33" width="30.140625" style="454" customWidth="1"/>
    <col min="34" max="35" width="30.140625" style="457" customWidth="1"/>
    <col min="36" max="37" width="30.140625" style="454" customWidth="1"/>
    <col min="38" max="38" width="30.140625" style="457" customWidth="1"/>
    <col min="39" max="40" width="36.85546875" style="458" customWidth="1"/>
    <col min="41" max="56" width="30.140625" style="457" customWidth="1"/>
    <col min="57" max="57" width="32.85546875" style="454" customWidth="1"/>
    <col min="58" max="58" width="48.28515625" style="453" customWidth="1"/>
    <col min="59" max="16384" width="9.140625" style="454"/>
  </cols>
  <sheetData>
    <row r="1" spans="1:58" s="451" customFormat="1" ht="24" customHeight="1" x14ac:dyDescent="0.35">
      <c r="B1" s="170" t="s">
        <v>27</v>
      </c>
      <c r="C1" s="171" t="s">
        <v>26</v>
      </c>
      <c r="D1" s="171"/>
      <c r="E1" s="171"/>
      <c r="F1" s="172"/>
      <c r="G1" s="173"/>
      <c r="H1" s="548" t="s">
        <v>5496</v>
      </c>
      <c r="I1" s="549">
        <f ca="1">TODAY()</f>
        <v>46266</v>
      </c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7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173"/>
    </row>
    <row r="2" spans="1:58" s="451" customFormat="1" ht="24" customHeight="1" x14ac:dyDescent="0.35">
      <c r="B2" s="175" t="s">
        <v>3750</v>
      </c>
      <c r="C2" s="171" t="s">
        <v>31</v>
      </c>
      <c r="D2" s="171"/>
      <c r="E2" s="171"/>
      <c r="F2" s="172"/>
      <c r="G2" s="173"/>
      <c r="H2" s="548"/>
      <c r="I2" s="558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7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173"/>
    </row>
    <row r="3" spans="1:58" s="451" customFormat="1" ht="24" customHeight="1" x14ac:dyDescent="0.35">
      <c r="B3" s="175" t="s">
        <v>3751</v>
      </c>
      <c r="C3" s="176" t="s">
        <v>3987</v>
      </c>
      <c r="D3" s="171"/>
      <c r="E3" s="171"/>
      <c r="F3" s="172"/>
      <c r="G3" s="173"/>
      <c r="H3" s="173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7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173"/>
    </row>
    <row r="4" spans="1:58" s="451" customFormat="1" ht="24" customHeight="1" x14ac:dyDescent="0.35">
      <c r="B4" s="176"/>
      <c r="C4" s="177"/>
      <c r="D4" s="177"/>
      <c r="E4" s="177"/>
      <c r="F4" s="178"/>
      <c r="G4" s="173"/>
      <c r="H4" s="173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7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173"/>
    </row>
    <row r="5" spans="1:58" s="451" customFormat="1" ht="29.25" customHeight="1" x14ac:dyDescent="0.35"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2" t="s">
        <v>331</v>
      </c>
      <c r="J5" s="63" t="s">
        <v>508</v>
      </c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7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173"/>
    </row>
    <row r="6" spans="1:58" s="451" customFormat="1" ht="24" customHeight="1" x14ac:dyDescent="0.35">
      <c r="B6" s="64">
        <f>COUNTIF(B11:B14,"A - Work May Proceed")</f>
        <v>1</v>
      </c>
      <c r="C6" s="65">
        <f>COUNTIF(B11:B14,"B- Incorporate Comments - Proceed")</f>
        <v>0</v>
      </c>
      <c r="D6" s="65">
        <f>COUNTIF(B11:B14,"C - Revise and Resubmit - Do Not Proceed")</f>
        <v>0</v>
      </c>
      <c r="E6" s="65">
        <f>COUNTIF(B11:B14,"D - Rejected")</f>
        <v>0</v>
      </c>
      <c r="F6" s="65">
        <f>COUNTIF(B11:B14,"E - Review not Required - Proceed")</f>
        <v>0</v>
      </c>
      <c r="G6" s="66">
        <f>COUNTIF(B11:B14,"UR")</f>
        <v>1</v>
      </c>
      <c r="H6" s="66">
        <f>COUNTIF(B11:B14,"FA")</f>
        <v>0</v>
      </c>
      <c r="I6" s="66">
        <f>COUNTIF(B11:B14,"Terminated")</f>
        <v>0</v>
      </c>
      <c r="J6" s="66">
        <f>COUNTIF(B11:B14,"Cancelled")</f>
        <v>0</v>
      </c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7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173"/>
    </row>
    <row r="7" spans="1:58" s="451" customFormat="1" ht="24" customHeight="1" x14ac:dyDescent="0.35">
      <c r="B7" s="67"/>
      <c r="C7" s="68"/>
      <c r="D7" s="69"/>
      <c r="E7" s="70"/>
      <c r="F7" s="70"/>
      <c r="G7" s="71"/>
      <c r="H7" s="70"/>
      <c r="I7" s="7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173"/>
    </row>
    <row r="8" spans="1:58" s="451" customFormat="1" ht="24" customHeight="1" x14ac:dyDescent="0.35">
      <c r="B8" s="72" t="s">
        <v>509</v>
      </c>
      <c r="C8" s="73">
        <f>SUM(B6:J6)</f>
        <v>2</v>
      </c>
      <c r="D8" s="69"/>
      <c r="E8" s="70"/>
      <c r="F8" s="70"/>
      <c r="G8" s="74"/>
      <c r="H8" s="75"/>
      <c r="I8" s="76"/>
      <c r="J8" s="75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7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173"/>
    </row>
    <row r="9" spans="1:58" s="451" customFormat="1" ht="24" customHeight="1" thickBot="1" x14ac:dyDescent="0.4">
      <c r="B9" s="176"/>
      <c r="C9" s="177"/>
      <c r="D9" s="177"/>
      <c r="E9" s="177"/>
      <c r="F9" s="178"/>
      <c r="G9" s="173"/>
      <c r="H9" s="173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7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173"/>
    </row>
    <row r="10" spans="1:58" s="405" customFormat="1" ht="36.75" customHeight="1" x14ac:dyDescent="0.2">
      <c r="A10" s="559" t="s">
        <v>3259</v>
      </c>
      <c r="B10" s="554" t="s">
        <v>17</v>
      </c>
      <c r="C10" s="556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7"/>
      <c r="D11" s="557"/>
      <c r="E11" s="557"/>
      <c r="F11" s="557"/>
      <c r="G11" s="553"/>
      <c r="H11" s="540"/>
      <c r="I11" s="46" t="s">
        <v>0</v>
      </c>
      <c r="J11" s="52" t="s">
        <v>9</v>
      </c>
      <c r="K11" s="46" t="s">
        <v>11</v>
      </c>
      <c r="L11" s="89" t="s">
        <v>939</v>
      </c>
      <c r="M11" s="52" t="s">
        <v>6</v>
      </c>
      <c r="N11" s="106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452" customFormat="1" ht="42" customHeight="1" x14ac:dyDescent="0.25">
      <c r="A12" s="459" t="s">
        <v>3256</v>
      </c>
      <c r="B12" s="56" t="s">
        <v>5</v>
      </c>
      <c r="C12" s="56" t="s">
        <v>208</v>
      </c>
      <c r="D12" s="16" t="s">
        <v>3986</v>
      </c>
      <c r="E12" s="11" t="s">
        <v>3985</v>
      </c>
      <c r="F12" s="16" t="s">
        <v>4078</v>
      </c>
      <c r="G12" s="16" t="s">
        <v>30</v>
      </c>
      <c r="H12" s="16" t="s">
        <v>3987</v>
      </c>
      <c r="I12" s="83" t="s">
        <v>18</v>
      </c>
      <c r="J12" s="179">
        <v>45887</v>
      </c>
      <c r="K12" s="56" t="s">
        <v>3988</v>
      </c>
      <c r="L12" s="179">
        <f>J12+7</f>
        <v>45894</v>
      </c>
      <c r="M12" s="179">
        <v>45900</v>
      </c>
      <c r="N12" s="180">
        <f>M12-L12</f>
        <v>6</v>
      </c>
      <c r="O12" s="16" t="s">
        <v>4019</v>
      </c>
      <c r="P12" s="56" t="s">
        <v>5</v>
      </c>
      <c r="Q12" s="181">
        <v>46197</v>
      </c>
      <c r="R12" s="16" t="s">
        <v>7084</v>
      </c>
      <c r="S12" s="179">
        <f>Q12+7</f>
        <v>46204</v>
      </c>
      <c r="T12" s="179">
        <v>46209</v>
      </c>
      <c r="U12" s="180">
        <f>T12-S12</f>
        <v>5</v>
      </c>
      <c r="V12" s="16" t="s">
        <v>7089</v>
      </c>
      <c r="W12" s="16"/>
      <c r="X12" s="181"/>
      <c r="Y12" s="16"/>
      <c r="Z12" s="16"/>
      <c r="AA12" s="181"/>
      <c r="AB12" s="181"/>
      <c r="AC12" s="16"/>
      <c r="AD12" s="16"/>
      <c r="AE12" s="181"/>
      <c r="AF12" s="16"/>
      <c r="AG12" s="16"/>
      <c r="AH12" s="181"/>
      <c r="AI12" s="181"/>
      <c r="AJ12" s="16"/>
      <c r="AK12" s="16"/>
      <c r="AL12" s="17"/>
      <c r="AM12" s="11"/>
      <c r="AN12" s="11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1"/>
      <c r="BF12" s="460"/>
    </row>
    <row r="13" spans="1:58" s="452" customFormat="1" ht="42" customHeight="1" x14ac:dyDescent="0.25">
      <c r="A13" s="459" t="s">
        <v>3256</v>
      </c>
      <c r="B13" s="56" t="s">
        <v>4</v>
      </c>
      <c r="C13" s="56" t="s">
        <v>208</v>
      </c>
      <c r="D13" s="16" t="s">
        <v>7369</v>
      </c>
      <c r="E13" s="11" t="s">
        <v>7370</v>
      </c>
      <c r="F13" s="16" t="s">
        <v>7371</v>
      </c>
      <c r="G13" s="16" t="s">
        <v>30</v>
      </c>
      <c r="H13" s="16" t="s">
        <v>3987</v>
      </c>
      <c r="I13" s="55" t="s">
        <v>18</v>
      </c>
      <c r="J13" s="179">
        <v>46233</v>
      </c>
      <c r="K13" s="150" t="s">
        <v>7372</v>
      </c>
      <c r="L13" s="179">
        <f>J13+7</f>
        <v>46240</v>
      </c>
      <c r="M13" s="179">
        <v>46247</v>
      </c>
      <c r="N13" s="180">
        <f>M13-L13</f>
        <v>7</v>
      </c>
      <c r="O13" s="16" t="s">
        <v>7378</v>
      </c>
      <c r="P13" s="16" t="s">
        <v>4</v>
      </c>
      <c r="Q13" s="181">
        <v>46251</v>
      </c>
      <c r="R13" s="16" t="s">
        <v>7476</v>
      </c>
      <c r="S13" s="179">
        <f>Q13+7</f>
        <v>46258</v>
      </c>
      <c r="T13" s="181"/>
      <c r="U13" s="180">
        <f>T13-S13</f>
        <v>-46258</v>
      </c>
      <c r="V13" s="16" t="s">
        <v>7478</v>
      </c>
      <c r="W13" s="16"/>
      <c r="X13" s="181"/>
      <c r="Y13" s="16"/>
      <c r="Z13" s="16"/>
      <c r="AA13" s="181"/>
      <c r="AB13" s="181"/>
      <c r="AC13" s="16"/>
      <c r="AD13" s="16"/>
      <c r="AE13" s="181"/>
      <c r="AF13" s="16"/>
      <c r="AG13" s="16"/>
      <c r="AH13" s="181"/>
      <c r="AI13" s="181"/>
      <c r="AJ13" s="16"/>
      <c r="AK13" s="16"/>
      <c r="AL13" s="17"/>
      <c r="AM13" s="11"/>
      <c r="AN13" s="11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1"/>
      <c r="BF13" s="461"/>
    </row>
    <row r="14" spans="1:58" s="452" customFormat="1" ht="42" customHeight="1" thickBot="1" x14ac:dyDescent="0.3">
      <c r="A14" s="462"/>
      <c r="B14" s="371"/>
      <c r="C14" s="371"/>
      <c r="D14" s="371"/>
      <c r="E14" s="371"/>
      <c r="F14" s="262"/>
      <c r="G14" s="262"/>
      <c r="H14" s="262"/>
      <c r="I14" s="262"/>
      <c r="J14" s="463"/>
      <c r="K14" s="444"/>
      <c r="L14" s="444"/>
      <c r="M14" s="463"/>
      <c r="N14" s="463"/>
      <c r="O14" s="262"/>
      <c r="P14" s="262"/>
      <c r="Q14" s="464"/>
      <c r="R14" s="262"/>
      <c r="S14" s="262"/>
      <c r="T14" s="464"/>
      <c r="U14" s="464"/>
      <c r="V14" s="262"/>
      <c r="W14" s="262"/>
      <c r="X14" s="464"/>
      <c r="Y14" s="262"/>
      <c r="Z14" s="262"/>
      <c r="AA14" s="464"/>
      <c r="AB14" s="464"/>
      <c r="AC14" s="262"/>
      <c r="AD14" s="262"/>
      <c r="AE14" s="464"/>
      <c r="AF14" s="262"/>
      <c r="AG14" s="262"/>
      <c r="AH14" s="464"/>
      <c r="AI14" s="464"/>
      <c r="AJ14" s="262"/>
      <c r="AK14" s="262"/>
      <c r="AL14" s="376"/>
      <c r="AM14" s="371"/>
      <c r="AN14" s="371"/>
      <c r="AO14" s="376"/>
      <c r="AP14" s="376"/>
      <c r="AQ14" s="376"/>
      <c r="AR14" s="376"/>
      <c r="AS14" s="376"/>
      <c r="AT14" s="376"/>
      <c r="AU14" s="376"/>
      <c r="AV14" s="376"/>
      <c r="AW14" s="376"/>
      <c r="AX14" s="376"/>
      <c r="AY14" s="376"/>
      <c r="AZ14" s="376"/>
      <c r="BA14" s="376"/>
      <c r="BB14" s="376"/>
      <c r="BC14" s="376"/>
      <c r="BD14" s="376"/>
      <c r="BE14" s="371"/>
      <c r="BF14" s="465"/>
    </row>
  </sheetData>
  <autoFilter ref="A11:BF11" xr:uid="{710BA7BD-F04C-49EC-941C-9542D3F8354E}"/>
  <mergeCells count="18">
    <mergeCell ref="A10:A11"/>
    <mergeCell ref="H1:H2"/>
    <mergeCell ref="I1:I2"/>
    <mergeCell ref="AR10:AX10"/>
    <mergeCell ref="AY10:BE10"/>
    <mergeCell ref="G10:G11"/>
    <mergeCell ref="B10:B11"/>
    <mergeCell ref="C10:C11"/>
    <mergeCell ref="D10:D11"/>
    <mergeCell ref="E10:E11"/>
    <mergeCell ref="F10:F11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2:XFD12 A13:J13 L13:XFD13 A14:XFD1048576">
    <cfRule type="cellIs" dxfId="4956" priority="134" operator="equal">
      <formula>"C - Revise and Resubmit - Do Not Proceed"</formula>
    </cfRule>
    <cfRule type="cellIs" dxfId="4955" priority="133" operator="equal">
      <formula>"B- Incorporate Comments - Proceed"</formula>
    </cfRule>
    <cfRule type="cellIs" dxfId="4954" priority="132" operator="equal">
      <formula>"D - Rejected"</formula>
    </cfRule>
    <cfRule type="cellIs" dxfId="4953" priority="131" operator="equal">
      <formula>"E - Review not Required - Proceed"</formula>
    </cfRule>
    <cfRule type="cellIs" dxfId="4952" priority="150" operator="equal">
      <formula>"A - Work May Proceed"</formula>
    </cfRule>
  </conditionalFormatting>
  <conditionalFormatting sqref="B1:G2 V1:BF9 B3:H4 B9:H9">
    <cfRule type="cellIs" dxfId="4951" priority="194" operator="equal">
      <formula>"C - Revise and Resubmit - Do Not Proceed"</formula>
    </cfRule>
    <cfRule type="cellIs" dxfId="4950" priority="195" operator="equal">
      <formula>"A - Work May Proceed"</formula>
    </cfRule>
    <cfRule type="cellIs" dxfId="4949" priority="191" operator="equal">
      <formula>"E - Review not Required - Proceed"</formula>
    </cfRule>
    <cfRule type="cellIs" dxfId="4948" priority="192" operator="equal">
      <formula>"D - Rejected"</formula>
    </cfRule>
    <cfRule type="cellIs" dxfId="4947" priority="193" operator="equal">
      <formula>"B- Incorporate Comments - Proceed"</formula>
    </cfRule>
  </conditionalFormatting>
  <conditionalFormatting sqref="D11:BE11 B10:BF10 A10:A11 B11">
    <cfRule type="cellIs" dxfId="4946" priority="42" operator="equal">
      <formula>"D - Rejected"</formula>
    </cfRule>
    <cfRule type="cellIs" dxfId="4945" priority="41" operator="equal">
      <formula>"E - Review not Required - Proceed"</formula>
    </cfRule>
    <cfRule type="cellIs" dxfId="4944" priority="43" operator="equal">
      <formula>"B- Incorporate Comments - Proceed"</formula>
    </cfRule>
    <cfRule type="cellIs" dxfId="4943" priority="44" operator="equal">
      <formula>"C - Revise and Resubmit - Do Not Proceed"</formula>
    </cfRule>
    <cfRule type="cellIs" dxfId="4942" priority="45" operator="equal">
      <formula>"A - Work May Proceed"</formula>
    </cfRule>
  </conditionalFormatting>
  <conditionalFormatting sqref="I11">
    <cfRule type="cellIs" dxfId="4941" priority="118" operator="between">
      <formula>"A - Work May Proceed"</formula>
      <formula>"A - Work May Proceed"</formula>
    </cfRule>
    <cfRule type="cellIs" dxfId="4940" priority="117" operator="between">
      <formula>"B - Incorporate Comments - Proceed"</formula>
      <formula>"B - Incorporate Comments - Proceed"</formula>
    </cfRule>
    <cfRule type="cellIs" dxfId="4939" priority="123" operator="between">
      <formula>"A - Work May Proceed"</formula>
      <formula>"A - Work May Proceed"</formula>
    </cfRule>
    <cfRule type="cellIs" dxfId="4938" priority="125" stopIfTrue="1" operator="between">
      <formula>"B - Incorporate Comments - Proceed "</formula>
      <formula>"B - Incorporate Comments - Proceed "</formula>
    </cfRule>
    <cfRule type="cellIs" dxfId="4937" priority="114" operator="between">
      <formula>"E - Review not Required - Proceed"</formula>
      <formula>"E - Review not Required - Proceed"</formula>
    </cfRule>
    <cfRule type="cellIs" dxfId="4936" priority="113" operator="equal">
      <formula>"E - Review Not Required - Proceed"</formula>
    </cfRule>
    <cfRule type="cellIs" dxfId="4935" priority="112" operator="equal">
      <formula>"B - Incorporate Comments - Proceed "</formula>
    </cfRule>
    <cfRule type="cellIs" dxfId="4934" priority="111" operator="equal">
      <formula>"For Information"</formula>
    </cfRule>
    <cfRule type="cellIs" dxfId="4933" priority="110" operator="equal">
      <formula>"B - Incorporate Comments - Proceed"</formula>
    </cfRule>
    <cfRule type="cellIs" dxfId="4932" priority="116" operator="between">
      <formula>"C - Revise and Resubmit - Do Not Proceed"</formula>
      <formula>"C - Revise and Resubmit - Do Not Proceed"</formula>
    </cfRule>
    <cfRule type="cellIs" dxfId="4931" priority="124" operator="between">
      <formula>"C - Revise and Resubmit - Do Not Proceed"</formula>
      <formula>"C - Revise and Resubmit - Do Not Proceed"</formula>
    </cfRule>
    <cfRule type="cellIs" dxfId="4930" priority="122" operator="between">
      <formula>"CANCELLED"</formula>
      <formula>"CANCELLED"</formula>
    </cfRule>
    <cfRule type="cellIs" dxfId="4929" priority="121" operator="between">
      <formula>"D - Rejected "</formula>
      <formula>"D - Rejected "</formula>
    </cfRule>
    <cfRule type="cellIs" dxfId="4928" priority="120" operator="between">
      <formula>"E - Review not Required - Proceed"</formula>
      <formula>"E - Review not Required - Proceed"</formula>
    </cfRule>
    <cfRule type="cellIs" dxfId="4927" priority="119" operator="between">
      <formula>"B - Incorporate Comments - Proceed"</formula>
      <formula>"B - Incorporate Comments - Proceed"</formula>
    </cfRule>
    <cfRule type="cellIs" dxfId="4926" priority="115" operator="between">
      <formula>"'D - Rejected "</formula>
      <formula>"'D - Rejected "</formula>
    </cfRule>
  </conditionalFormatting>
  <conditionalFormatting sqref="J5:J6 B5:I7 B8:J8">
    <cfRule type="cellIs" dxfId="4925" priority="142" operator="equal">
      <formula>"D - Rejected"</formula>
    </cfRule>
    <cfRule type="cellIs" dxfId="4924" priority="143" operator="equal">
      <formula>"B- Incorporate Comments - Proceed"</formula>
    </cfRule>
    <cfRule type="cellIs" dxfId="4923" priority="144" operator="equal">
      <formula>"C - Revise and Resubmit - Do Not Proceed"</formula>
    </cfRule>
    <cfRule type="cellIs" dxfId="4922" priority="141" operator="equal">
      <formula>"E - Review not Required - Proceed"</formula>
    </cfRule>
    <cfRule type="cellIs" dxfId="4921" priority="145" stopIfTrue="1" operator="equal">
      <formula>"A - Work May Proceed"</formula>
    </cfRule>
  </conditionalFormatting>
  <conditionalFormatting sqref="P11">
    <cfRule type="cellIs" dxfId="4920" priority="97" operator="equal">
      <formula>"E - Review Not Required - Proceed"</formula>
    </cfRule>
    <cfRule type="cellIs" dxfId="4919" priority="96" operator="equal">
      <formula>"B - Incorporate Comments - Proceed "</formula>
    </cfRule>
    <cfRule type="cellIs" dxfId="4918" priority="95" operator="equal">
      <formula>"For Information"</formula>
    </cfRule>
    <cfRule type="cellIs" dxfId="4917" priority="94" operator="equal">
      <formula>"B - Incorporate Comments - Proceed"</formula>
    </cfRule>
    <cfRule type="cellIs" dxfId="4916" priority="109" stopIfTrue="1" operator="between">
      <formula>"B - Incorporate Comments - Proceed "</formula>
      <formula>"B - Incorporate Comments - Proceed "</formula>
    </cfRule>
    <cfRule type="cellIs" dxfId="4915" priority="108" operator="between">
      <formula>"C - Revise and Resubmit - Do Not Proceed"</formula>
      <formula>"C - Revise and Resubmit - Do Not Proceed"</formula>
    </cfRule>
    <cfRule type="cellIs" dxfId="4914" priority="99" operator="between">
      <formula>"'D - Rejected "</formula>
      <formula>"'D - Rejected "</formula>
    </cfRule>
    <cfRule type="cellIs" dxfId="4913" priority="105" operator="between">
      <formula>"D - Rejected "</formula>
      <formula>"D - Rejected "</formula>
    </cfRule>
    <cfRule type="cellIs" dxfId="4912" priority="104" operator="between">
      <formula>"E - Review not Required - Proceed"</formula>
      <formula>"E - Review not Required - Proceed"</formula>
    </cfRule>
    <cfRule type="cellIs" dxfId="4911" priority="106" operator="between">
      <formula>"CANCELLED"</formula>
      <formula>"CANCELLED"</formula>
    </cfRule>
    <cfRule type="cellIs" dxfId="4910" priority="103" operator="between">
      <formula>"B - Incorporate Comments - Proceed"</formula>
      <formula>"B - Incorporate Comments - Proceed"</formula>
    </cfRule>
    <cfRule type="cellIs" dxfId="4909" priority="102" operator="between">
      <formula>"A - Work May Proceed"</formula>
      <formula>"A - Work May Proceed"</formula>
    </cfRule>
    <cfRule type="cellIs" dxfId="4908" priority="101" operator="between">
      <formula>"B - Incorporate Comments - Proceed"</formula>
      <formula>"B - Incorporate Comments - Proceed"</formula>
    </cfRule>
    <cfRule type="cellIs" dxfId="4907" priority="100" operator="between">
      <formula>"C - Revise and Resubmit - Do Not Proceed"</formula>
      <formula>"C - Revise and Resubmit - Do Not Proceed"</formula>
    </cfRule>
    <cfRule type="cellIs" dxfId="4906" priority="107" operator="between">
      <formula>"A - Work May Proceed"</formula>
      <formula>"A - Work May Proceed"</formula>
    </cfRule>
    <cfRule type="cellIs" dxfId="4905" priority="98" operator="between">
      <formula>"E - Review not Required - Proceed"</formula>
      <formula>"E - Review not Required - Proceed"</formula>
    </cfRule>
  </conditionalFormatting>
  <conditionalFormatting sqref="W11">
    <cfRule type="cellIs" dxfId="4904" priority="85" operator="between">
      <formula>"B - Incorporate Comments - Proceed"</formula>
      <formula>"B - Incorporate Comments - Proceed"</formula>
    </cfRule>
    <cfRule type="cellIs" dxfId="4903" priority="88" operator="between">
      <formula>"E - Review not Required - Proceed"</formula>
      <formula>"E - Review not Required - Proceed"</formula>
    </cfRule>
    <cfRule type="cellIs" dxfId="4902" priority="84" operator="between">
      <formula>"C - Revise and Resubmit - Do Not Proceed"</formula>
      <formula>"C - Revise and Resubmit - Do Not Proceed"</formula>
    </cfRule>
    <cfRule type="cellIs" dxfId="4901" priority="83" operator="between">
      <formula>"'D - Rejected "</formula>
      <formula>"'D - Rejected "</formula>
    </cfRule>
    <cfRule type="cellIs" dxfId="4900" priority="82" operator="between">
      <formula>"E - Review not Required - Proceed"</formula>
      <formula>"E - Review not Required - Proceed"</formula>
    </cfRule>
    <cfRule type="cellIs" dxfId="4899" priority="81" operator="equal">
      <formula>"E - Review Not Required - Proceed"</formula>
    </cfRule>
    <cfRule type="cellIs" dxfId="4898" priority="80" operator="equal">
      <formula>"B - Incorporate Comments - Proceed "</formula>
    </cfRule>
    <cfRule type="cellIs" dxfId="4897" priority="86" operator="between">
      <formula>"A - Work May Proceed"</formula>
      <formula>"A - Work May Proceed"</formula>
    </cfRule>
    <cfRule type="cellIs" dxfId="4896" priority="78" operator="equal">
      <formula>"B - Incorporate Comments - Proceed"</formula>
    </cfRule>
    <cfRule type="cellIs" dxfId="4895" priority="92" operator="between">
      <formula>"C - Revise and Resubmit - Do Not Proceed"</formula>
      <formula>"C - Revise and Resubmit - Do Not Proceed"</formula>
    </cfRule>
    <cfRule type="cellIs" dxfId="4894" priority="91" operator="between">
      <formula>"A - Work May Proceed"</formula>
      <formula>"A - Work May Proceed"</formula>
    </cfRule>
    <cfRule type="cellIs" dxfId="4893" priority="90" operator="between">
      <formula>"CANCELLED"</formula>
      <formula>"CANCELLED"</formula>
    </cfRule>
    <cfRule type="cellIs" dxfId="4892" priority="89" operator="between">
      <formula>"D - Rejected "</formula>
      <formula>"D - Rejected "</formula>
    </cfRule>
    <cfRule type="cellIs" dxfId="4891" priority="87" operator="between">
      <formula>"B - Incorporate Comments - Proceed"</formula>
      <formula>"B - Incorporate Comments - Proceed"</formula>
    </cfRule>
    <cfRule type="cellIs" dxfId="4890" priority="93" stopIfTrue="1" operator="between">
      <formula>"B - Incorporate Comments - Proceed "</formula>
      <formula>"B - Incorporate Comments - Proceed "</formula>
    </cfRule>
    <cfRule type="cellIs" dxfId="4889" priority="79" operator="equal">
      <formula>"For Information"</formula>
    </cfRule>
  </conditionalFormatting>
  <conditionalFormatting sqref="AD11">
    <cfRule type="cellIs" dxfId="4888" priority="69" operator="between">
      <formula>"B - Incorporate Comments - Proceed"</formula>
      <formula>"B - Incorporate Comments - Proceed"</formula>
    </cfRule>
    <cfRule type="cellIs" dxfId="4887" priority="70" operator="between">
      <formula>"A - Work May Proceed"</formula>
      <formula>"A - Work May Proceed"</formula>
    </cfRule>
    <cfRule type="cellIs" dxfId="4886" priority="71" operator="between">
      <formula>"B - Incorporate Comments - Proceed"</formula>
      <formula>"B - Incorporate Comments - Proceed"</formula>
    </cfRule>
    <cfRule type="cellIs" dxfId="4885" priority="72" operator="between">
      <formula>"E - Review not Required - Proceed"</formula>
      <formula>"E - Review not Required - Proceed"</formula>
    </cfRule>
    <cfRule type="cellIs" dxfId="4884" priority="73" operator="between">
      <formula>"D - Rejected "</formula>
      <formula>"D - Rejected "</formula>
    </cfRule>
    <cfRule type="cellIs" dxfId="4883" priority="74" operator="between">
      <formula>"CANCELLED"</formula>
      <formula>"CANCELLED"</formula>
    </cfRule>
    <cfRule type="cellIs" dxfId="4882" priority="75" operator="between">
      <formula>"A - Work May Proceed"</formula>
      <formula>"A - Work May Proceed"</formula>
    </cfRule>
    <cfRule type="cellIs" dxfId="4881" priority="76" operator="between">
      <formula>"C - Revise and Resubmit - Do Not Proceed"</formula>
      <formula>"C - Revise and Resubmit - Do Not Proceed"</formula>
    </cfRule>
    <cfRule type="cellIs" dxfId="4880" priority="77" stopIfTrue="1" operator="between">
      <formula>"B - Incorporate Comments - Proceed "</formula>
      <formula>"B - Incorporate Comments - Proceed "</formula>
    </cfRule>
    <cfRule type="cellIs" dxfId="4879" priority="62" operator="equal">
      <formula>"B - Incorporate Comments - Proceed"</formula>
    </cfRule>
    <cfRule type="cellIs" dxfId="4878" priority="63" operator="equal">
      <formula>"For Information"</formula>
    </cfRule>
    <cfRule type="cellIs" dxfId="4877" priority="64" operator="equal">
      <formula>"B - Incorporate Comments - Proceed "</formula>
    </cfRule>
    <cfRule type="cellIs" dxfId="4876" priority="65" operator="equal">
      <formula>"E - Review Not Required - Proceed"</formula>
    </cfRule>
    <cfRule type="cellIs" dxfId="4875" priority="66" operator="between">
      <formula>"E - Review not Required - Proceed"</formula>
      <formula>"E - Review not Required - Proceed"</formula>
    </cfRule>
    <cfRule type="cellIs" dxfId="4874" priority="67" operator="between">
      <formula>"'D - Rejected "</formula>
      <formula>"'D - Rejected "</formula>
    </cfRule>
    <cfRule type="cellIs" dxfId="4873" priority="68" operator="between">
      <formula>"C - Revise and Resubmit - Do Not Proceed"</formula>
      <formula>"C - Revise and Resubmit - Do Not Proceed"</formula>
    </cfRule>
  </conditionalFormatting>
  <conditionalFormatting sqref="AK11">
    <cfRule type="cellIs" dxfId="4872" priority="53" operator="between">
      <formula>"B - Incorporate Comments - Proceed"</formula>
      <formula>"B - Incorporate Comments - Proceed"</formula>
    </cfRule>
    <cfRule type="cellIs" dxfId="4871" priority="52" operator="between">
      <formula>"C - Revise and Resubmit - Do Not Proceed"</formula>
      <formula>"C - Revise and Resubmit - Do Not Proceed"</formula>
    </cfRule>
    <cfRule type="cellIs" dxfId="4870" priority="51" operator="between">
      <formula>"'D - Rejected "</formula>
      <formula>"'D - Rejected "</formula>
    </cfRule>
    <cfRule type="cellIs" dxfId="4869" priority="54" operator="between">
      <formula>"A - Work May Proceed"</formula>
      <formula>"A - Work May Proceed"</formula>
    </cfRule>
    <cfRule type="cellIs" dxfId="4868" priority="50" operator="between">
      <formula>"E - Review not Required - Proceed"</formula>
      <formula>"E - Review not Required - Proceed"</formula>
    </cfRule>
    <cfRule type="cellIs" dxfId="4867" priority="49" operator="equal">
      <formula>"E - Review Not Required - Proceed"</formula>
    </cfRule>
    <cfRule type="cellIs" dxfId="4866" priority="48" operator="equal">
      <formula>"B - Incorporate Comments - Proceed "</formula>
    </cfRule>
    <cfRule type="cellIs" dxfId="4865" priority="47" operator="equal">
      <formula>"For Information"</formula>
    </cfRule>
    <cfRule type="cellIs" dxfId="4864" priority="46" operator="equal">
      <formula>"B - Incorporate Comments - Proceed"</formula>
    </cfRule>
    <cfRule type="cellIs" dxfId="4863" priority="58" operator="between">
      <formula>"CANCELLED"</formula>
      <formula>"CANCELLED"</formula>
    </cfRule>
    <cfRule type="cellIs" dxfId="4862" priority="59" operator="between">
      <formula>"A - Work May Proceed"</formula>
      <formula>"A - Work May Proceed"</formula>
    </cfRule>
    <cfRule type="cellIs" dxfId="4861" priority="60" operator="between">
      <formula>"C - Revise and Resubmit - Do Not Proceed"</formula>
      <formula>"C - Revise and Resubmit - Do Not Proceed"</formula>
    </cfRule>
    <cfRule type="cellIs" dxfId="4860" priority="61" stopIfTrue="1" operator="between">
      <formula>"B - Incorporate Comments - Proceed "</formula>
      <formula>"B - Incorporate Comments - Proceed "</formula>
    </cfRule>
    <cfRule type="cellIs" dxfId="4859" priority="56" operator="between">
      <formula>"E - Review not Required - Proceed"</formula>
      <formula>"E - Review not Required - Proceed"</formula>
    </cfRule>
    <cfRule type="cellIs" dxfId="4858" priority="55" operator="between">
      <formula>"B - Incorporate Comments - Proceed"</formula>
      <formula>"B - Incorporate Comments - Proceed"</formula>
    </cfRule>
    <cfRule type="cellIs" dxfId="4857" priority="57" operator="between">
      <formula>"D - Rejected "</formula>
      <formula>"D - Rejected "</formula>
    </cfRule>
  </conditionalFormatting>
  <conditionalFormatting sqref="AR11">
    <cfRule type="cellIs" dxfId="4856" priority="11" operator="between">
      <formula>"C - Revise and Resubmit - Do Not Proceed"</formula>
      <formula>"C - Revise and Resubmit - Do Not Proceed"</formula>
    </cfRule>
    <cfRule type="cellIs" dxfId="4855" priority="18" operator="between">
      <formula>"A - Work May Proceed"</formula>
      <formula>"A - Work May Proceed"</formula>
    </cfRule>
    <cfRule type="cellIs" dxfId="4854" priority="10" operator="between">
      <formula>"'D - Rejected "</formula>
      <formula>"'D - Rejected "</formula>
    </cfRule>
    <cfRule type="cellIs" dxfId="4853" priority="9" operator="between">
      <formula>"E - Review not Required - Proceed"</formula>
      <formula>"E - Review not Required - Proceed"</formula>
    </cfRule>
    <cfRule type="cellIs" dxfId="4852" priority="7" operator="equal">
      <formula>"B - Incorporate Comments - Proceed "</formula>
    </cfRule>
    <cfRule type="cellIs" dxfId="4851" priority="6" operator="equal">
      <formula>"For Information"</formula>
    </cfRule>
    <cfRule type="cellIs" dxfId="4850" priority="5" operator="equal">
      <formula>"A - Work May Proceed"</formula>
    </cfRule>
    <cfRule type="cellIs" dxfId="4849" priority="4" operator="equal">
      <formula>"C - Revise and Resubmit - Do Not Proceed"</formula>
    </cfRule>
    <cfRule type="cellIs" dxfId="4848" priority="3" operator="equal">
      <formula>"B - Incorporate Comments - Proceed"</formula>
    </cfRule>
    <cfRule type="cellIs" dxfId="4847" priority="2" operator="equal">
      <formula>"D - Rejected"</formula>
    </cfRule>
    <cfRule type="cellIs" dxfId="4846" priority="1" operator="equal">
      <formula>"E - Review not Required - Proceed"</formula>
    </cfRule>
    <cfRule type="cellIs" dxfId="4845" priority="13" operator="between">
      <formula>"A - Work May Proceed"</formula>
      <formula>"A - Work May Proceed"</formula>
    </cfRule>
    <cfRule type="cellIs" dxfId="4844" priority="8" operator="equal">
      <formula>"E - Review Not Required - Proceed"</formula>
    </cfRule>
    <cfRule type="cellIs" dxfId="4843" priority="20" stopIfTrue="1" operator="between">
      <formula>"B - Incorporate Comments - Proceed "</formula>
      <formula>"B - Incorporate Comments - Proceed "</formula>
    </cfRule>
    <cfRule type="cellIs" dxfId="4842" priority="19" operator="between">
      <formula>"C - Revise and Resubmit - Do Not Proceed"</formula>
      <formula>"C - Revise and Resubmit - Do Not Proceed"</formula>
    </cfRule>
    <cfRule type="cellIs" dxfId="4841" priority="17" operator="between">
      <formula>"CANCELLED"</formula>
      <formula>"CANCELLED"</formula>
    </cfRule>
    <cfRule type="cellIs" dxfId="4840" priority="16" operator="between">
      <formula>"D - Rejected "</formula>
      <formula>"D - Rejected "</formula>
    </cfRule>
    <cfRule type="cellIs" dxfId="4839" priority="15" operator="between">
      <formula>"E - Review not Required - Proceed"</formula>
      <formula>"E - Review not Required - Proceed"</formula>
    </cfRule>
    <cfRule type="cellIs" dxfId="4838" priority="14" operator="between">
      <formula>"B - Incorporate Comments - Proceed"</formula>
      <formula>"B - Incorporate Comments - Proceed"</formula>
    </cfRule>
    <cfRule type="cellIs" dxfId="4837" priority="12" operator="between">
      <formula>"B - Incorporate Comments - Proceed"</formula>
      <formula>"B - Incorporate Comments - Proceed"</formula>
    </cfRule>
  </conditionalFormatting>
  <conditionalFormatting sqref="AY11">
    <cfRule type="cellIs" dxfId="4836" priority="40" stopIfTrue="1" operator="between">
      <formula>"B - Incorporate Comments - Proceed "</formula>
      <formula>"B - Incorporate Comments - Proceed "</formula>
    </cfRule>
    <cfRule type="cellIs" dxfId="4835" priority="39" operator="between">
      <formula>"C - Revise and Resubmit - Do Not Proceed"</formula>
      <formula>"C - Revise and Resubmit - Do Not Proceed"</formula>
    </cfRule>
    <cfRule type="cellIs" dxfId="4834" priority="38" operator="between">
      <formula>"A - Work May Proceed"</formula>
      <formula>"A - Work May Proceed"</formula>
    </cfRule>
    <cfRule type="cellIs" dxfId="4833" priority="37" operator="between">
      <formula>"CANCELLED"</formula>
      <formula>"CANCELLED"</formula>
    </cfRule>
    <cfRule type="cellIs" dxfId="4832" priority="36" operator="between">
      <formula>"D - Rejected "</formula>
      <formula>"D - Rejected "</formula>
    </cfRule>
    <cfRule type="cellIs" dxfId="4831" priority="35" operator="between">
      <formula>"E - Review not Required - Proceed"</formula>
      <formula>"E - Review not Required - Proceed"</formula>
    </cfRule>
    <cfRule type="cellIs" dxfId="4830" priority="34" operator="between">
      <formula>"B - Incorporate Comments - Proceed"</formula>
      <formula>"B - Incorporate Comments - Proceed"</formula>
    </cfRule>
    <cfRule type="cellIs" dxfId="4829" priority="33" operator="between">
      <formula>"A - Work May Proceed"</formula>
      <formula>"A - Work May Proceed"</formula>
    </cfRule>
    <cfRule type="cellIs" dxfId="4828" priority="32" operator="between">
      <formula>"B - Incorporate Comments - Proceed"</formula>
      <formula>"B - Incorporate Comments - Proceed"</formula>
    </cfRule>
    <cfRule type="cellIs" dxfId="4827" priority="31" operator="between">
      <formula>"C - Revise and Resubmit - Do Not Proceed"</formula>
      <formula>"C - Revise and Resubmit - Do Not Proceed"</formula>
    </cfRule>
    <cfRule type="cellIs" dxfId="4826" priority="30" operator="between">
      <formula>"'D - Rejected "</formula>
      <formula>"'D - Rejected "</formula>
    </cfRule>
    <cfRule type="cellIs" dxfId="4825" priority="22" operator="equal">
      <formula>"D - Rejected"</formula>
    </cfRule>
    <cfRule type="cellIs" dxfId="4824" priority="28" operator="equal">
      <formula>"E - Review Not Required - Proceed"</formula>
    </cfRule>
    <cfRule type="cellIs" dxfId="4823" priority="23" operator="equal">
      <formula>"B - Incorporate Comments - Proceed"</formula>
    </cfRule>
    <cfRule type="cellIs" dxfId="4822" priority="24" operator="equal">
      <formula>"C - Revise and Resubmit - Do Not Proceed"</formula>
    </cfRule>
    <cfRule type="cellIs" dxfId="4821" priority="25" operator="equal">
      <formula>"A - Work May Proceed"</formula>
    </cfRule>
    <cfRule type="cellIs" dxfId="4820" priority="26" operator="equal">
      <formula>"For Information"</formula>
    </cfRule>
    <cfRule type="cellIs" dxfId="4819" priority="27" operator="equal">
      <formula>"B - Incorporate Comments - Proceed "</formula>
    </cfRule>
    <cfRule type="cellIs" dxfId="4818" priority="29" operator="between">
      <formula>"E - Review not Required - Proceed"</formula>
      <formula>"E - Review not Required - Proceed"</formula>
    </cfRule>
    <cfRule type="cellIs" dxfId="4817" priority="21" operator="equal">
      <formula>"E - Review not Required - Proceed"</formula>
    </cfRule>
  </conditionalFormatting>
  <pageMargins left="0.7" right="0.7" top="0.75" bottom="0.75" header="0.3" footer="0.3"/>
  <pageSetup paperSize="8" scale="10" fitToHeight="0" orientation="landscape" r:id="rId1"/>
  <colBreaks count="1" manualBreakCount="1">
    <brk id="57" max="197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tabColor theme="4"/>
    <pageSetUpPr fitToPage="1"/>
  </sheetPr>
  <dimension ref="A1:BF16"/>
  <sheetViews>
    <sheetView zoomScale="55" zoomScaleNormal="55" zoomScaleSheetLayoutView="70" workbookViewId="0">
      <pane ySplit="11" topLeftCell="A12" activePane="bottomLeft" state="frozen"/>
      <selection activeCell="A14" sqref="A14"/>
      <selection pane="bottomLeft" activeCell="F27" sqref="F27"/>
    </sheetView>
  </sheetViews>
  <sheetFormatPr defaultColWidth="9.140625" defaultRowHeight="15" x14ac:dyDescent="0.25"/>
  <cols>
    <col min="1" max="1" width="23.42578125" style="454" customWidth="1"/>
    <col min="2" max="2" width="32" style="454" customWidth="1"/>
    <col min="3" max="3" width="24.5703125" style="454" customWidth="1"/>
    <col min="4" max="5" width="57.85546875" style="454" customWidth="1"/>
    <col min="6" max="6" width="77.7109375" style="455" bestFit="1" customWidth="1"/>
    <col min="7" max="7" width="29.28515625" style="454" customWidth="1"/>
    <col min="8" max="8" width="19.7109375" style="454" customWidth="1"/>
    <col min="9" max="9" width="33.7109375" style="455" customWidth="1"/>
    <col min="10" max="10" width="30.140625" style="456" customWidth="1"/>
    <col min="11" max="12" width="30.140625" style="455" customWidth="1"/>
    <col min="13" max="14" width="30.140625" style="456" customWidth="1"/>
    <col min="15" max="16" width="30.140625" style="454" customWidth="1"/>
    <col min="17" max="17" width="30.140625" style="457" customWidth="1"/>
    <col min="18" max="19" width="30.140625" style="454" customWidth="1"/>
    <col min="20" max="21" width="30.140625" style="457" customWidth="1"/>
    <col min="22" max="23" width="30.140625" style="454" customWidth="1"/>
    <col min="24" max="24" width="30.140625" style="457" customWidth="1"/>
    <col min="25" max="26" width="30.140625" style="454" customWidth="1"/>
    <col min="27" max="28" width="30.140625" style="457" customWidth="1"/>
    <col min="29" max="30" width="30.140625" style="454" customWidth="1"/>
    <col min="31" max="31" width="30.140625" style="457" customWidth="1"/>
    <col min="32" max="33" width="30.140625" style="454" customWidth="1"/>
    <col min="34" max="35" width="30.140625" style="457" customWidth="1"/>
    <col min="36" max="37" width="30.140625" style="454" customWidth="1"/>
    <col min="38" max="38" width="30.140625" style="457" customWidth="1"/>
    <col min="39" max="40" width="36.85546875" style="458" customWidth="1"/>
    <col min="41" max="56" width="30.140625" style="457" customWidth="1"/>
    <col min="57" max="57" width="32.85546875" style="454" customWidth="1"/>
    <col min="58" max="58" width="55.5703125" style="453" customWidth="1"/>
    <col min="59" max="16384" width="9.140625" style="454"/>
  </cols>
  <sheetData>
    <row r="1" spans="1:58" s="451" customFormat="1" ht="24" customHeight="1" x14ac:dyDescent="0.35">
      <c r="A1" s="173"/>
      <c r="B1" s="170" t="s">
        <v>27</v>
      </c>
      <c r="C1" s="171" t="s">
        <v>26</v>
      </c>
      <c r="D1" s="171"/>
      <c r="E1" s="171"/>
      <c r="F1" s="172"/>
      <c r="G1" s="173"/>
      <c r="H1" s="548" t="s">
        <v>5496</v>
      </c>
      <c r="I1" s="549">
        <f ca="1">TODAY()</f>
        <v>46266</v>
      </c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7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173"/>
    </row>
    <row r="2" spans="1:58" s="451" customFormat="1" ht="24" customHeight="1" x14ac:dyDescent="0.35">
      <c r="A2" s="173"/>
      <c r="B2" s="175" t="s">
        <v>3750</v>
      </c>
      <c r="C2" s="171" t="s">
        <v>31</v>
      </c>
      <c r="D2" s="171"/>
      <c r="E2" s="171"/>
      <c r="F2" s="172"/>
      <c r="G2" s="173"/>
      <c r="H2" s="548"/>
      <c r="I2" s="558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7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173"/>
    </row>
    <row r="3" spans="1:58" s="451" customFormat="1" ht="24" customHeight="1" x14ac:dyDescent="0.35">
      <c r="A3" s="173"/>
      <c r="B3" s="175" t="s">
        <v>3751</v>
      </c>
      <c r="C3" s="176" t="s">
        <v>2273</v>
      </c>
      <c r="D3" s="171"/>
      <c r="E3" s="171"/>
      <c r="F3" s="172"/>
      <c r="G3" s="173"/>
      <c r="H3" s="173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7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173"/>
    </row>
    <row r="4" spans="1:58" s="451" customFormat="1" ht="24" customHeight="1" x14ac:dyDescent="0.35">
      <c r="A4" s="173"/>
      <c r="B4" s="176"/>
      <c r="C4" s="177"/>
      <c r="D4" s="177"/>
      <c r="E4" s="177"/>
      <c r="F4" s="178"/>
      <c r="G4" s="173"/>
      <c r="H4" s="173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7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173"/>
    </row>
    <row r="5" spans="1:58" s="451" customFormat="1" ht="29.25" customHeight="1" x14ac:dyDescent="0.35">
      <c r="A5" s="173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2" t="s">
        <v>331</v>
      </c>
      <c r="J5" s="63" t="s">
        <v>508</v>
      </c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7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173"/>
    </row>
    <row r="6" spans="1:58" s="451" customFormat="1" ht="24" customHeight="1" x14ac:dyDescent="0.35">
      <c r="A6" s="173"/>
      <c r="B6" s="64">
        <f>COUNTIF(B11:B16,"A - Work May Proceed")</f>
        <v>2</v>
      </c>
      <c r="C6" s="65">
        <f>COUNTIF(B11:B16,"B- Incorporate Comments - Proceed")</f>
        <v>1</v>
      </c>
      <c r="D6" s="65">
        <f>COUNTIF(B11:B16,"C - Revise and Resubmit - Do Not Proceed")</f>
        <v>0</v>
      </c>
      <c r="E6" s="65">
        <f>COUNTIF(B11:B16,"D - Rejected")</f>
        <v>0</v>
      </c>
      <c r="F6" s="65">
        <f>COUNTIF(B11:B16,"E - Review not Required - Proceed")</f>
        <v>0</v>
      </c>
      <c r="G6" s="66">
        <f>COUNTIF(B11:B16,"UR")</f>
        <v>1</v>
      </c>
      <c r="H6" s="66">
        <f>COUNTIF(B11:B16,"FA")</f>
        <v>0</v>
      </c>
      <c r="I6" s="66">
        <f>COUNTIF(B11:B16,"Terminated")</f>
        <v>0</v>
      </c>
      <c r="J6" s="66">
        <f>COUNTIF(B11:B16,"Cancelled")</f>
        <v>0</v>
      </c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7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173"/>
    </row>
    <row r="7" spans="1:58" s="451" customFormat="1" ht="24" customHeight="1" x14ac:dyDescent="0.35">
      <c r="A7" s="173"/>
      <c r="B7" s="67"/>
      <c r="C7" s="68"/>
      <c r="D7" s="69"/>
      <c r="E7" s="70"/>
      <c r="F7" s="70"/>
      <c r="G7" s="71"/>
      <c r="H7" s="70"/>
      <c r="I7" s="7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173"/>
    </row>
    <row r="8" spans="1:58" s="451" customFormat="1" ht="24" customHeight="1" x14ac:dyDescent="0.35">
      <c r="A8" s="173"/>
      <c r="B8" s="72" t="s">
        <v>509</v>
      </c>
      <c r="C8" s="73">
        <f>SUM(B6:J6)</f>
        <v>4</v>
      </c>
      <c r="D8" s="69"/>
      <c r="E8" s="70"/>
      <c r="F8" s="70"/>
      <c r="G8" s="74"/>
      <c r="H8" s="75"/>
      <c r="I8" s="76"/>
      <c r="J8" s="75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7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173"/>
    </row>
    <row r="9" spans="1:58" s="451" customFormat="1" ht="24" customHeight="1" thickBot="1" x14ac:dyDescent="0.4">
      <c r="A9" s="173"/>
      <c r="B9" s="176"/>
      <c r="C9" s="177"/>
      <c r="D9" s="177"/>
      <c r="E9" s="177"/>
      <c r="F9" s="178"/>
      <c r="G9" s="173"/>
      <c r="H9" s="173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7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173"/>
    </row>
    <row r="10" spans="1:58" s="405" customFormat="1" ht="36.75" customHeight="1" x14ac:dyDescent="0.2">
      <c r="A10" s="559" t="s">
        <v>3259</v>
      </c>
      <c r="B10" s="554" t="s">
        <v>17</v>
      </c>
      <c r="C10" s="556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7"/>
      <c r="D11" s="557"/>
      <c r="E11" s="557"/>
      <c r="F11" s="557"/>
      <c r="G11" s="553"/>
      <c r="H11" s="540"/>
      <c r="I11" s="46" t="s">
        <v>0</v>
      </c>
      <c r="J11" s="52" t="s">
        <v>9</v>
      </c>
      <c r="K11" s="46" t="s">
        <v>11</v>
      </c>
      <c r="L11" s="89" t="s">
        <v>939</v>
      </c>
      <c r="M11" s="52" t="s">
        <v>6</v>
      </c>
      <c r="N11" s="106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452" customFormat="1" ht="42" customHeight="1" x14ac:dyDescent="0.25">
      <c r="A12" s="467">
        <v>7300007</v>
      </c>
      <c r="B12" s="56" t="s">
        <v>5</v>
      </c>
      <c r="C12" s="56" t="s">
        <v>208</v>
      </c>
      <c r="D12" s="16" t="s">
        <v>2267</v>
      </c>
      <c r="E12" s="11" t="s">
        <v>2266</v>
      </c>
      <c r="F12" s="16" t="s">
        <v>2270</v>
      </c>
      <c r="G12" s="16" t="s">
        <v>30</v>
      </c>
      <c r="H12" s="16" t="s">
        <v>2273</v>
      </c>
      <c r="I12" s="55" t="s">
        <v>18</v>
      </c>
      <c r="J12" s="179">
        <v>45689</v>
      </c>
      <c r="K12" s="56" t="s">
        <v>2272</v>
      </c>
      <c r="L12" s="179">
        <f>J12+7</f>
        <v>45696</v>
      </c>
      <c r="M12" s="179">
        <v>45713</v>
      </c>
      <c r="N12" s="180">
        <f>M12-L12</f>
        <v>17</v>
      </c>
      <c r="O12" s="16" t="s">
        <v>2282</v>
      </c>
      <c r="P12" s="16" t="s">
        <v>5</v>
      </c>
      <c r="Q12" s="181">
        <v>45721</v>
      </c>
      <c r="R12" s="16" t="s">
        <v>2674</v>
      </c>
      <c r="S12" s="179">
        <f>Q12+7</f>
        <v>45728</v>
      </c>
      <c r="T12" s="181">
        <v>45760</v>
      </c>
      <c r="U12" s="180">
        <f>T12-S12</f>
        <v>32</v>
      </c>
      <c r="V12" s="16" t="s">
        <v>2687</v>
      </c>
      <c r="W12" s="16"/>
      <c r="X12" s="181"/>
      <c r="Y12" s="16"/>
      <c r="Z12" s="16"/>
      <c r="AA12" s="181"/>
      <c r="AB12" s="181"/>
      <c r="AC12" s="16"/>
      <c r="AD12" s="16"/>
      <c r="AE12" s="181"/>
      <c r="AF12" s="16"/>
      <c r="AG12" s="16"/>
      <c r="AH12" s="181"/>
      <c r="AI12" s="181"/>
      <c r="AJ12" s="16"/>
      <c r="AK12" s="16"/>
      <c r="AL12" s="17"/>
      <c r="AM12" s="11"/>
      <c r="AN12" s="11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1"/>
      <c r="BF12" s="461"/>
    </row>
    <row r="13" spans="1:58" s="452" customFormat="1" ht="42" customHeight="1" x14ac:dyDescent="0.25">
      <c r="A13" s="467">
        <v>7300007</v>
      </c>
      <c r="B13" s="55" t="s">
        <v>18</v>
      </c>
      <c r="C13" s="56" t="s">
        <v>588</v>
      </c>
      <c r="D13" s="16" t="s">
        <v>2268</v>
      </c>
      <c r="E13" s="11" t="s">
        <v>2269</v>
      </c>
      <c r="F13" s="16" t="s">
        <v>2271</v>
      </c>
      <c r="G13" s="16" t="s">
        <v>30</v>
      </c>
      <c r="H13" s="16" t="s">
        <v>2273</v>
      </c>
      <c r="I13" s="55" t="s">
        <v>18</v>
      </c>
      <c r="J13" s="179">
        <v>45689</v>
      </c>
      <c r="K13" s="56" t="s">
        <v>2274</v>
      </c>
      <c r="L13" s="179">
        <f>J13+7</f>
        <v>45696</v>
      </c>
      <c r="M13" s="179">
        <v>45715</v>
      </c>
      <c r="N13" s="180">
        <f>M13-L13</f>
        <v>19</v>
      </c>
      <c r="O13" s="16" t="s">
        <v>2283</v>
      </c>
      <c r="P13" s="16" t="s">
        <v>5</v>
      </c>
      <c r="Q13" s="181">
        <v>45721</v>
      </c>
      <c r="R13" s="16" t="s">
        <v>2676</v>
      </c>
      <c r="S13" s="179">
        <f>Q13+7</f>
        <v>45728</v>
      </c>
      <c r="T13" s="181">
        <v>45760</v>
      </c>
      <c r="U13" s="180">
        <f>T13-S13</f>
        <v>32</v>
      </c>
      <c r="V13" s="16" t="s">
        <v>2688</v>
      </c>
      <c r="W13" s="55" t="s">
        <v>18</v>
      </c>
      <c r="X13" s="181">
        <v>46243</v>
      </c>
      <c r="Y13" s="16" t="s">
        <v>7448</v>
      </c>
      <c r="Z13" s="179">
        <f>X13+7</f>
        <v>46250</v>
      </c>
      <c r="AA13" s="181">
        <v>46259</v>
      </c>
      <c r="AB13" s="180">
        <f>AA13-Z13</f>
        <v>9</v>
      </c>
      <c r="AC13" s="16" t="s">
        <v>7447</v>
      </c>
      <c r="AD13" s="16"/>
      <c r="AE13" s="181"/>
      <c r="AF13" s="16"/>
      <c r="AG13" s="16"/>
      <c r="AH13" s="181"/>
      <c r="AI13" s="181"/>
      <c r="AJ13" s="16"/>
      <c r="AK13" s="16"/>
      <c r="AL13" s="17"/>
      <c r="AM13" s="11"/>
      <c r="AN13" s="11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1"/>
      <c r="BF13" s="461"/>
    </row>
    <row r="14" spans="1:58" s="452" customFormat="1" ht="42" customHeight="1" x14ac:dyDescent="0.25">
      <c r="A14" s="467">
        <v>7300007</v>
      </c>
      <c r="B14" s="23" t="s">
        <v>5</v>
      </c>
      <c r="C14" s="56" t="s">
        <v>208</v>
      </c>
      <c r="D14" s="16" t="s">
        <v>2303</v>
      </c>
      <c r="E14" s="11" t="s">
        <v>2304</v>
      </c>
      <c r="F14" s="16" t="s">
        <v>2305</v>
      </c>
      <c r="G14" s="16" t="s">
        <v>30</v>
      </c>
      <c r="H14" s="16" t="s">
        <v>2273</v>
      </c>
      <c r="I14" s="55" t="s">
        <v>18</v>
      </c>
      <c r="J14" s="179">
        <v>45691</v>
      </c>
      <c r="K14" s="56" t="s">
        <v>2306</v>
      </c>
      <c r="L14" s="179">
        <f>J14+7</f>
        <v>45698</v>
      </c>
      <c r="M14" s="179">
        <v>45715</v>
      </c>
      <c r="N14" s="180">
        <f>M14-L14</f>
        <v>17</v>
      </c>
      <c r="O14" s="16" t="s">
        <v>2320</v>
      </c>
      <c r="P14" s="60" t="s">
        <v>5</v>
      </c>
      <c r="Q14" s="181">
        <v>45721</v>
      </c>
      <c r="R14" s="16" t="s">
        <v>2675</v>
      </c>
      <c r="S14" s="179">
        <f>Q14+7</f>
        <v>45728</v>
      </c>
      <c r="T14" s="181">
        <v>45910</v>
      </c>
      <c r="U14" s="180">
        <f>T14-S14</f>
        <v>182</v>
      </c>
      <c r="V14" s="16" t="s">
        <v>4104</v>
      </c>
      <c r="W14" s="16"/>
      <c r="X14" s="181"/>
      <c r="Y14" s="16"/>
      <c r="Z14" s="179"/>
      <c r="AA14" s="181"/>
      <c r="AB14" s="180"/>
      <c r="AC14" s="16"/>
      <c r="AD14" s="16"/>
      <c r="AE14" s="181"/>
      <c r="AF14" s="16"/>
      <c r="AG14" s="16"/>
      <c r="AH14" s="181"/>
      <c r="AI14" s="181"/>
      <c r="AJ14" s="16"/>
      <c r="AK14" s="16"/>
      <c r="AL14" s="17"/>
      <c r="AM14" s="11"/>
      <c r="AN14" s="11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1"/>
      <c r="BF14" s="461"/>
    </row>
    <row r="15" spans="1:58" s="466" customFormat="1" ht="42" customHeight="1" x14ac:dyDescent="0.25">
      <c r="A15" s="468" t="s">
        <v>3256</v>
      </c>
      <c r="B15" s="345" t="s">
        <v>4</v>
      </c>
      <c r="C15" s="346" t="s">
        <v>54</v>
      </c>
      <c r="D15" s="345" t="s">
        <v>7468</v>
      </c>
      <c r="E15" s="345" t="s">
        <v>7467</v>
      </c>
      <c r="F15" s="347" t="s">
        <v>7466</v>
      </c>
      <c r="G15" s="347" t="s">
        <v>30</v>
      </c>
      <c r="H15" s="347" t="s">
        <v>2273</v>
      </c>
      <c r="I15" s="347" t="s">
        <v>4</v>
      </c>
      <c r="J15" s="348">
        <v>46250</v>
      </c>
      <c r="K15" s="346" t="s">
        <v>7475</v>
      </c>
      <c r="L15" s="348">
        <f>J15+7</f>
        <v>46257</v>
      </c>
      <c r="M15" s="348"/>
      <c r="N15" s="349">
        <f>M15-L15</f>
        <v>-46257</v>
      </c>
      <c r="O15" s="347" t="s">
        <v>7479</v>
      </c>
      <c r="P15" s="347"/>
      <c r="Q15" s="350"/>
      <c r="R15" s="347"/>
      <c r="S15" s="347"/>
      <c r="T15" s="350"/>
      <c r="U15" s="350"/>
      <c r="V15" s="347"/>
      <c r="W15" s="347"/>
      <c r="X15" s="350"/>
      <c r="Y15" s="347"/>
      <c r="Z15" s="347"/>
      <c r="AA15" s="350"/>
      <c r="AB15" s="350"/>
      <c r="AC15" s="347"/>
      <c r="AD15" s="347"/>
      <c r="AE15" s="350"/>
      <c r="AF15" s="347"/>
      <c r="AG15" s="347"/>
      <c r="AH15" s="350"/>
      <c r="AI15" s="350"/>
      <c r="AJ15" s="347"/>
      <c r="AK15" s="347"/>
      <c r="AL15" s="351"/>
      <c r="AM15" s="345"/>
      <c r="AN15" s="345"/>
      <c r="AO15" s="351"/>
      <c r="AP15" s="351"/>
      <c r="AQ15" s="351"/>
      <c r="AR15" s="351"/>
      <c r="AS15" s="351"/>
      <c r="AT15" s="351"/>
      <c r="AU15" s="351"/>
      <c r="AV15" s="351"/>
      <c r="AW15" s="351"/>
      <c r="AX15" s="351"/>
      <c r="AY15" s="351"/>
      <c r="AZ15" s="351"/>
      <c r="BA15" s="351"/>
      <c r="BB15" s="351"/>
      <c r="BC15" s="351"/>
      <c r="BD15" s="351"/>
      <c r="BE15" s="345"/>
      <c r="BF15" s="469"/>
    </row>
    <row r="16" spans="1:58" s="452" customFormat="1" ht="42" customHeight="1" thickBot="1" x14ac:dyDescent="0.3">
      <c r="A16" s="462"/>
      <c r="B16" s="371"/>
      <c r="C16" s="371"/>
      <c r="D16" s="371"/>
      <c r="E16" s="371"/>
      <c r="F16" s="262"/>
      <c r="G16" s="262"/>
      <c r="H16" s="262"/>
      <c r="I16" s="262"/>
      <c r="J16" s="463"/>
      <c r="K16" s="444"/>
      <c r="L16" s="444"/>
      <c r="M16" s="463"/>
      <c r="N16" s="463"/>
      <c r="O16" s="262"/>
      <c r="P16" s="262"/>
      <c r="Q16" s="464"/>
      <c r="R16" s="262"/>
      <c r="S16" s="262"/>
      <c r="T16" s="464"/>
      <c r="U16" s="464"/>
      <c r="V16" s="262"/>
      <c r="W16" s="262"/>
      <c r="X16" s="464"/>
      <c r="Y16" s="262"/>
      <c r="Z16" s="262"/>
      <c r="AA16" s="464"/>
      <c r="AB16" s="464"/>
      <c r="AC16" s="262"/>
      <c r="AD16" s="262"/>
      <c r="AE16" s="464"/>
      <c r="AF16" s="262"/>
      <c r="AG16" s="262"/>
      <c r="AH16" s="464"/>
      <c r="AI16" s="464"/>
      <c r="AJ16" s="262"/>
      <c r="AK16" s="262"/>
      <c r="AL16" s="376"/>
      <c r="AM16" s="371"/>
      <c r="AN16" s="371"/>
      <c r="AO16" s="376"/>
      <c r="AP16" s="376"/>
      <c r="AQ16" s="376"/>
      <c r="AR16" s="376"/>
      <c r="AS16" s="376"/>
      <c r="AT16" s="376"/>
      <c r="AU16" s="376"/>
      <c r="AV16" s="376"/>
      <c r="AW16" s="376"/>
      <c r="AX16" s="376"/>
      <c r="AY16" s="376"/>
      <c r="AZ16" s="376"/>
      <c r="BA16" s="376"/>
      <c r="BB16" s="376"/>
      <c r="BC16" s="376"/>
      <c r="BD16" s="376"/>
      <c r="BE16" s="371"/>
      <c r="BF16" s="465"/>
    </row>
  </sheetData>
  <autoFilter ref="A11:BG11" xr:uid="{00000000-0001-0000-0A00-000000000000}"/>
  <mergeCells count="18">
    <mergeCell ref="A10:A11"/>
    <mergeCell ref="H1:H2"/>
    <mergeCell ref="I1:I2"/>
    <mergeCell ref="AR10:AX10"/>
    <mergeCell ref="AY10:BE10"/>
    <mergeCell ref="G10:G11"/>
    <mergeCell ref="B10:B11"/>
    <mergeCell ref="C10:C11"/>
    <mergeCell ref="D10:D11"/>
    <mergeCell ref="E10:E11"/>
    <mergeCell ref="F10:F11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2:XFD13 A13:A14 U13:U14 C14:XFD14 A15:XFD1048576">
    <cfRule type="cellIs" dxfId="4816" priority="160" operator="equal">
      <formula>"A - Work May Proceed"</formula>
    </cfRule>
  </conditionalFormatting>
  <conditionalFormatting sqref="A12:XFD1048576">
    <cfRule type="cellIs" dxfId="4815" priority="139" operator="equal">
      <formula>"C - Revise and Resubmit - Do Not Proceed"</formula>
    </cfRule>
    <cfRule type="cellIs" dxfId="4814" priority="138" operator="equal">
      <formula>"B- Incorporate Comments - Proceed"</formula>
    </cfRule>
    <cfRule type="cellIs" dxfId="4813" priority="137" operator="equal">
      <formula>"D - Rejected"</formula>
    </cfRule>
    <cfRule type="cellIs" dxfId="4812" priority="136" operator="equal">
      <formula>"E - Review not Required - Proceed"</formula>
    </cfRule>
  </conditionalFormatting>
  <conditionalFormatting sqref="B14">
    <cfRule type="cellIs" dxfId="4811" priority="140" stopIfTrue="1" operator="equal">
      <formula>"A - Work May Proceed"</formula>
    </cfRule>
  </conditionalFormatting>
  <conditionalFormatting sqref="B1:G2 V1:XFD9 B3:H4 B9:H9">
    <cfRule type="cellIs" dxfId="4810" priority="205" operator="equal">
      <formula>"A - Work May Proceed"</formula>
    </cfRule>
    <cfRule type="cellIs" dxfId="4809" priority="202" operator="equal">
      <formula>"D - Rejected"</formula>
    </cfRule>
    <cfRule type="cellIs" dxfId="4808" priority="201" operator="equal">
      <formula>"E - Review not Required - Proceed"</formula>
    </cfRule>
    <cfRule type="cellIs" dxfId="4807" priority="204" operator="equal">
      <formula>"C - Revise and Resubmit - Do Not Proceed"</formula>
    </cfRule>
    <cfRule type="cellIs" dxfId="4806" priority="203" operator="equal">
      <formula>"B- Incorporate Comments - Proceed"</formula>
    </cfRule>
  </conditionalFormatting>
  <conditionalFormatting sqref="D11:BE11 B10:BF10 A10:A11 B11">
    <cfRule type="cellIs" dxfId="4805" priority="43" operator="equal">
      <formula>"B- Incorporate Comments - Proceed"</formula>
    </cfRule>
    <cfRule type="cellIs" dxfId="4804" priority="45" operator="equal">
      <formula>"A - Work May Proceed"</formula>
    </cfRule>
    <cfRule type="cellIs" dxfId="4803" priority="44" operator="equal">
      <formula>"C - Revise and Resubmit - Do Not Proceed"</formula>
    </cfRule>
    <cfRule type="cellIs" dxfId="4802" priority="42" operator="equal">
      <formula>"D - Rejected"</formula>
    </cfRule>
    <cfRule type="cellIs" dxfId="4801" priority="41" operator="equal">
      <formula>"E - Review not Required - Proceed"</formula>
    </cfRule>
  </conditionalFormatting>
  <conditionalFormatting sqref="I11">
    <cfRule type="cellIs" dxfId="4800" priority="125" stopIfTrue="1" operator="between">
      <formula>"B - Incorporate Comments - Proceed "</formula>
      <formula>"B - Incorporate Comments - Proceed "</formula>
    </cfRule>
    <cfRule type="cellIs" dxfId="4799" priority="111" operator="equal">
      <formula>"For Information"</formula>
    </cfRule>
    <cfRule type="cellIs" dxfId="4798" priority="110" operator="equal">
      <formula>"B - Incorporate Comments - Proceed"</formula>
    </cfRule>
    <cfRule type="cellIs" dxfId="4797" priority="123" operator="between">
      <formula>"A - Work May Proceed"</formula>
      <formula>"A - Work May Proceed"</formula>
    </cfRule>
    <cfRule type="cellIs" dxfId="4796" priority="122" operator="between">
      <formula>"CANCELLED"</formula>
      <formula>"CANCELLED"</formula>
    </cfRule>
    <cfRule type="cellIs" dxfId="4795" priority="121" operator="between">
      <formula>"D - Rejected "</formula>
      <formula>"D - Rejected "</formula>
    </cfRule>
    <cfRule type="cellIs" dxfId="4794" priority="120" operator="between">
      <formula>"E - Review not Required - Proceed"</formula>
      <formula>"E - Review not Required - Proceed"</formula>
    </cfRule>
    <cfRule type="cellIs" dxfId="4793" priority="119" operator="between">
      <formula>"B - Incorporate Comments - Proceed"</formula>
      <formula>"B - Incorporate Comments - Proceed"</formula>
    </cfRule>
    <cfRule type="cellIs" dxfId="4792" priority="118" operator="between">
      <formula>"A - Work May Proceed"</formula>
      <formula>"A - Work May Proceed"</formula>
    </cfRule>
    <cfRule type="cellIs" dxfId="4791" priority="117" operator="between">
      <formula>"B - Incorporate Comments - Proceed"</formula>
      <formula>"B - Incorporate Comments - Proceed"</formula>
    </cfRule>
    <cfRule type="cellIs" dxfId="4790" priority="116" operator="between">
      <formula>"C - Revise and Resubmit - Do Not Proceed"</formula>
      <formula>"C - Revise and Resubmit - Do Not Proceed"</formula>
    </cfRule>
    <cfRule type="cellIs" dxfId="4789" priority="124" operator="between">
      <formula>"C - Revise and Resubmit - Do Not Proceed"</formula>
      <formula>"C - Revise and Resubmit - Do Not Proceed"</formula>
    </cfRule>
    <cfRule type="cellIs" dxfId="4788" priority="115" operator="between">
      <formula>"'D - Rejected "</formula>
      <formula>"'D - Rejected "</formula>
    </cfRule>
    <cfRule type="cellIs" dxfId="4787" priority="114" operator="between">
      <formula>"E - Review not Required - Proceed"</formula>
      <formula>"E - Review not Required - Proceed"</formula>
    </cfRule>
    <cfRule type="cellIs" dxfId="4786" priority="113" operator="equal">
      <formula>"E - Review Not Required - Proceed"</formula>
    </cfRule>
    <cfRule type="cellIs" dxfId="4785" priority="112" operator="equal">
      <formula>"B - Incorporate Comments - Proceed "</formula>
    </cfRule>
  </conditionalFormatting>
  <conditionalFormatting sqref="J5:J6 B5:I7 B8:J8">
    <cfRule type="cellIs" dxfId="4784" priority="152" operator="equal">
      <formula>"D - Rejected"</formula>
    </cfRule>
    <cfRule type="cellIs" dxfId="4783" priority="151" operator="equal">
      <formula>"E - Review not Required - Proceed"</formula>
    </cfRule>
    <cfRule type="cellIs" dxfId="4782" priority="153" operator="equal">
      <formula>"B- Incorporate Comments - Proceed"</formula>
    </cfRule>
    <cfRule type="cellIs" dxfId="4781" priority="154" operator="equal">
      <formula>"C - Revise and Resubmit - Do Not Proceed"</formula>
    </cfRule>
    <cfRule type="cellIs" dxfId="4780" priority="155" stopIfTrue="1" operator="equal">
      <formula>"A - Work May Proceed"</formula>
    </cfRule>
  </conditionalFormatting>
  <conditionalFormatting sqref="P11">
    <cfRule type="cellIs" dxfId="4779" priority="98" operator="between">
      <formula>"E - Review not Required - Proceed"</formula>
      <formula>"E - Review not Required - Proceed"</formula>
    </cfRule>
    <cfRule type="cellIs" dxfId="4778" priority="97" operator="equal">
      <formula>"E - Review Not Required - Proceed"</formula>
    </cfRule>
    <cfRule type="cellIs" dxfId="4777" priority="96" operator="equal">
      <formula>"B - Incorporate Comments - Proceed "</formula>
    </cfRule>
    <cfRule type="cellIs" dxfId="4776" priority="95" operator="equal">
      <formula>"For Information"</formula>
    </cfRule>
    <cfRule type="cellIs" dxfId="4775" priority="94" operator="equal">
      <formula>"B - Incorporate Comments - Proceed"</formula>
    </cfRule>
    <cfRule type="cellIs" dxfId="4774" priority="100" operator="between">
      <formula>"C - Revise and Resubmit - Do Not Proceed"</formula>
      <formula>"C - Revise and Resubmit - Do Not Proceed"</formula>
    </cfRule>
    <cfRule type="cellIs" dxfId="4773" priority="101" operator="between">
      <formula>"B - Incorporate Comments - Proceed"</formula>
      <formula>"B - Incorporate Comments - Proceed"</formula>
    </cfRule>
    <cfRule type="cellIs" dxfId="4772" priority="99" operator="between">
      <formula>"'D - Rejected "</formula>
      <formula>"'D - Rejected "</formula>
    </cfRule>
    <cfRule type="cellIs" dxfId="4771" priority="102" operator="between">
      <formula>"A - Work May Proceed"</formula>
      <formula>"A - Work May Proceed"</formula>
    </cfRule>
    <cfRule type="cellIs" dxfId="4770" priority="103" operator="between">
      <formula>"B - Incorporate Comments - Proceed"</formula>
      <formula>"B - Incorporate Comments - Proceed"</formula>
    </cfRule>
    <cfRule type="cellIs" dxfId="4769" priority="107" operator="between">
      <formula>"A - Work May Proceed"</formula>
      <formula>"A - Work May Proceed"</formula>
    </cfRule>
    <cfRule type="cellIs" dxfId="4768" priority="104" operator="between">
      <formula>"E - Review not Required - Proceed"</formula>
      <formula>"E - Review not Required - Proceed"</formula>
    </cfRule>
    <cfRule type="cellIs" dxfId="4767" priority="105" operator="between">
      <formula>"D - Rejected "</formula>
      <formula>"D - Rejected "</formula>
    </cfRule>
    <cfRule type="cellIs" dxfId="4766" priority="106" operator="between">
      <formula>"CANCELLED"</formula>
      <formula>"CANCELLED"</formula>
    </cfRule>
    <cfRule type="cellIs" dxfId="4765" priority="108" operator="between">
      <formula>"C - Revise and Resubmit - Do Not Proceed"</formula>
      <formula>"C - Revise and Resubmit - Do Not Proceed"</formula>
    </cfRule>
    <cfRule type="cellIs" dxfId="4764" priority="109" stopIfTrue="1" operator="between">
      <formula>"B - Incorporate Comments - Proceed "</formula>
      <formula>"B - Incorporate Comments - Proceed "</formula>
    </cfRule>
  </conditionalFormatting>
  <conditionalFormatting sqref="W11">
    <cfRule type="cellIs" dxfId="4763" priority="88" operator="between">
      <formula>"E - Review not Required - Proceed"</formula>
      <formula>"E - Review not Required - Proceed"</formula>
    </cfRule>
    <cfRule type="cellIs" dxfId="4762" priority="84" operator="between">
      <formula>"C - Revise and Resubmit - Do Not Proceed"</formula>
      <formula>"C - Revise and Resubmit - Do Not Proceed"</formula>
    </cfRule>
    <cfRule type="cellIs" dxfId="4761" priority="83" operator="between">
      <formula>"'D - Rejected "</formula>
      <formula>"'D - Rejected "</formula>
    </cfRule>
    <cfRule type="cellIs" dxfId="4760" priority="82" operator="between">
      <formula>"E - Review not Required - Proceed"</formula>
      <formula>"E - Review not Required - Proceed"</formula>
    </cfRule>
    <cfRule type="cellIs" dxfId="4759" priority="81" operator="equal">
      <formula>"E - Review Not Required - Proceed"</formula>
    </cfRule>
    <cfRule type="cellIs" dxfId="4758" priority="80" operator="equal">
      <formula>"B - Incorporate Comments - Proceed "</formula>
    </cfRule>
    <cfRule type="cellIs" dxfId="4757" priority="79" operator="equal">
      <formula>"For Information"</formula>
    </cfRule>
    <cfRule type="cellIs" dxfId="4756" priority="85" operator="between">
      <formula>"B - Incorporate Comments - Proceed"</formula>
      <formula>"B - Incorporate Comments - Proceed"</formula>
    </cfRule>
    <cfRule type="cellIs" dxfId="4755" priority="92" operator="between">
      <formula>"C - Revise and Resubmit - Do Not Proceed"</formula>
      <formula>"C - Revise and Resubmit - Do Not Proceed"</formula>
    </cfRule>
    <cfRule type="cellIs" dxfId="4754" priority="91" operator="between">
      <formula>"A - Work May Proceed"</formula>
      <formula>"A - Work May Proceed"</formula>
    </cfRule>
    <cfRule type="cellIs" dxfId="4753" priority="90" operator="between">
      <formula>"CANCELLED"</formula>
      <formula>"CANCELLED"</formula>
    </cfRule>
    <cfRule type="cellIs" dxfId="4752" priority="89" operator="between">
      <formula>"D - Rejected "</formula>
      <formula>"D - Rejected "</formula>
    </cfRule>
    <cfRule type="cellIs" dxfId="4751" priority="87" operator="between">
      <formula>"B - Incorporate Comments - Proceed"</formula>
      <formula>"B - Incorporate Comments - Proceed"</formula>
    </cfRule>
    <cfRule type="cellIs" dxfId="4750" priority="86" operator="between">
      <formula>"A - Work May Proceed"</formula>
      <formula>"A - Work May Proceed"</formula>
    </cfRule>
    <cfRule type="cellIs" dxfId="4749" priority="93" stopIfTrue="1" operator="between">
      <formula>"B - Incorporate Comments - Proceed "</formula>
      <formula>"B - Incorporate Comments - Proceed "</formula>
    </cfRule>
    <cfRule type="cellIs" dxfId="4748" priority="78" operator="equal">
      <formula>"B - Incorporate Comments - Proceed"</formula>
    </cfRule>
  </conditionalFormatting>
  <conditionalFormatting sqref="AD11">
    <cfRule type="cellIs" dxfId="4747" priority="70" operator="between">
      <formula>"A - Work May Proceed"</formula>
      <formula>"A - Work May Proceed"</formula>
    </cfRule>
    <cfRule type="cellIs" dxfId="4746" priority="71" operator="between">
      <formula>"B - Incorporate Comments - Proceed"</formula>
      <formula>"B - Incorporate Comments - Proceed"</formula>
    </cfRule>
    <cfRule type="cellIs" dxfId="4745" priority="72" operator="between">
      <formula>"E - Review not Required - Proceed"</formula>
      <formula>"E - Review not Required - Proceed"</formula>
    </cfRule>
    <cfRule type="cellIs" dxfId="4744" priority="73" operator="between">
      <formula>"D - Rejected "</formula>
      <formula>"D - Rejected "</formula>
    </cfRule>
    <cfRule type="cellIs" dxfId="4743" priority="74" operator="between">
      <formula>"CANCELLED"</formula>
      <formula>"CANCELLED"</formula>
    </cfRule>
    <cfRule type="cellIs" dxfId="4742" priority="75" operator="between">
      <formula>"A - Work May Proceed"</formula>
      <formula>"A - Work May Proceed"</formula>
    </cfRule>
    <cfRule type="cellIs" dxfId="4741" priority="76" operator="between">
      <formula>"C - Revise and Resubmit - Do Not Proceed"</formula>
      <formula>"C - Revise and Resubmit - Do Not Proceed"</formula>
    </cfRule>
    <cfRule type="cellIs" dxfId="4740" priority="77" stopIfTrue="1" operator="between">
      <formula>"B - Incorporate Comments - Proceed "</formula>
      <formula>"B - Incorporate Comments - Proceed "</formula>
    </cfRule>
    <cfRule type="cellIs" dxfId="4739" priority="62" operator="equal">
      <formula>"B - Incorporate Comments - Proceed"</formula>
    </cfRule>
    <cfRule type="cellIs" dxfId="4738" priority="63" operator="equal">
      <formula>"For Information"</formula>
    </cfRule>
    <cfRule type="cellIs" dxfId="4737" priority="64" operator="equal">
      <formula>"B - Incorporate Comments - Proceed "</formula>
    </cfRule>
    <cfRule type="cellIs" dxfId="4736" priority="65" operator="equal">
      <formula>"E - Review Not Required - Proceed"</formula>
    </cfRule>
    <cfRule type="cellIs" dxfId="4735" priority="66" operator="between">
      <formula>"E - Review not Required - Proceed"</formula>
      <formula>"E - Review not Required - Proceed"</formula>
    </cfRule>
    <cfRule type="cellIs" dxfId="4734" priority="67" operator="between">
      <formula>"'D - Rejected "</formula>
      <formula>"'D - Rejected "</formula>
    </cfRule>
    <cfRule type="cellIs" dxfId="4733" priority="68" operator="between">
      <formula>"C - Revise and Resubmit - Do Not Proceed"</formula>
      <formula>"C - Revise and Resubmit - Do Not Proceed"</formula>
    </cfRule>
    <cfRule type="cellIs" dxfId="4732" priority="69" operator="between">
      <formula>"B - Incorporate Comments - Proceed"</formula>
      <formula>"B - Incorporate Comments - Proceed"</formula>
    </cfRule>
  </conditionalFormatting>
  <conditionalFormatting sqref="AK11">
    <cfRule type="cellIs" dxfId="4731" priority="52" operator="between">
      <formula>"C - Revise and Resubmit - Do Not Proceed"</formula>
      <formula>"C - Revise and Resubmit - Do Not Proceed"</formula>
    </cfRule>
    <cfRule type="cellIs" dxfId="4730" priority="51" operator="between">
      <formula>"'D - Rejected "</formula>
      <formula>"'D - Rejected "</formula>
    </cfRule>
    <cfRule type="cellIs" dxfId="4729" priority="54" operator="between">
      <formula>"A - Work May Proceed"</formula>
      <formula>"A - Work May Proceed"</formula>
    </cfRule>
    <cfRule type="cellIs" dxfId="4728" priority="50" operator="between">
      <formula>"E - Review not Required - Proceed"</formula>
      <formula>"E - Review not Required - Proceed"</formula>
    </cfRule>
    <cfRule type="cellIs" dxfId="4727" priority="49" operator="equal">
      <formula>"E - Review Not Required - Proceed"</formula>
    </cfRule>
    <cfRule type="cellIs" dxfId="4726" priority="48" operator="equal">
      <formula>"B - Incorporate Comments - Proceed "</formula>
    </cfRule>
    <cfRule type="cellIs" dxfId="4725" priority="47" operator="equal">
      <formula>"For Information"</formula>
    </cfRule>
    <cfRule type="cellIs" dxfId="4724" priority="46" operator="equal">
      <formula>"B - Incorporate Comments - Proceed"</formula>
    </cfRule>
    <cfRule type="cellIs" dxfId="4723" priority="58" operator="between">
      <formula>"CANCELLED"</formula>
      <formula>"CANCELLED"</formula>
    </cfRule>
    <cfRule type="cellIs" dxfId="4722" priority="57" operator="between">
      <formula>"D - Rejected "</formula>
      <formula>"D - Rejected "</formula>
    </cfRule>
    <cfRule type="cellIs" dxfId="4721" priority="56" operator="between">
      <formula>"E - Review not Required - Proceed"</formula>
      <formula>"E - Review not Required - Proceed"</formula>
    </cfRule>
    <cfRule type="cellIs" dxfId="4720" priority="55" operator="between">
      <formula>"B - Incorporate Comments - Proceed"</formula>
      <formula>"B - Incorporate Comments - Proceed"</formula>
    </cfRule>
    <cfRule type="cellIs" dxfId="4719" priority="53" operator="between">
      <formula>"B - Incorporate Comments - Proceed"</formula>
      <formula>"B - Incorporate Comments - Proceed"</formula>
    </cfRule>
    <cfRule type="cellIs" dxfId="4718" priority="61" stopIfTrue="1" operator="between">
      <formula>"B - Incorporate Comments - Proceed "</formula>
      <formula>"B - Incorporate Comments - Proceed "</formula>
    </cfRule>
    <cfRule type="cellIs" dxfId="4717" priority="60" operator="between">
      <formula>"C - Revise and Resubmit - Do Not Proceed"</formula>
      <formula>"C - Revise and Resubmit - Do Not Proceed"</formula>
    </cfRule>
    <cfRule type="cellIs" dxfId="4716" priority="59" operator="between">
      <formula>"A - Work May Proceed"</formula>
      <formula>"A - Work May Proceed"</formula>
    </cfRule>
  </conditionalFormatting>
  <conditionalFormatting sqref="AR11">
    <cfRule type="cellIs" dxfId="4715" priority="11" operator="between">
      <formula>"C - Revise and Resubmit - Do Not Proceed"</formula>
      <formula>"C - Revise and Resubmit - Do Not Proceed"</formula>
    </cfRule>
    <cfRule type="cellIs" dxfId="4714" priority="7" operator="equal">
      <formula>"B - Incorporate Comments - Proceed "</formula>
    </cfRule>
    <cfRule type="cellIs" dxfId="4713" priority="10" operator="between">
      <formula>"'D - Rejected "</formula>
      <formula>"'D - Rejected "</formula>
    </cfRule>
    <cfRule type="cellIs" dxfId="4712" priority="18" operator="between">
      <formula>"A - Work May Proceed"</formula>
      <formula>"A - Work May Proceed"</formula>
    </cfRule>
    <cfRule type="cellIs" dxfId="4711" priority="9" operator="between">
      <formula>"E - Review not Required - Proceed"</formula>
      <formula>"E - Review not Required - Proceed"</formula>
    </cfRule>
    <cfRule type="cellIs" dxfId="4710" priority="8" operator="equal">
      <formula>"E - Review Not Required - Proceed"</formula>
    </cfRule>
    <cfRule type="cellIs" dxfId="4709" priority="19" operator="between">
      <formula>"C - Revise and Resubmit - Do Not Proceed"</formula>
      <formula>"C - Revise and Resubmit - Do Not Proceed"</formula>
    </cfRule>
    <cfRule type="cellIs" dxfId="4708" priority="6" operator="equal">
      <formula>"For Information"</formula>
    </cfRule>
    <cfRule type="cellIs" dxfId="4707" priority="5" operator="equal">
      <formula>"A - Work May Proceed"</formula>
    </cfRule>
    <cfRule type="cellIs" dxfId="4706" priority="4" operator="equal">
      <formula>"C - Revise and Resubmit - Do Not Proceed"</formula>
    </cfRule>
    <cfRule type="cellIs" dxfId="4705" priority="3" operator="equal">
      <formula>"B - Incorporate Comments - Proceed"</formula>
    </cfRule>
    <cfRule type="cellIs" dxfId="4704" priority="2" operator="equal">
      <formula>"D - Rejected"</formula>
    </cfRule>
    <cfRule type="cellIs" dxfId="4703" priority="1" operator="equal">
      <formula>"E - Review not Required - Proceed"</formula>
    </cfRule>
    <cfRule type="cellIs" dxfId="4702" priority="20" stopIfTrue="1" operator="between">
      <formula>"B - Incorporate Comments - Proceed "</formula>
      <formula>"B - Incorporate Comments - Proceed "</formula>
    </cfRule>
    <cfRule type="cellIs" dxfId="4701" priority="12" operator="between">
      <formula>"B - Incorporate Comments - Proceed"</formula>
      <formula>"B - Incorporate Comments - Proceed"</formula>
    </cfRule>
    <cfRule type="cellIs" dxfId="4700" priority="17" operator="between">
      <formula>"CANCELLED"</formula>
      <formula>"CANCELLED"</formula>
    </cfRule>
    <cfRule type="cellIs" dxfId="4699" priority="16" operator="between">
      <formula>"D - Rejected "</formula>
      <formula>"D - Rejected "</formula>
    </cfRule>
    <cfRule type="cellIs" dxfId="4698" priority="15" operator="between">
      <formula>"E - Review not Required - Proceed"</formula>
      <formula>"E - Review not Required - Proceed"</formula>
    </cfRule>
    <cfRule type="cellIs" dxfId="4697" priority="14" operator="between">
      <formula>"B - Incorporate Comments - Proceed"</formula>
      <formula>"B - Incorporate Comments - Proceed"</formula>
    </cfRule>
    <cfRule type="cellIs" dxfId="4696" priority="13" operator="between">
      <formula>"A - Work May Proceed"</formula>
      <formula>"A - Work May Proceed"</formula>
    </cfRule>
  </conditionalFormatting>
  <conditionalFormatting sqref="AY11">
    <cfRule type="cellIs" dxfId="4695" priority="39" operator="between">
      <formula>"C - Revise and Resubmit - Do Not Proceed"</formula>
      <formula>"C - Revise and Resubmit - Do Not Proceed"</formula>
    </cfRule>
    <cfRule type="cellIs" dxfId="4694" priority="38" operator="between">
      <formula>"A - Work May Proceed"</formula>
      <formula>"A - Work May Proceed"</formula>
    </cfRule>
    <cfRule type="cellIs" dxfId="4693" priority="37" operator="between">
      <formula>"CANCELLED"</formula>
      <formula>"CANCELLED"</formula>
    </cfRule>
    <cfRule type="cellIs" dxfId="4692" priority="36" operator="between">
      <formula>"D - Rejected "</formula>
      <formula>"D - Rejected "</formula>
    </cfRule>
    <cfRule type="cellIs" dxfId="4691" priority="35" operator="between">
      <formula>"E - Review not Required - Proceed"</formula>
      <formula>"E - Review not Required - Proceed"</formula>
    </cfRule>
    <cfRule type="cellIs" dxfId="4690" priority="34" operator="between">
      <formula>"B - Incorporate Comments - Proceed"</formula>
      <formula>"B - Incorporate Comments - Proceed"</formula>
    </cfRule>
    <cfRule type="cellIs" dxfId="4689" priority="33" operator="between">
      <formula>"A - Work May Proceed"</formula>
      <formula>"A - Work May Proceed"</formula>
    </cfRule>
    <cfRule type="cellIs" dxfId="4688" priority="32" operator="between">
      <formula>"B - Incorporate Comments - Proceed"</formula>
      <formula>"B - Incorporate Comments - Proceed"</formula>
    </cfRule>
    <cfRule type="cellIs" dxfId="4687" priority="31" operator="between">
      <formula>"C - Revise and Resubmit - Do Not Proceed"</formula>
      <formula>"C - Revise and Resubmit - Do Not Proceed"</formula>
    </cfRule>
    <cfRule type="cellIs" dxfId="4686" priority="30" operator="between">
      <formula>"'D - Rejected "</formula>
      <formula>"'D - Rejected "</formula>
    </cfRule>
    <cfRule type="cellIs" dxfId="4685" priority="29" operator="between">
      <formula>"E - Review not Required - Proceed"</formula>
      <formula>"E - Review not Required - Proceed"</formula>
    </cfRule>
    <cfRule type="cellIs" dxfId="4684" priority="28" operator="equal">
      <formula>"E - Review Not Required - Proceed"</formula>
    </cfRule>
    <cfRule type="cellIs" dxfId="4683" priority="26" operator="equal">
      <formula>"For Information"</formula>
    </cfRule>
    <cfRule type="cellIs" dxfId="4682" priority="25" operator="equal">
      <formula>"A - Work May Proceed"</formula>
    </cfRule>
    <cfRule type="cellIs" dxfId="4681" priority="24" operator="equal">
      <formula>"C - Revise and Resubmit - Do Not Proceed"</formula>
    </cfRule>
    <cfRule type="cellIs" dxfId="4680" priority="23" operator="equal">
      <formula>"B - Incorporate Comments - Proceed"</formula>
    </cfRule>
    <cfRule type="cellIs" dxfId="4679" priority="22" operator="equal">
      <formula>"D - Rejected"</formula>
    </cfRule>
    <cfRule type="cellIs" dxfId="4678" priority="21" operator="equal">
      <formula>"E - Review not Required - Proceed"</formula>
    </cfRule>
    <cfRule type="cellIs" dxfId="4677" priority="27" operator="equal">
      <formula>"B - Incorporate Comments - Proceed "</formula>
    </cfRule>
    <cfRule type="cellIs" dxfId="4676" priority="40" stopIfTrue="1" operator="between">
      <formula>"B - Incorporate Comments - Proceed "</formula>
      <formula>"B - Incorporate Comments - Proceed "</formula>
    </cfRule>
  </conditionalFormatting>
  <pageMargins left="0.7" right="0.7" top="0.75" bottom="0.75" header="0.3" footer="0.3"/>
  <pageSetup paperSize="8" scale="10" fitToHeight="0" orientation="landscape" r:id="rId1"/>
  <colBreaks count="1" manualBreakCount="1">
    <brk id="57" max="197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tabColor theme="4"/>
    <pageSetUpPr fitToPage="1"/>
  </sheetPr>
  <dimension ref="A1:BF25"/>
  <sheetViews>
    <sheetView zoomScale="55" zoomScaleNormal="55" zoomScaleSheetLayoutView="70" workbookViewId="0">
      <pane ySplit="11" topLeftCell="A14" activePane="bottomLeft" state="frozen"/>
      <selection activeCell="A14" sqref="A14"/>
      <selection pane="bottomLeft" activeCell="E28" sqref="E28"/>
    </sheetView>
  </sheetViews>
  <sheetFormatPr defaultColWidth="9.140625" defaultRowHeight="15" x14ac:dyDescent="0.25"/>
  <cols>
    <col min="1" max="1" width="25.42578125" style="393" customWidth="1"/>
    <col min="2" max="2" width="32" style="393" customWidth="1"/>
    <col min="3" max="3" width="22.85546875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19.7109375" style="393" customWidth="1"/>
    <col min="9" max="9" width="33.7109375" style="394" customWidth="1"/>
    <col min="10" max="10" width="30.140625" style="395" customWidth="1"/>
    <col min="11" max="12" width="30.140625" style="394" customWidth="1"/>
    <col min="13" max="13" width="30.140625" style="395" customWidth="1"/>
    <col min="14" max="14" width="30.140625" style="396" customWidth="1"/>
    <col min="15" max="16" width="30.140625" style="393" customWidth="1"/>
    <col min="17" max="17" width="30.140625" style="397" customWidth="1"/>
    <col min="18" max="19" width="30.140625" style="393" customWidth="1"/>
    <col min="20" max="21" width="30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4" width="30.140625" style="397" customWidth="1"/>
    <col min="35" max="35" width="30.140625" style="398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9.5703125" style="401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 s="111"/>
      <c r="O1"/>
      <c r="P1"/>
      <c r="Q1"/>
      <c r="R1"/>
      <c r="S1"/>
      <c r="T1"/>
      <c r="U1"/>
      <c r="V1"/>
      <c r="W1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21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"/>
    </row>
    <row r="2" spans="1:58" s="379" customFormat="1" ht="24" customHeight="1" x14ac:dyDescent="0.35">
      <c r="A2" s="8"/>
      <c r="B2" s="25" t="s">
        <v>28</v>
      </c>
      <c r="C2" s="26" t="s">
        <v>31</v>
      </c>
      <c r="D2" s="26"/>
      <c r="E2" s="26"/>
      <c r="F2" s="27"/>
      <c r="G2" s="8"/>
      <c r="H2" s="548"/>
      <c r="I2" s="558"/>
      <c r="J2"/>
      <c r="K2"/>
      <c r="L2"/>
      <c r="M2"/>
      <c r="N2" s="111"/>
      <c r="O2"/>
      <c r="P2"/>
      <c r="Q2"/>
      <c r="R2"/>
      <c r="S2"/>
      <c r="T2"/>
      <c r="U2"/>
      <c r="V2"/>
      <c r="W2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21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"/>
    </row>
    <row r="3" spans="1:58" s="379" customFormat="1" ht="24" customHeight="1" x14ac:dyDescent="0.35">
      <c r="A3" s="8"/>
      <c r="B3" s="25" t="s">
        <v>507</v>
      </c>
      <c r="C3" s="49" t="s">
        <v>295</v>
      </c>
      <c r="D3" s="26"/>
      <c r="E3" s="26"/>
      <c r="F3" s="27"/>
      <c r="G3" s="8"/>
      <c r="H3" s="8"/>
      <c r="I3"/>
      <c r="J3"/>
      <c r="K3"/>
      <c r="L3"/>
      <c r="M3"/>
      <c r="N3" s="111"/>
      <c r="O3"/>
      <c r="P3"/>
      <c r="Q3"/>
      <c r="R3"/>
      <c r="S3"/>
      <c r="T3"/>
      <c r="U3"/>
      <c r="V3"/>
      <c r="W3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21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 s="111"/>
      <c r="O4"/>
      <c r="P4"/>
      <c r="Q4"/>
      <c r="R4"/>
      <c r="S4"/>
      <c r="T4"/>
      <c r="U4"/>
      <c r="V4"/>
      <c r="W4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21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"/>
    </row>
    <row r="5" spans="1:58" s="401" customFormat="1" ht="30.75" customHeight="1" x14ac:dyDescent="0.25">
      <c r="A5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 s="111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 s="111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</row>
    <row r="6" spans="1:58" s="401" customFormat="1" ht="24" customHeight="1" x14ac:dyDescent="0.35">
      <c r="A6"/>
      <c r="B6" s="64">
        <f>COUNTIF(B11:B25,"A - Work May Proceed")</f>
        <v>6</v>
      </c>
      <c r="C6" s="65">
        <f>COUNTIF(B11:B25,"B- Incorporate Comments - Proceed")</f>
        <v>5</v>
      </c>
      <c r="D6" s="65">
        <f>COUNTIF(B11:B25,"C - Revise and Resubmit - Do Not Proceed")</f>
        <v>0</v>
      </c>
      <c r="E6" s="65">
        <f>COUNTIF(B11:B25,"D - Rejected")</f>
        <v>0</v>
      </c>
      <c r="F6" s="65">
        <f>COUNTIF(B11:B25,"E - Review not Required - Proceed")</f>
        <v>0</v>
      </c>
      <c r="G6" s="66">
        <f>COUNTIF(B11:B25,"UR")</f>
        <v>0</v>
      </c>
      <c r="H6" s="66">
        <f>COUNTIF(B11:B25,"FA")</f>
        <v>0</v>
      </c>
      <c r="I6" s="66">
        <f>COUNTIF(B11:B25,"Terminated")</f>
        <v>0</v>
      </c>
      <c r="J6" s="66">
        <f>COUNTIF(B11:B25,"Cancelled")</f>
        <v>2</v>
      </c>
      <c r="K6"/>
      <c r="L6"/>
      <c r="M6"/>
      <c r="N6" s="111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 s="111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</row>
    <row r="7" spans="1:58" s="401" customFormat="1" ht="24" customHeight="1" x14ac:dyDescent="0.35">
      <c r="A7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 s="111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111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</row>
    <row r="8" spans="1:58" s="401" customFormat="1" ht="24" customHeight="1" x14ac:dyDescent="0.25">
      <c r="A8"/>
      <c r="B8" s="72" t="s">
        <v>509</v>
      </c>
      <c r="C8" s="73">
        <f>SUM(B6:J6)</f>
        <v>13</v>
      </c>
      <c r="D8" s="69"/>
      <c r="E8" s="70"/>
      <c r="F8" s="70"/>
      <c r="G8" s="74"/>
      <c r="H8" s="75"/>
      <c r="I8" s="76"/>
      <c r="J8" s="75"/>
      <c r="K8"/>
      <c r="L8"/>
      <c r="M8"/>
      <c r="N8" s="111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 s="111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 s="8"/>
      <c r="J9" s="8"/>
      <c r="K9" s="8"/>
      <c r="L9" s="8"/>
      <c r="M9" s="8"/>
      <c r="N9" s="117"/>
      <c r="O9" s="8"/>
      <c r="P9" s="8"/>
      <c r="Q9" s="8"/>
      <c r="R9" s="8"/>
      <c r="S9" s="8"/>
      <c r="T9" s="8"/>
      <c r="U9" s="8"/>
      <c r="V9" s="7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21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"/>
    </row>
    <row r="10" spans="1:58" s="405" customFormat="1" ht="36.75" customHeight="1" x14ac:dyDescent="0.2">
      <c r="A10" s="550" t="s">
        <v>3259</v>
      </c>
      <c r="B10" s="554" t="s">
        <v>17</v>
      </c>
      <c r="C10" s="556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51"/>
      <c r="B11" s="555"/>
      <c r="C11" s="557"/>
      <c r="D11" s="557"/>
      <c r="E11" s="557"/>
      <c r="F11" s="557"/>
      <c r="G11" s="553"/>
      <c r="H11" s="540"/>
      <c r="I11" s="46" t="s">
        <v>0</v>
      </c>
      <c r="J11" s="52" t="s">
        <v>9</v>
      </c>
      <c r="K11" s="46" t="s">
        <v>11</v>
      </c>
      <c r="L11" s="89" t="s">
        <v>939</v>
      </c>
      <c r="M11" s="52" t="s">
        <v>6</v>
      </c>
      <c r="N11" s="112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24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/>
      <c r="B12" s="56" t="s">
        <v>5</v>
      </c>
      <c r="C12" s="56" t="s">
        <v>588</v>
      </c>
      <c r="D12" s="10" t="s">
        <v>296</v>
      </c>
      <c r="E12" s="12" t="s">
        <v>297</v>
      </c>
      <c r="F12" s="16" t="s">
        <v>300</v>
      </c>
      <c r="G12" s="10" t="s">
        <v>30</v>
      </c>
      <c r="H12" s="10" t="s">
        <v>295</v>
      </c>
      <c r="I12" s="55" t="s">
        <v>18</v>
      </c>
      <c r="J12" s="53">
        <v>45572</v>
      </c>
      <c r="K12" s="13" t="s">
        <v>302</v>
      </c>
      <c r="L12" s="53">
        <f t="shared" ref="L12:L17" si="0">J12+7</f>
        <v>45579</v>
      </c>
      <c r="M12" s="53">
        <v>45581</v>
      </c>
      <c r="N12" s="92">
        <f t="shared" ref="N12:N18" si="1">M12-L12</f>
        <v>2</v>
      </c>
      <c r="O12" s="10" t="s">
        <v>304</v>
      </c>
      <c r="P12" s="60" t="s">
        <v>18</v>
      </c>
      <c r="Q12" s="21">
        <v>45638</v>
      </c>
      <c r="R12" s="10" t="s">
        <v>1393</v>
      </c>
      <c r="S12" s="53">
        <f>Q12+7</f>
        <v>45645</v>
      </c>
      <c r="T12" s="21">
        <v>45651</v>
      </c>
      <c r="U12" s="92">
        <f>T12-S12</f>
        <v>6</v>
      </c>
      <c r="V12" s="10" t="s">
        <v>1416</v>
      </c>
      <c r="W12" s="10" t="s">
        <v>5</v>
      </c>
      <c r="X12" s="21">
        <v>45799</v>
      </c>
      <c r="Y12" s="10" t="s">
        <v>3334</v>
      </c>
      <c r="Z12" s="21">
        <f>X12+7</f>
        <v>45806</v>
      </c>
      <c r="AA12" s="21">
        <v>45809</v>
      </c>
      <c r="AB12" s="92">
        <f>AA12-Z12</f>
        <v>3</v>
      </c>
      <c r="AC12" s="10" t="s">
        <v>3341</v>
      </c>
      <c r="AD12" s="10"/>
      <c r="AE12" s="21"/>
      <c r="AF12" s="10"/>
      <c r="AG12" s="10"/>
      <c r="AH12" s="21"/>
      <c r="AI12" s="95"/>
      <c r="AJ12" s="10"/>
      <c r="AK12" s="10"/>
      <c r="AL12" s="17"/>
      <c r="AM12" s="11"/>
      <c r="AN12" s="11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1"/>
      <c r="BF12" s="368"/>
    </row>
    <row r="13" spans="1:58" s="381" customFormat="1" ht="42" customHeight="1" x14ac:dyDescent="0.25">
      <c r="A13" s="367"/>
      <c r="B13" s="56" t="s">
        <v>18</v>
      </c>
      <c r="C13" s="56" t="s">
        <v>54</v>
      </c>
      <c r="D13" s="10" t="s">
        <v>298</v>
      </c>
      <c r="E13" s="12" t="s">
        <v>299</v>
      </c>
      <c r="F13" s="16" t="s">
        <v>301</v>
      </c>
      <c r="G13" s="10" t="s">
        <v>30</v>
      </c>
      <c r="H13" s="10" t="s">
        <v>295</v>
      </c>
      <c r="I13" s="55" t="s">
        <v>18</v>
      </c>
      <c r="J13" s="53">
        <v>45572</v>
      </c>
      <c r="K13" s="13" t="s">
        <v>303</v>
      </c>
      <c r="L13" s="53">
        <f t="shared" si="0"/>
        <v>45579</v>
      </c>
      <c r="M13" s="53">
        <v>45581</v>
      </c>
      <c r="N13" s="92">
        <f t="shared" si="1"/>
        <v>2</v>
      </c>
      <c r="O13" s="10" t="s">
        <v>313</v>
      </c>
      <c r="P13" s="16"/>
      <c r="Q13" s="21"/>
      <c r="R13" s="10"/>
      <c r="S13" s="10"/>
      <c r="T13" s="21"/>
      <c r="U13" s="21"/>
      <c r="V13" s="10"/>
      <c r="W13" s="10"/>
      <c r="X13" s="21"/>
      <c r="Y13" s="10"/>
      <c r="Z13" s="10"/>
      <c r="AA13" s="21"/>
      <c r="AB13" s="21"/>
      <c r="AC13" s="10"/>
      <c r="AD13" s="10"/>
      <c r="AE13" s="21"/>
      <c r="AF13" s="10"/>
      <c r="AG13" s="10"/>
      <c r="AH13" s="21"/>
      <c r="AI13" s="95"/>
      <c r="AJ13" s="10"/>
      <c r="AK13" s="10"/>
      <c r="AL13" s="17"/>
      <c r="AM13" s="11"/>
      <c r="AN13" s="11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1"/>
      <c r="BF13" s="368"/>
    </row>
    <row r="14" spans="1:58" s="381" customFormat="1" ht="42" customHeight="1" x14ac:dyDescent="0.25">
      <c r="A14" s="367">
        <v>730007</v>
      </c>
      <c r="B14" s="56" t="s">
        <v>5</v>
      </c>
      <c r="C14" s="56" t="s">
        <v>588</v>
      </c>
      <c r="D14" s="10" t="s">
        <v>1405</v>
      </c>
      <c r="E14" s="12" t="s">
        <v>1406</v>
      </c>
      <c r="F14" s="16" t="s">
        <v>1407</v>
      </c>
      <c r="G14" s="10" t="s">
        <v>30</v>
      </c>
      <c r="H14" s="10" t="s">
        <v>295</v>
      </c>
      <c r="I14" s="16" t="s">
        <v>3</v>
      </c>
      <c r="J14" s="53">
        <v>45638</v>
      </c>
      <c r="K14" s="13" t="s">
        <v>1408</v>
      </c>
      <c r="L14" s="53">
        <f t="shared" si="0"/>
        <v>45645</v>
      </c>
      <c r="M14" s="53">
        <v>45651</v>
      </c>
      <c r="N14" s="92">
        <f t="shared" si="1"/>
        <v>6</v>
      </c>
      <c r="O14" s="10" t="s">
        <v>1419</v>
      </c>
      <c r="P14" s="10" t="s">
        <v>18</v>
      </c>
      <c r="Q14" s="21">
        <v>45654</v>
      </c>
      <c r="R14" s="10" t="s">
        <v>1684</v>
      </c>
      <c r="S14" s="53">
        <f>Q14+7</f>
        <v>45661</v>
      </c>
      <c r="T14" s="21">
        <v>45657</v>
      </c>
      <c r="U14" s="92">
        <f>T14-S14</f>
        <v>-4</v>
      </c>
      <c r="V14" s="10" t="s">
        <v>1690</v>
      </c>
      <c r="W14" s="59" t="s">
        <v>5</v>
      </c>
      <c r="X14" s="21">
        <v>45718</v>
      </c>
      <c r="Y14" s="10" t="s">
        <v>2657</v>
      </c>
      <c r="Z14" s="21">
        <f>X14+7</f>
        <v>45725</v>
      </c>
      <c r="AA14" s="21">
        <v>45725</v>
      </c>
      <c r="AB14" s="92">
        <f>AA14-Z14</f>
        <v>0</v>
      </c>
      <c r="AC14" s="10" t="s">
        <v>2663</v>
      </c>
      <c r="AD14" s="10"/>
      <c r="AE14" s="21"/>
      <c r="AF14" s="10"/>
      <c r="AG14" s="10"/>
      <c r="AH14" s="21"/>
      <c r="AI14" s="95"/>
      <c r="AJ14" s="10"/>
      <c r="AK14" s="10"/>
      <c r="AL14" s="17"/>
      <c r="AM14" s="11"/>
      <c r="AN14" s="11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1"/>
      <c r="BF14" s="368"/>
    </row>
    <row r="15" spans="1:58" s="381" customFormat="1" ht="42" customHeight="1" x14ac:dyDescent="0.25">
      <c r="A15" s="367">
        <v>730007</v>
      </c>
      <c r="B15" s="56" t="s">
        <v>18</v>
      </c>
      <c r="C15" s="56" t="s">
        <v>208</v>
      </c>
      <c r="D15" s="10" t="s">
        <v>1565</v>
      </c>
      <c r="E15" s="12" t="s">
        <v>1566</v>
      </c>
      <c r="F15" s="16" t="s">
        <v>1567</v>
      </c>
      <c r="G15" s="10" t="s">
        <v>30</v>
      </c>
      <c r="H15" s="10" t="s">
        <v>295</v>
      </c>
      <c r="I15" s="56" t="s">
        <v>18</v>
      </c>
      <c r="J15" s="53">
        <v>45646</v>
      </c>
      <c r="K15" s="13" t="s">
        <v>1568</v>
      </c>
      <c r="L15" s="53">
        <f t="shared" si="0"/>
        <v>45653</v>
      </c>
      <c r="M15" s="53">
        <v>45651</v>
      </c>
      <c r="N15" s="92">
        <f t="shared" si="1"/>
        <v>-2</v>
      </c>
      <c r="O15" s="10" t="s">
        <v>1595</v>
      </c>
      <c r="P15" s="16" t="s">
        <v>18</v>
      </c>
      <c r="Q15" s="21">
        <v>45773</v>
      </c>
      <c r="R15" s="10" t="s">
        <v>3088</v>
      </c>
      <c r="S15" s="53">
        <f>Q15+7</f>
        <v>45780</v>
      </c>
      <c r="T15" s="21">
        <v>45775</v>
      </c>
      <c r="U15" s="92">
        <f>T15-S15</f>
        <v>-5</v>
      </c>
      <c r="V15" s="10" t="s">
        <v>3101</v>
      </c>
      <c r="W15" s="10"/>
      <c r="X15" s="21"/>
      <c r="Y15" s="10"/>
      <c r="Z15" s="10"/>
      <c r="AA15" s="21"/>
      <c r="AB15" s="21"/>
      <c r="AC15" s="10"/>
      <c r="AD15" s="10"/>
      <c r="AE15" s="21"/>
      <c r="AF15" s="10"/>
      <c r="AG15" s="10"/>
      <c r="AH15" s="21"/>
      <c r="AI15" s="95"/>
      <c r="AJ15" s="10"/>
      <c r="AK15" s="10"/>
      <c r="AL15" s="17"/>
      <c r="AM15" s="11"/>
      <c r="AN15" s="11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1"/>
      <c r="BF15" s="368"/>
    </row>
    <row r="16" spans="1:58" s="381" customFormat="1" ht="42" customHeight="1" x14ac:dyDescent="0.25">
      <c r="A16" s="367">
        <v>730007</v>
      </c>
      <c r="B16" s="56" t="s">
        <v>18</v>
      </c>
      <c r="C16" s="56" t="s">
        <v>54</v>
      </c>
      <c r="D16" s="10" t="s">
        <v>1808</v>
      </c>
      <c r="E16" s="12" t="s">
        <v>1809</v>
      </c>
      <c r="F16" s="16" t="s">
        <v>1810</v>
      </c>
      <c r="G16" s="10" t="s">
        <v>30</v>
      </c>
      <c r="H16" s="10" t="s">
        <v>295</v>
      </c>
      <c r="I16" s="56" t="s">
        <v>18</v>
      </c>
      <c r="J16" s="53">
        <v>45661</v>
      </c>
      <c r="K16" s="13" t="s">
        <v>1811</v>
      </c>
      <c r="L16" s="53">
        <f t="shared" si="0"/>
        <v>45668</v>
      </c>
      <c r="M16" s="53">
        <v>45673</v>
      </c>
      <c r="N16" s="92">
        <f t="shared" si="1"/>
        <v>5</v>
      </c>
      <c r="O16" s="10" t="s">
        <v>1821</v>
      </c>
      <c r="P16" s="9"/>
      <c r="Q16" s="21"/>
      <c r="R16" s="10"/>
      <c r="S16" s="10"/>
      <c r="T16" s="21"/>
      <c r="U16" s="21"/>
      <c r="V16" s="10"/>
      <c r="W16" s="10"/>
      <c r="X16" s="21"/>
      <c r="Y16" s="10"/>
      <c r="Z16" s="10"/>
      <c r="AA16" s="21"/>
      <c r="AB16" s="21"/>
      <c r="AC16" s="10"/>
      <c r="AD16" s="10"/>
      <c r="AE16" s="21"/>
      <c r="AF16" s="10"/>
      <c r="AG16" s="10"/>
      <c r="AH16" s="21"/>
      <c r="AI16" s="95"/>
      <c r="AJ16" s="10"/>
      <c r="AK16" s="10"/>
      <c r="AL16" s="17"/>
      <c r="AM16" s="11"/>
      <c r="AN16" s="11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1"/>
      <c r="BF16" s="368"/>
    </row>
    <row r="17" spans="1:58" s="381" customFormat="1" ht="42" customHeight="1" x14ac:dyDescent="0.25">
      <c r="A17" s="367">
        <v>730007</v>
      </c>
      <c r="B17" s="79" t="s">
        <v>508</v>
      </c>
      <c r="C17" s="128" t="s">
        <v>627</v>
      </c>
      <c r="D17" s="10" t="s">
        <v>1882</v>
      </c>
      <c r="E17" s="12" t="s">
        <v>1883</v>
      </c>
      <c r="F17" s="16" t="s">
        <v>1884</v>
      </c>
      <c r="G17" s="10" t="s">
        <v>30</v>
      </c>
      <c r="H17" s="10" t="s">
        <v>295</v>
      </c>
      <c r="I17" s="16" t="s">
        <v>3</v>
      </c>
      <c r="J17" s="53">
        <v>45665</v>
      </c>
      <c r="K17" s="13" t="s">
        <v>1885</v>
      </c>
      <c r="L17" s="53">
        <f t="shared" si="0"/>
        <v>45672</v>
      </c>
      <c r="M17" s="53">
        <v>45675</v>
      </c>
      <c r="N17" s="92">
        <f t="shared" si="1"/>
        <v>3</v>
      </c>
      <c r="O17" s="10" t="s">
        <v>1891</v>
      </c>
      <c r="P17" s="9" t="s">
        <v>508</v>
      </c>
      <c r="Q17" s="21">
        <v>45887</v>
      </c>
      <c r="R17" s="10" t="s">
        <v>3975</v>
      </c>
      <c r="S17" s="10" t="s">
        <v>626</v>
      </c>
      <c r="T17" s="21"/>
      <c r="U17" s="21"/>
      <c r="V17" s="10"/>
      <c r="W17" s="10"/>
      <c r="X17" s="21"/>
      <c r="Y17" s="10"/>
      <c r="Z17" s="10"/>
      <c r="AA17" s="21"/>
      <c r="AB17" s="21"/>
      <c r="AC17" s="10"/>
      <c r="AD17" s="10"/>
      <c r="AE17" s="21"/>
      <c r="AF17" s="10"/>
      <c r="AG17" s="10"/>
      <c r="AH17" s="21"/>
      <c r="AI17" s="95"/>
      <c r="AJ17" s="10"/>
      <c r="AK17" s="10"/>
      <c r="AL17" s="17"/>
      <c r="AM17" s="11"/>
      <c r="AN17" s="11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1"/>
      <c r="BF17" s="368"/>
    </row>
    <row r="18" spans="1:58" s="381" customFormat="1" ht="42" customHeight="1" x14ac:dyDescent="0.25">
      <c r="A18" s="367">
        <v>730007</v>
      </c>
      <c r="B18" s="56" t="s">
        <v>5</v>
      </c>
      <c r="C18" s="56" t="s">
        <v>208</v>
      </c>
      <c r="D18" s="10" t="s">
        <v>1906</v>
      </c>
      <c r="E18" s="12" t="s">
        <v>1907</v>
      </c>
      <c r="F18" s="16" t="s">
        <v>1908</v>
      </c>
      <c r="G18" s="10" t="s">
        <v>30</v>
      </c>
      <c r="H18" s="10" t="s">
        <v>295</v>
      </c>
      <c r="I18" s="16" t="s">
        <v>18</v>
      </c>
      <c r="J18" s="53">
        <v>45666</v>
      </c>
      <c r="K18" s="13" t="s">
        <v>1909</v>
      </c>
      <c r="L18" s="53">
        <f>J18+7</f>
        <v>45673</v>
      </c>
      <c r="M18" s="53">
        <v>45677</v>
      </c>
      <c r="N18" s="92">
        <f t="shared" si="1"/>
        <v>4</v>
      </c>
      <c r="O18" s="10" t="s">
        <v>1917</v>
      </c>
      <c r="P18" s="59" t="s">
        <v>5</v>
      </c>
      <c r="Q18" s="21">
        <v>46153</v>
      </c>
      <c r="R18" s="10" t="s">
        <v>6726</v>
      </c>
      <c r="S18" s="53">
        <f t="shared" ref="S18:S23" si="2">Q18+7</f>
        <v>46160</v>
      </c>
      <c r="T18" s="53">
        <v>46160</v>
      </c>
      <c r="U18" s="92">
        <f t="shared" ref="U18:U23" si="3">T18-S18</f>
        <v>0</v>
      </c>
      <c r="V18" s="10" t="s">
        <v>6734</v>
      </c>
      <c r="W18" s="10"/>
      <c r="X18" s="21"/>
      <c r="Y18" s="10"/>
      <c r="Z18" s="10"/>
      <c r="AA18" s="21"/>
      <c r="AB18" s="21"/>
      <c r="AC18" s="10"/>
      <c r="AD18" s="10"/>
      <c r="AE18" s="21"/>
      <c r="AF18" s="10"/>
      <c r="AG18" s="10"/>
      <c r="AH18" s="21"/>
      <c r="AI18" s="95"/>
      <c r="AJ18" s="10"/>
      <c r="AK18" s="10"/>
      <c r="AL18" s="17"/>
      <c r="AM18" s="11"/>
      <c r="AN18" s="11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1"/>
      <c r="BF18" s="368"/>
    </row>
    <row r="19" spans="1:58" s="381" customFormat="1" ht="42" customHeight="1" x14ac:dyDescent="0.25">
      <c r="A19" s="367">
        <v>730007</v>
      </c>
      <c r="B19" s="79" t="s">
        <v>508</v>
      </c>
      <c r="C19" s="128" t="s">
        <v>627</v>
      </c>
      <c r="D19" s="10" t="s">
        <v>2010</v>
      </c>
      <c r="E19" s="12" t="s">
        <v>2011</v>
      </c>
      <c r="F19" s="16" t="s">
        <v>2012</v>
      </c>
      <c r="G19" s="10" t="s">
        <v>30</v>
      </c>
      <c r="H19" s="10" t="s">
        <v>295</v>
      </c>
      <c r="I19" s="16" t="s">
        <v>3</v>
      </c>
      <c r="J19" s="53">
        <v>45672</v>
      </c>
      <c r="K19" s="13" t="s">
        <v>2013</v>
      </c>
      <c r="L19" s="53">
        <f t="shared" ref="L19:L24" si="4">J19+7</f>
        <v>45679</v>
      </c>
      <c r="M19" s="53">
        <v>45675</v>
      </c>
      <c r="N19" s="92">
        <f t="shared" ref="N19:N24" si="5">M19-L19</f>
        <v>-4</v>
      </c>
      <c r="O19" s="10" t="s">
        <v>2023</v>
      </c>
      <c r="P19" s="10" t="s">
        <v>3</v>
      </c>
      <c r="Q19" s="21">
        <v>45693</v>
      </c>
      <c r="R19" s="10" t="s">
        <v>2327</v>
      </c>
      <c r="S19" s="53">
        <f t="shared" si="2"/>
        <v>45700</v>
      </c>
      <c r="T19" s="53">
        <v>45701</v>
      </c>
      <c r="U19" s="92">
        <f t="shared" si="3"/>
        <v>1</v>
      </c>
      <c r="V19" s="10" t="s">
        <v>2363</v>
      </c>
      <c r="W19" s="10" t="s">
        <v>508</v>
      </c>
      <c r="X19" s="21">
        <v>45971</v>
      </c>
      <c r="Y19" s="10" t="s">
        <v>4806</v>
      </c>
      <c r="Z19" s="10"/>
      <c r="AA19" s="21"/>
      <c r="AB19" s="21"/>
      <c r="AC19" s="10"/>
      <c r="AD19" s="10"/>
      <c r="AE19" s="21"/>
      <c r="AF19" s="10"/>
      <c r="AG19" s="10"/>
      <c r="AH19" s="21"/>
      <c r="AI19" s="95"/>
      <c r="AJ19" s="10"/>
      <c r="AK19" s="10"/>
      <c r="AL19" s="17"/>
      <c r="AM19" s="11"/>
      <c r="AN19" s="11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1"/>
      <c r="BF19" s="368"/>
    </row>
    <row r="20" spans="1:58" s="381" customFormat="1" ht="42" customHeight="1" x14ac:dyDescent="0.25">
      <c r="A20" s="367">
        <v>730007</v>
      </c>
      <c r="B20" s="12" t="s">
        <v>5</v>
      </c>
      <c r="C20" s="56" t="s">
        <v>588</v>
      </c>
      <c r="D20" s="10" t="s">
        <v>2086</v>
      </c>
      <c r="E20" s="12" t="s">
        <v>2087</v>
      </c>
      <c r="F20" s="16" t="s">
        <v>2088</v>
      </c>
      <c r="G20" s="10" t="s">
        <v>30</v>
      </c>
      <c r="H20" s="10" t="s">
        <v>295</v>
      </c>
      <c r="I20" s="16" t="s">
        <v>18</v>
      </c>
      <c r="J20" s="53">
        <v>45679</v>
      </c>
      <c r="K20" s="13" t="s">
        <v>2089</v>
      </c>
      <c r="L20" s="53">
        <f t="shared" si="4"/>
        <v>45686</v>
      </c>
      <c r="M20" s="53">
        <v>45686</v>
      </c>
      <c r="N20" s="92">
        <f t="shared" si="5"/>
        <v>0</v>
      </c>
      <c r="O20" s="10" t="s">
        <v>2111</v>
      </c>
      <c r="P20" s="16" t="s">
        <v>3</v>
      </c>
      <c r="Q20" s="21">
        <v>45799</v>
      </c>
      <c r="R20" s="10" t="s">
        <v>3338</v>
      </c>
      <c r="S20" s="53">
        <f t="shared" si="2"/>
        <v>45806</v>
      </c>
      <c r="T20" s="21">
        <v>45804</v>
      </c>
      <c r="U20" s="92">
        <f t="shared" si="3"/>
        <v>-2</v>
      </c>
      <c r="V20" s="10" t="s">
        <v>3349</v>
      </c>
      <c r="W20" s="10" t="s">
        <v>5</v>
      </c>
      <c r="X20" s="21">
        <v>45859</v>
      </c>
      <c r="Y20" s="150" t="s">
        <v>3740</v>
      </c>
      <c r="Z20" s="21">
        <f>X20+7</f>
        <v>45866</v>
      </c>
      <c r="AA20" s="21">
        <v>45861</v>
      </c>
      <c r="AB20" s="92">
        <f>AA20-Z20</f>
        <v>-5</v>
      </c>
      <c r="AC20" s="10" t="s">
        <v>3758</v>
      </c>
      <c r="AD20" s="10"/>
      <c r="AE20" s="21"/>
      <c r="AF20" s="10"/>
      <c r="AG20" s="10"/>
      <c r="AH20" s="21"/>
      <c r="AI20" s="95"/>
      <c r="AJ20" s="10"/>
      <c r="AK20" s="10"/>
      <c r="AL20" s="17"/>
      <c r="AM20" s="11"/>
      <c r="AN20" s="11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1"/>
      <c r="BF20" s="368"/>
    </row>
    <row r="21" spans="1:58" s="381" customFormat="1" ht="42" customHeight="1" x14ac:dyDescent="0.25">
      <c r="A21" s="367">
        <v>730007</v>
      </c>
      <c r="B21" s="11" t="s">
        <v>5</v>
      </c>
      <c r="C21" s="56" t="s">
        <v>725</v>
      </c>
      <c r="D21" s="10" t="s">
        <v>2359</v>
      </c>
      <c r="E21" s="12" t="s">
        <v>2360</v>
      </c>
      <c r="F21" s="16" t="s">
        <v>2361</v>
      </c>
      <c r="G21" s="10" t="s">
        <v>30</v>
      </c>
      <c r="H21" s="10" t="s">
        <v>295</v>
      </c>
      <c r="I21" s="16" t="s">
        <v>18</v>
      </c>
      <c r="J21" s="53">
        <v>45695</v>
      </c>
      <c r="K21" s="13" t="s">
        <v>2362</v>
      </c>
      <c r="L21" s="53">
        <f t="shared" si="4"/>
        <v>45702</v>
      </c>
      <c r="M21" s="53">
        <v>45701</v>
      </c>
      <c r="N21" s="92">
        <f t="shared" si="5"/>
        <v>-1</v>
      </c>
      <c r="O21" s="10" t="s">
        <v>2375</v>
      </c>
      <c r="P21" s="12" t="s">
        <v>18</v>
      </c>
      <c r="Q21" s="21">
        <v>45776</v>
      </c>
      <c r="R21" s="10" t="s">
        <v>3107</v>
      </c>
      <c r="S21" s="53">
        <f t="shared" si="2"/>
        <v>45783</v>
      </c>
      <c r="T21" s="21">
        <v>45778</v>
      </c>
      <c r="U21" s="92">
        <f t="shared" si="3"/>
        <v>-5</v>
      </c>
      <c r="V21" s="10" t="s">
        <v>3119</v>
      </c>
      <c r="W21" s="10" t="s">
        <v>3</v>
      </c>
      <c r="X21" s="21">
        <v>45782</v>
      </c>
      <c r="Y21" s="10" t="s">
        <v>3197</v>
      </c>
      <c r="Z21" s="21">
        <f>X21+7</f>
        <v>45789</v>
      </c>
      <c r="AA21" s="21">
        <v>45788</v>
      </c>
      <c r="AB21" s="92">
        <f>AA21-Z21</f>
        <v>-1</v>
      </c>
      <c r="AC21" s="10" t="s">
        <v>3219</v>
      </c>
      <c r="AD21" s="10" t="s">
        <v>5</v>
      </c>
      <c r="AE21" s="21">
        <v>45789</v>
      </c>
      <c r="AF21" s="10" t="s">
        <v>3266</v>
      </c>
      <c r="AG21" s="21">
        <f>AE21+7</f>
        <v>45796</v>
      </c>
      <c r="AH21" s="21">
        <v>45790</v>
      </c>
      <c r="AI21" s="95">
        <f>AH21-AG21</f>
        <v>-6</v>
      </c>
      <c r="AJ21" s="10" t="s">
        <v>3278</v>
      </c>
      <c r="AK21" s="10"/>
      <c r="AL21" s="17"/>
      <c r="AM21" s="11"/>
      <c r="AN21" s="11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1"/>
      <c r="BF21" s="368"/>
    </row>
    <row r="22" spans="1:58" s="381" customFormat="1" ht="42" customHeight="1" x14ac:dyDescent="0.25">
      <c r="A22" s="442" t="s">
        <v>3256</v>
      </c>
      <c r="B22" s="11" t="s">
        <v>18</v>
      </c>
      <c r="C22" s="56" t="s">
        <v>54</v>
      </c>
      <c r="D22" s="12" t="s">
        <v>6967</v>
      </c>
      <c r="E22" s="12" t="s">
        <v>6966</v>
      </c>
      <c r="F22" s="16" t="s">
        <v>6965</v>
      </c>
      <c r="G22" s="10" t="s">
        <v>30</v>
      </c>
      <c r="H22" s="10" t="s">
        <v>295</v>
      </c>
      <c r="I22" s="16" t="s">
        <v>18</v>
      </c>
      <c r="J22" s="53">
        <v>46183</v>
      </c>
      <c r="K22" s="13" t="s">
        <v>6964</v>
      </c>
      <c r="L22" s="53">
        <f t="shared" si="4"/>
        <v>46190</v>
      </c>
      <c r="M22" s="53">
        <v>46196</v>
      </c>
      <c r="N22" s="92">
        <f t="shared" si="5"/>
        <v>6</v>
      </c>
      <c r="O22" s="10" t="s">
        <v>6986</v>
      </c>
      <c r="P22" s="16"/>
      <c r="Q22" s="21"/>
      <c r="R22" s="10"/>
      <c r="S22" s="53">
        <f t="shared" si="2"/>
        <v>7</v>
      </c>
      <c r="T22" s="21"/>
      <c r="U22" s="92">
        <f t="shared" si="3"/>
        <v>-7</v>
      </c>
      <c r="V22" s="10"/>
      <c r="W22" s="10"/>
      <c r="X22" s="21"/>
      <c r="Y22" s="10"/>
      <c r="Z22" s="10"/>
      <c r="AA22" s="21"/>
      <c r="AB22" s="21"/>
      <c r="AC22" s="10"/>
      <c r="AD22" s="10"/>
      <c r="AE22" s="21"/>
      <c r="AF22" s="10"/>
      <c r="AG22" s="10"/>
      <c r="AH22" s="21"/>
      <c r="AI22" s="95"/>
      <c r="AJ22" s="10"/>
      <c r="AK22" s="10"/>
      <c r="AL22" s="17"/>
      <c r="AM22" s="11"/>
      <c r="AN22" s="11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1"/>
      <c r="BF22" s="368"/>
    </row>
    <row r="23" spans="1:58" s="381" customFormat="1" ht="42" customHeight="1" x14ac:dyDescent="0.25">
      <c r="A23" s="442" t="s">
        <v>3256</v>
      </c>
      <c r="B23" s="16" t="s">
        <v>5</v>
      </c>
      <c r="C23" s="56" t="s">
        <v>208</v>
      </c>
      <c r="D23" s="12" t="s">
        <v>7209</v>
      </c>
      <c r="E23" s="12" t="s">
        <v>7210</v>
      </c>
      <c r="F23" s="16" t="s">
        <v>7212</v>
      </c>
      <c r="G23" s="10" t="s">
        <v>30</v>
      </c>
      <c r="H23" s="10" t="s">
        <v>295</v>
      </c>
      <c r="I23" s="16" t="s">
        <v>3</v>
      </c>
      <c r="J23" s="53">
        <v>46208</v>
      </c>
      <c r="K23" s="13" t="s">
        <v>7211</v>
      </c>
      <c r="L23" s="53">
        <f t="shared" si="4"/>
        <v>46215</v>
      </c>
      <c r="M23" s="53">
        <v>46217</v>
      </c>
      <c r="N23" s="92">
        <f t="shared" si="5"/>
        <v>2</v>
      </c>
      <c r="O23" s="10" t="s">
        <v>7216</v>
      </c>
      <c r="P23" s="10" t="s">
        <v>5</v>
      </c>
      <c r="Q23" s="21">
        <v>46218</v>
      </c>
      <c r="R23" s="150" t="s">
        <v>7294</v>
      </c>
      <c r="S23" s="53">
        <f t="shared" si="2"/>
        <v>46225</v>
      </c>
      <c r="T23" s="21">
        <v>46229</v>
      </c>
      <c r="U23" s="92">
        <f t="shared" si="3"/>
        <v>4</v>
      </c>
      <c r="V23" s="151" t="s">
        <v>7297</v>
      </c>
      <c r="W23" s="10"/>
      <c r="X23" s="21"/>
      <c r="Y23" s="10"/>
      <c r="Z23" s="10"/>
      <c r="AA23" s="21"/>
      <c r="AB23" s="21"/>
      <c r="AC23" s="10"/>
      <c r="AD23" s="10"/>
      <c r="AE23" s="21"/>
      <c r="AF23" s="10"/>
      <c r="AG23" s="10"/>
      <c r="AH23" s="21"/>
      <c r="AI23" s="95"/>
      <c r="AJ23" s="10"/>
      <c r="AK23" s="10"/>
      <c r="AL23" s="17"/>
      <c r="AM23" s="11"/>
      <c r="AN23" s="11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1"/>
      <c r="BF23" s="368"/>
    </row>
    <row r="24" spans="1:58" s="381" customFormat="1" ht="42" customHeight="1" x14ac:dyDescent="0.25">
      <c r="A24" s="442" t="s">
        <v>3256</v>
      </c>
      <c r="B24" s="16" t="s">
        <v>18</v>
      </c>
      <c r="C24" s="56" t="s">
        <v>54</v>
      </c>
      <c r="D24" s="12" t="s">
        <v>7385</v>
      </c>
      <c r="E24" s="12" t="s">
        <v>7386</v>
      </c>
      <c r="F24" s="16" t="s">
        <v>7387</v>
      </c>
      <c r="G24" s="10" t="s">
        <v>30</v>
      </c>
      <c r="H24" s="10" t="s">
        <v>295</v>
      </c>
      <c r="I24" s="16" t="s">
        <v>18</v>
      </c>
      <c r="J24" s="53">
        <v>46235</v>
      </c>
      <c r="K24" s="13" t="s">
        <v>7388</v>
      </c>
      <c r="L24" s="53">
        <f t="shared" si="4"/>
        <v>46242</v>
      </c>
      <c r="M24" s="53">
        <v>46245</v>
      </c>
      <c r="N24" s="92">
        <f t="shared" si="5"/>
        <v>3</v>
      </c>
      <c r="O24" s="10" t="s">
        <v>7395</v>
      </c>
      <c r="P24" s="10"/>
      <c r="Q24" s="21"/>
      <c r="R24" s="150"/>
      <c r="S24" s="53"/>
      <c r="T24" s="21"/>
      <c r="U24" s="92"/>
      <c r="V24" s="151"/>
      <c r="W24" s="10"/>
      <c r="X24" s="21"/>
      <c r="Y24" s="10"/>
      <c r="Z24" s="10"/>
      <c r="AA24" s="21"/>
      <c r="AB24" s="21"/>
      <c r="AC24" s="10"/>
      <c r="AD24" s="10"/>
      <c r="AE24" s="21"/>
      <c r="AF24" s="10"/>
      <c r="AG24" s="10"/>
      <c r="AH24" s="21"/>
      <c r="AI24" s="95"/>
      <c r="AJ24" s="10"/>
      <c r="AK24" s="10"/>
      <c r="AL24" s="17"/>
      <c r="AM24" s="11"/>
      <c r="AN24" s="11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1"/>
      <c r="BF24" s="368"/>
    </row>
    <row r="25" spans="1:58" s="381" customFormat="1" ht="42" customHeight="1" thickBot="1" x14ac:dyDescent="0.3">
      <c r="A25" s="442"/>
      <c r="B25" s="446"/>
      <c r="C25" s="446"/>
      <c r="D25" s="370"/>
      <c r="E25" s="370"/>
      <c r="F25" s="262"/>
      <c r="G25" s="263"/>
      <c r="H25" s="263"/>
      <c r="I25" s="262"/>
      <c r="J25" s="372"/>
      <c r="K25" s="373"/>
      <c r="L25" s="373"/>
      <c r="M25" s="372"/>
      <c r="N25" s="425"/>
      <c r="O25" s="263"/>
      <c r="P25" s="470"/>
      <c r="Q25" s="374"/>
      <c r="R25" s="263"/>
      <c r="S25" s="263"/>
      <c r="T25" s="374"/>
      <c r="U25" s="374"/>
      <c r="V25" s="263"/>
      <c r="W25" s="263"/>
      <c r="X25" s="374"/>
      <c r="Y25" s="263"/>
      <c r="Z25" s="263"/>
      <c r="AA25" s="374"/>
      <c r="AB25" s="374"/>
      <c r="AC25" s="263"/>
      <c r="AD25" s="263"/>
      <c r="AE25" s="374"/>
      <c r="AF25" s="263"/>
      <c r="AG25" s="263"/>
      <c r="AH25" s="374"/>
      <c r="AI25" s="375"/>
      <c r="AJ25" s="263"/>
      <c r="AK25" s="263"/>
      <c r="AL25" s="376"/>
      <c r="AM25" s="371"/>
      <c r="AN25" s="371"/>
      <c r="AO25" s="376"/>
      <c r="AP25" s="376"/>
      <c r="AQ25" s="376"/>
      <c r="AR25" s="376"/>
      <c r="AS25" s="376"/>
      <c r="AT25" s="376"/>
      <c r="AU25" s="376"/>
      <c r="AV25" s="376"/>
      <c r="AW25" s="376"/>
      <c r="AX25" s="376"/>
      <c r="AY25" s="376"/>
      <c r="AZ25" s="376"/>
      <c r="BA25" s="376"/>
      <c r="BB25" s="376"/>
      <c r="BC25" s="376"/>
      <c r="BD25" s="376"/>
      <c r="BE25" s="371"/>
      <c r="BF25" s="378"/>
    </row>
  </sheetData>
  <autoFilter ref="A11:BF11" xr:uid="{00000000-0001-0000-0B00-000000000000}"/>
  <mergeCells count="18">
    <mergeCell ref="A10:A11"/>
    <mergeCell ref="H1:H2"/>
    <mergeCell ref="I1:I2"/>
    <mergeCell ref="AR10:AX10"/>
    <mergeCell ref="AY10:BE10"/>
    <mergeCell ref="G10:G11"/>
    <mergeCell ref="B10:B11"/>
    <mergeCell ref="C10:C11"/>
    <mergeCell ref="D10:D11"/>
    <mergeCell ref="E10:E11"/>
    <mergeCell ref="F10:F11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2:XFD14 B15:XFD19 A15:A25 B20:X20 Z20:XFD20 B21:XFD21 A22:XFD22 B23:Q24 S23:U24 W23:XFD24 A25:XFD1048576">
    <cfRule type="cellIs" dxfId="4675" priority="13" operator="equal">
      <formula>"B- Incorporate Comments - Proceed"</formula>
    </cfRule>
    <cfRule type="cellIs" dxfId="4674" priority="11" operator="equal">
      <formula>"E - Review not Required - Proceed"</formula>
    </cfRule>
    <cfRule type="cellIs" dxfId="4673" priority="12" operator="equal">
      <formula>"D - Rejected"</formula>
    </cfRule>
    <cfRule type="cellIs" dxfId="4672" priority="14" operator="equal">
      <formula>"C - Revise and Resubmit - Do Not Proceed"</formula>
    </cfRule>
    <cfRule type="cellIs" dxfId="4671" priority="15" operator="equal">
      <formula>"A - Work May Proceed"</formula>
    </cfRule>
  </conditionalFormatting>
  <conditionalFormatting sqref="D11:BE11 B1:G2 X1:XFD4 B3:H4 A9:XFD9 B10:XFD10 A10:A11 B11">
    <cfRule type="cellIs" dxfId="4670" priority="59" operator="equal">
      <formula>"C - Revise and Resubmit - Do Not Proceed"</formula>
    </cfRule>
    <cfRule type="cellIs" dxfId="4669" priority="58" operator="equal">
      <formula>"B- Incorporate Comments - Proceed"</formula>
    </cfRule>
    <cfRule type="cellIs" dxfId="4668" priority="57" operator="equal">
      <formula>"D - Rejected"</formula>
    </cfRule>
    <cfRule type="cellIs" dxfId="4667" priority="56" operator="equal">
      <formula>"E - Review not Required - Proceed"</formula>
    </cfRule>
    <cfRule type="cellIs" dxfId="4666" priority="60" operator="equal">
      <formula>"A - Work May Proceed"</formula>
    </cfRule>
  </conditionalFormatting>
  <conditionalFormatting sqref="I11">
    <cfRule type="cellIs" dxfId="4665" priority="140" stopIfTrue="1" operator="between">
      <formula>"B - Incorporate Comments - Proceed "</formula>
      <formula>"B - Incorporate Comments - Proceed "</formula>
    </cfRule>
    <cfRule type="cellIs" dxfId="4664" priority="139" operator="between">
      <formula>"C - Revise and Resubmit - Do Not Proceed"</formula>
      <formula>"C - Revise and Resubmit - Do Not Proceed"</formula>
    </cfRule>
    <cfRule type="cellIs" dxfId="4663" priority="125" operator="equal">
      <formula>"B - Incorporate Comments - Proceed"</formula>
    </cfRule>
    <cfRule type="cellIs" dxfId="4662" priority="138" operator="between">
      <formula>"A - Work May Proceed"</formula>
      <formula>"A - Work May Proceed"</formula>
    </cfRule>
    <cfRule type="cellIs" dxfId="4661" priority="137" operator="between">
      <formula>"CANCELLED"</formula>
      <formula>"CANCELLED"</formula>
    </cfRule>
    <cfRule type="cellIs" dxfId="4660" priority="136" operator="between">
      <formula>"D - Rejected "</formula>
      <formula>"D - Rejected "</formula>
    </cfRule>
    <cfRule type="cellIs" dxfId="4659" priority="135" operator="between">
      <formula>"E - Review not Required - Proceed"</formula>
      <formula>"E - Review not Required - Proceed"</formula>
    </cfRule>
    <cfRule type="cellIs" dxfId="4658" priority="134" operator="between">
      <formula>"B - Incorporate Comments - Proceed"</formula>
      <formula>"B - Incorporate Comments - Proceed"</formula>
    </cfRule>
    <cfRule type="cellIs" dxfId="4657" priority="133" operator="between">
      <formula>"A - Work May Proceed"</formula>
      <formula>"A - Work May Proceed"</formula>
    </cfRule>
    <cfRule type="cellIs" dxfId="4656" priority="132" operator="between">
      <formula>"B - Incorporate Comments - Proceed"</formula>
      <formula>"B - Incorporate Comments - Proceed"</formula>
    </cfRule>
    <cfRule type="cellIs" dxfId="4655" priority="131" operator="between">
      <formula>"C - Revise and Resubmit - Do Not Proceed"</formula>
      <formula>"C - Revise and Resubmit - Do Not Proceed"</formula>
    </cfRule>
    <cfRule type="cellIs" dxfId="4654" priority="130" operator="between">
      <formula>"'D - Rejected "</formula>
      <formula>"'D - Rejected "</formula>
    </cfRule>
    <cfRule type="cellIs" dxfId="4653" priority="129" operator="between">
      <formula>"E - Review not Required - Proceed"</formula>
      <formula>"E - Review not Required - Proceed"</formula>
    </cfRule>
    <cfRule type="cellIs" dxfId="4652" priority="128" operator="equal">
      <formula>"E - Review Not Required - Proceed"</formula>
    </cfRule>
    <cfRule type="cellIs" dxfId="4651" priority="127" operator="equal">
      <formula>"B - Incorporate Comments - Proceed "</formula>
    </cfRule>
    <cfRule type="cellIs" dxfId="4650" priority="126" operator="equal">
      <formula>"For Information"</formula>
    </cfRule>
  </conditionalFormatting>
  <conditionalFormatting sqref="J5:J6 B5:I7 B8:J8">
    <cfRule type="cellIs" dxfId="4649" priority="2" operator="equal">
      <formula>"D - Rejected"</formula>
    </cfRule>
    <cfRule type="cellIs" dxfId="4648" priority="3" operator="equal">
      <formula>"B- Incorporate Comments - Proceed"</formula>
    </cfRule>
    <cfRule type="cellIs" dxfId="4647" priority="4" operator="equal">
      <formula>"C - Revise and Resubmit - Do Not Proceed"</formula>
    </cfRule>
    <cfRule type="cellIs" dxfId="4646" priority="5" stopIfTrue="1" operator="equal">
      <formula>"A - Work May Proceed"</formula>
    </cfRule>
    <cfRule type="cellIs" dxfId="4645" priority="1" operator="equal">
      <formula>"E - Review not Required - Proceed"</formula>
    </cfRule>
  </conditionalFormatting>
  <conditionalFormatting sqref="P11">
    <cfRule type="cellIs" dxfId="4644" priority="123" operator="between">
      <formula>"C - Revise and Resubmit - Do Not Proceed"</formula>
      <formula>"C - Revise and Resubmit - Do Not Proceed"</formula>
    </cfRule>
    <cfRule type="cellIs" dxfId="4643" priority="122" operator="between">
      <formula>"A - Work May Proceed"</formula>
      <formula>"A - Work May Proceed"</formula>
    </cfRule>
    <cfRule type="cellIs" dxfId="4642" priority="121" operator="between">
      <formula>"CANCELLED"</formula>
      <formula>"CANCELLED"</formula>
    </cfRule>
    <cfRule type="cellIs" dxfId="4641" priority="120" operator="between">
      <formula>"D - Rejected "</formula>
      <formula>"D - Rejected "</formula>
    </cfRule>
    <cfRule type="cellIs" dxfId="4640" priority="119" operator="between">
      <formula>"E - Review not Required - Proceed"</formula>
      <formula>"E - Review not Required - Proceed"</formula>
    </cfRule>
    <cfRule type="cellIs" dxfId="4639" priority="118" operator="between">
      <formula>"B - Incorporate Comments - Proceed"</formula>
      <formula>"B - Incorporate Comments - Proceed"</formula>
    </cfRule>
    <cfRule type="cellIs" dxfId="4638" priority="117" operator="between">
      <formula>"A - Work May Proceed"</formula>
      <formula>"A - Work May Proceed"</formula>
    </cfRule>
    <cfRule type="cellIs" dxfId="4637" priority="116" operator="between">
      <formula>"B - Incorporate Comments - Proceed"</formula>
      <formula>"B - Incorporate Comments - Proceed"</formula>
    </cfRule>
    <cfRule type="cellIs" dxfId="4636" priority="115" operator="between">
      <formula>"C - Revise and Resubmit - Do Not Proceed"</formula>
      <formula>"C - Revise and Resubmit - Do Not Proceed"</formula>
    </cfRule>
    <cfRule type="cellIs" dxfId="4635" priority="114" operator="between">
      <formula>"'D - Rejected "</formula>
      <formula>"'D - Rejected "</formula>
    </cfRule>
    <cfRule type="cellIs" dxfId="4634" priority="113" operator="between">
      <formula>"E - Review not Required - Proceed"</formula>
      <formula>"E - Review not Required - Proceed"</formula>
    </cfRule>
    <cfRule type="cellIs" dxfId="4633" priority="112" operator="equal">
      <formula>"E - Review Not Required - Proceed"</formula>
    </cfRule>
    <cfRule type="cellIs" dxfId="4632" priority="111" operator="equal">
      <formula>"B - Incorporate Comments - Proceed "</formula>
    </cfRule>
    <cfRule type="cellIs" dxfId="4631" priority="110" operator="equal">
      <formula>"For Information"</formula>
    </cfRule>
    <cfRule type="cellIs" dxfId="4630" priority="109" operator="equal">
      <formula>"B - Incorporate Comments - Proceed"</formula>
    </cfRule>
    <cfRule type="cellIs" dxfId="4629" priority="124" stopIfTrue="1" operator="between">
      <formula>"B - Incorporate Comments - Proceed "</formula>
      <formula>"B - Incorporate Comments - Proceed "</formula>
    </cfRule>
  </conditionalFormatting>
  <conditionalFormatting sqref="W11">
    <cfRule type="cellIs" dxfId="4628" priority="107" operator="between">
      <formula>"C - Revise and Resubmit - Do Not Proceed"</formula>
      <formula>"C - Revise and Resubmit - Do Not Proceed"</formula>
    </cfRule>
    <cfRule type="cellIs" dxfId="4627" priority="106" operator="between">
      <formula>"A - Work May Proceed"</formula>
      <formula>"A - Work May Proceed"</formula>
    </cfRule>
    <cfRule type="cellIs" dxfId="4626" priority="105" operator="between">
      <formula>"CANCELLED"</formula>
      <formula>"CANCELLED"</formula>
    </cfRule>
    <cfRule type="cellIs" dxfId="4625" priority="93" operator="equal">
      <formula>"B - Incorporate Comments - Proceed"</formula>
    </cfRule>
    <cfRule type="cellIs" dxfId="4624" priority="94" operator="equal">
      <formula>"For Information"</formula>
    </cfRule>
    <cfRule type="cellIs" dxfId="4623" priority="95" operator="equal">
      <formula>"B - Incorporate Comments - Proceed "</formula>
    </cfRule>
    <cfRule type="cellIs" dxfId="4622" priority="96" operator="equal">
      <formula>"E - Review Not Required - Proceed"</formula>
    </cfRule>
    <cfRule type="cellIs" dxfId="4621" priority="108" stopIfTrue="1" operator="between">
      <formula>"B - Incorporate Comments - Proceed "</formula>
      <formula>"B - Incorporate Comments - Proceed "</formula>
    </cfRule>
    <cfRule type="cellIs" dxfId="4620" priority="104" operator="between">
      <formula>"D - Rejected "</formula>
      <formula>"D - Rejected "</formula>
    </cfRule>
    <cfRule type="cellIs" dxfId="4619" priority="103" operator="between">
      <formula>"E - Review not Required - Proceed"</formula>
      <formula>"E - Review not Required - Proceed"</formula>
    </cfRule>
    <cfRule type="cellIs" dxfId="4618" priority="102" operator="between">
      <formula>"B - Incorporate Comments - Proceed"</formula>
      <formula>"B - Incorporate Comments - Proceed"</formula>
    </cfRule>
    <cfRule type="cellIs" dxfId="4617" priority="101" operator="between">
      <formula>"A - Work May Proceed"</formula>
      <formula>"A - Work May Proceed"</formula>
    </cfRule>
    <cfRule type="cellIs" dxfId="4616" priority="100" operator="between">
      <formula>"B - Incorporate Comments - Proceed"</formula>
      <formula>"B - Incorporate Comments - Proceed"</formula>
    </cfRule>
    <cfRule type="cellIs" dxfId="4615" priority="99" operator="between">
      <formula>"C - Revise and Resubmit - Do Not Proceed"</formula>
      <formula>"C - Revise and Resubmit - Do Not Proceed"</formula>
    </cfRule>
    <cfRule type="cellIs" dxfId="4614" priority="98" operator="between">
      <formula>"'D - Rejected "</formula>
      <formula>"'D - Rejected "</formula>
    </cfRule>
    <cfRule type="cellIs" dxfId="4613" priority="97" operator="between">
      <formula>"E - Review not Required - Proceed"</formula>
      <formula>"E - Review not Required - Proceed"</formula>
    </cfRule>
  </conditionalFormatting>
  <conditionalFormatting sqref="AD11">
    <cfRule type="cellIs" dxfId="4612" priority="88" operator="between">
      <formula>"D - Rejected "</formula>
      <formula>"D - Rejected "</formula>
    </cfRule>
    <cfRule type="cellIs" dxfId="4611" priority="90" operator="between">
      <formula>"A - Work May Proceed"</formula>
      <formula>"A - Work May Proceed"</formula>
    </cfRule>
    <cfRule type="cellIs" dxfId="4610" priority="91" operator="between">
      <formula>"C - Revise and Resubmit - Do Not Proceed"</formula>
      <formula>"C - Revise and Resubmit - Do Not Proceed"</formula>
    </cfRule>
    <cfRule type="cellIs" dxfId="4609" priority="92" stopIfTrue="1" operator="between">
      <formula>"B - Incorporate Comments - Proceed "</formula>
      <formula>"B - Incorporate Comments - Proceed "</formula>
    </cfRule>
    <cfRule type="cellIs" dxfId="4608" priority="89" operator="between">
      <formula>"CANCELLED"</formula>
      <formula>"CANCELLED"</formula>
    </cfRule>
    <cfRule type="cellIs" dxfId="4607" priority="77" operator="equal">
      <formula>"B - Incorporate Comments - Proceed"</formula>
    </cfRule>
    <cfRule type="cellIs" dxfId="4606" priority="78" operator="equal">
      <formula>"For Information"</formula>
    </cfRule>
    <cfRule type="cellIs" dxfId="4605" priority="79" operator="equal">
      <formula>"B - Incorporate Comments - Proceed "</formula>
    </cfRule>
    <cfRule type="cellIs" dxfId="4604" priority="80" operator="equal">
      <formula>"E - Review Not Required - Proceed"</formula>
    </cfRule>
    <cfRule type="cellIs" dxfId="4603" priority="81" operator="between">
      <formula>"E - Review not Required - Proceed"</formula>
      <formula>"E - Review not Required - Proceed"</formula>
    </cfRule>
    <cfRule type="cellIs" dxfId="4602" priority="82" operator="between">
      <formula>"'D - Rejected "</formula>
      <formula>"'D - Rejected "</formula>
    </cfRule>
    <cfRule type="cellIs" dxfId="4601" priority="83" operator="between">
      <formula>"C - Revise and Resubmit - Do Not Proceed"</formula>
      <formula>"C - Revise and Resubmit - Do Not Proceed"</formula>
    </cfRule>
    <cfRule type="cellIs" dxfId="4600" priority="84" operator="between">
      <formula>"B - Incorporate Comments - Proceed"</formula>
      <formula>"B - Incorporate Comments - Proceed"</formula>
    </cfRule>
    <cfRule type="cellIs" dxfId="4599" priority="85" operator="between">
      <formula>"A - Work May Proceed"</formula>
      <formula>"A - Work May Proceed"</formula>
    </cfRule>
    <cfRule type="cellIs" dxfId="4598" priority="86" operator="between">
      <formula>"B - Incorporate Comments - Proceed"</formula>
      <formula>"B - Incorporate Comments - Proceed"</formula>
    </cfRule>
    <cfRule type="cellIs" dxfId="4597" priority="87" operator="between">
      <formula>"E - Review not Required - Proceed"</formula>
      <formula>"E - Review not Required - Proceed"</formula>
    </cfRule>
  </conditionalFormatting>
  <conditionalFormatting sqref="AK11">
    <cfRule type="cellIs" dxfId="4596" priority="76" stopIfTrue="1" operator="between">
      <formula>"B - Incorporate Comments - Proceed "</formula>
      <formula>"B - Incorporate Comments - Proceed "</formula>
    </cfRule>
    <cfRule type="cellIs" dxfId="4595" priority="64" operator="equal">
      <formula>"E - Review Not Required - Proceed"</formula>
    </cfRule>
    <cfRule type="cellIs" dxfId="4594" priority="63" operator="equal">
      <formula>"B - Incorporate Comments - Proceed "</formula>
    </cfRule>
    <cfRule type="cellIs" dxfId="4593" priority="62" operator="equal">
      <formula>"For Information"</formula>
    </cfRule>
    <cfRule type="cellIs" dxfId="4592" priority="73" operator="between">
      <formula>"CANCELLED"</formula>
      <formula>"CANCELLED"</formula>
    </cfRule>
    <cfRule type="cellIs" dxfId="4591" priority="74" operator="between">
      <formula>"A - Work May Proceed"</formula>
      <formula>"A - Work May Proceed"</formula>
    </cfRule>
    <cfRule type="cellIs" dxfId="4590" priority="75" operator="between">
      <formula>"C - Revise and Resubmit - Do Not Proceed"</formula>
      <formula>"C - Revise and Resubmit - Do Not Proceed"</formula>
    </cfRule>
    <cfRule type="cellIs" dxfId="4589" priority="66" operator="between">
      <formula>"'D - Rejected "</formula>
      <formula>"'D - Rejected "</formula>
    </cfRule>
    <cfRule type="cellIs" dxfId="4588" priority="72" operator="between">
      <formula>"D - Rejected "</formula>
      <formula>"D - Rejected "</formula>
    </cfRule>
    <cfRule type="cellIs" dxfId="4587" priority="71" operator="between">
      <formula>"E - Review not Required - Proceed"</formula>
      <formula>"E - Review not Required - Proceed"</formula>
    </cfRule>
    <cfRule type="cellIs" dxfId="4586" priority="70" operator="between">
      <formula>"B - Incorporate Comments - Proceed"</formula>
      <formula>"B - Incorporate Comments - Proceed"</formula>
    </cfRule>
    <cfRule type="cellIs" dxfId="4585" priority="69" operator="between">
      <formula>"A - Work May Proceed"</formula>
      <formula>"A - Work May Proceed"</formula>
    </cfRule>
    <cfRule type="cellIs" dxfId="4584" priority="68" operator="between">
      <formula>"B - Incorporate Comments - Proceed"</formula>
      <formula>"B - Incorporate Comments - Proceed"</formula>
    </cfRule>
    <cfRule type="cellIs" dxfId="4583" priority="67" operator="between">
      <formula>"C - Revise and Resubmit - Do Not Proceed"</formula>
      <formula>"C - Revise and Resubmit - Do Not Proceed"</formula>
    </cfRule>
    <cfRule type="cellIs" dxfId="4582" priority="61" operator="equal">
      <formula>"B - Incorporate Comments - Proceed"</formula>
    </cfRule>
    <cfRule type="cellIs" dxfId="4581" priority="65" operator="between">
      <formula>"E - Review not Required - Proceed"</formula>
      <formula>"E - Review not Required - Proceed"</formula>
    </cfRule>
  </conditionalFormatting>
  <conditionalFormatting sqref="AR11">
    <cfRule type="cellIs" dxfId="4580" priority="17" operator="equal">
      <formula>"D - Rejected"</formula>
    </cfRule>
    <cfRule type="cellIs" dxfId="4579" priority="18" operator="equal">
      <formula>"B - Incorporate Comments - Proceed"</formula>
    </cfRule>
    <cfRule type="cellIs" dxfId="4578" priority="19" operator="equal">
      <formula>"C - Revise and Resubmit - Do Not Proceed"</formula>
    </cfRule>
    <cfRule type="cellIs" dxfId="4577" priority="16" operator="equal">
      <formula>"E - Review not Required - Proceed"</formula>
    </cfRule>
    <cfRule type="cellIs" dxfId="4576" priority="29" operator="between">
      <formula>"B - Incorporate Comments - Proceed"</formula>
      <formula>"B - Incorporate Comments - Proceed"</formula>
    </cfRule>
    <cfRule type="cellIs" dxfId="4575" priority="27" operator="between">
      <formula>"B - Incorporate Comments - Proceed"</formula>
      <formula>"B - Incorporate Comments - Proceed"</formula>
    </cfRule>
    <cfRule type="cellIs" dxfId="4574" priority="26" operator="between">
      <formula>"C - Revise and Resubmit - Do Not Proceed"</formula>
      <formula>"C - Revise and Resubmit - Do Not Proceed"</formula>
    </cfRule>
    <cfRule type="cellIs" dxfId="4573" priority="25" operator="between">
      <formula>"'D - Rejected "</formula>
      <formula>"'D - Rejected "</formula>
    </cfRule>
    <cfRule type="cellIs" dxfId="4572" priority="24" operator="between">
      <formula>"E - Review not Required - Proceed"</formula>
      <formula>"E - Review not Required - Proceed"</formula>
    </cfRule>
    <cfRule type="cellIs" dxfId="4571" priority="23" operator="equal">
      <formula>"E - Review Not Required - Proceed"</formula>
    </cfRule>
    <cfRule type="cellIs" dxfId="4570" priority="21" operator="equal">
      <formula>"For Information"</formula>
    </cfRule>
    <cfRule type="cellIs" dxfId="4569" priority="20" operator="equal">
      <formula>"A - Work May Proceed"</formula>
    </cfRule>
    <cfRule type="cellIs" dxfId="4568" priority="28" operator="between">
      <formula>"A - Work May Proceed"</formula>
      <formula>"A - Work May Proceed"</formula>
    </cfRule>
    <cfRule type="cellIs" dxfId="4567" priority="22" operator="equal">
      <formula>"B - Incorporate Comments - Proceed "</formula>
    </cfRule>
    <cfRule type="cellIs" dxfId="4566" priority="35" stopIfTrue="1" operator="between">
      <formula>"B - Incorporate Comments - Proceed "</formula>
      <formula>"B - Incorporate Comments - Proceed "</formula>
    </cfRule>
    <cfRule type="cellIs" dxfId="4565" priority="34" operator="between">
      <formula>"C - Revise and Resubmit - Do Not Proceed"</formula>
      <formula>"C - Revise and Resubmit - Do Not Proceed"</formula>
    </cfRule>
    <cfRule type="cellIs" dxfId="4564" priority="33" operator="between">
      <formula>"A - Work May Proceed"</formula>
      <formula>"A - Work May Proceed"</formula>
    </cfRule>
    <cfRule type="cellIs" dxfId="4563" priority="32" operator="between">
      <formula>"CANCELLED"</formula>
      <formula>"CANCELLED"</formula>
    </cfRule>
    <cfRule type="cellIs" dxfId="4562" priority="31" operator="between">
      <formula>"D - Rejected "</formula>
      <formula>"D - Rejected "</formula>
    </cfRule>
    <cfRule type="cellIs" dxfId="4561" priority="30" operator="between">
      <formula>"E - Review not Required - Proceed"</formula>
      <formula>"E - Review not Required - Proceed"</formula>
    </cfRule>
  </conditionalFormatting>
  <conditionalFormatting sqref="AY11">
    <cfRule type="cellIs" dxfId="4560" priority="55" stopIfTrue="1" operator="between">
      <formula>"B - Incorporate Comments - Proceed "</formula>
      <formula>"B - Incorporate Comments - Proceed "</formula>
    </cfRule>
    <cfRule type="cellIs" dxfId="4559" priority="54" operator="between">
      <formula>"C - Revise and Resubmit - Do Not Proceed"</formula>
      <formula>"C - Revise and Resubmit - Do Not Proceed"</formula>
    </cfRule>
    <cfRule type="cellIs" dxfId="4558" priority="53" operator="between">
      <formula>"A - Work May Proceed"</formula>
      <formula>"A - Work May Proceed"</formula>
    </cfRule>
    <cfRule type="cellIs" dxfId="4557" priority="52" operator="between">
      <formula>"CANCELLED"</formula>
      <formula>"CANCELLED"</formula>
    </cfRule>
    <cfRule type="cellIs" dxfId="4556" priority="51" operator="between">
      <formula>"D - Rejected "</formula>
      <formula>"D - Rejected "</formula>
    </cfRule>
    <cfRule type="cellIs" dxfId="4555" priority="50" operator="between">
      <formula>"E - Review not Required - Proceed"</formula>
      <formula>"E - Review not Required - Proceed"</formula>
    </cfRule>
    <cfRule type="cellIs" dxfId="4554" priority="49" operator="between">
      <formula>"B - Incorporate Comments - Proceed"</formula>
      <formula>"B - Incorporate Comments - Proceed"</formula>
    </cfRule>
    <cfRule type="cellIs" dxfId="4553" priority="48" operator="between">
      <formula>"A - Work May Proceed"</formula>
      <formula>"A - Work May Proceed"</formula>
    </cfRule>
    <cfRule type="cellIs" dxfId="4552" priority="42" operator="equal">
      <formula>"B - Incorporate Comments - Proceed "</formula>
    </cfRule>
    <cfRule type="cellIs" dxfId="4551" priority="41" operator="equal">
      <formula>"For Information"</formula>
    </cfRule>
    <cfRule type="cellIs" dxfId="4550" priority="40" operator="equal">
      <formula>"A - Work May Proceed"</formula>
    </cfRule>
    <cfRule type="cellIs" dxfId="4549" priority="39" operator="equal">
      <formula>"C - Revise and Resubmit - Do Not Proceed"</formula>
    </cfRule>
    <cfRule type="cellIs" dxfId="4548" priority="47" operator="between">
      <formula>"B - Incorporate Comments - Proceed"</formula>
      <formula>"B - Incorporate Comments - Proceed"</formula>
    </cfRule>
    <cfRule type="cellIs" dxfId="4547" priority="38" operator="equal">
      <formula>"B - Incorporate Comments - Proceed"</formula>
    </cfRule>
    <cfRule type="cellIs" dxfId="4546" priority="37" operator="equal">
      <formula>"D - Rejected"</formula>
    </cfRule>
    <cfRule type="cellIs" dxfId="4545" priority="46" operator="between">
      <formula>"C - Revise and Resubmit - Do Not Proceed"</formula>
      <formula>"C - Revise and Resubmit - Do Not Proceed"</formula>
    </cfRule>
    <cfRule type="cellIs" dxfId="4544" priority="36" operator="equal">
      <formula>"E - Review not Required - Proceed"</formula>
    </cfRule>
    <cfRule type="cellIs" dxfId="4543" priority="45" operator="between">
      <formula>"'D - Rejected "</formula>
      <formula>"'D - Rejected "</formula>
    </cfRule>
    <cfRule type="cellIs" dxfId="4542" priority="44" operator="between">
      <formula>"E - Review not Required - Proceed"</formula>
      <formula>"E - Review not Required - Proceed"</formula>
    </cfRule>
    <cfRule type="cellIs" dxfId="4541" priority="43" operator="equal">
      <formula>"E - Review Not Required - Proceed"</formula>
    </cfRule>
  </conditionalFormatting>
  <pageMargins left="0.7" right="0.7" top="0.75" bottom="0.75" header="0.3" footer="0.3"/>
  <pageSetup paperSize="8" scale="10" fitToHeight="0" orientation="landscape" r:id="rId1"/>
  <colBreaks count="1" manualBreakCount="1">
    <brk id="57" max="197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tabColor theme="4"/>
    <pageSetUpPr fitToPage="1"/>
  </sheetPr>
  <dimension ref="A1:BF25"/>
  <sheetViews>
    <sheetView zoomScale="55" zoomScaleNormal="55" zoomScaleSheetLayoutView="70" workbookViewId="0">
      <pane ySplit="11" topLeftCell="A12" activePane="bottomLeft" state="frozen"/>
      <selection activeCell="C22" sqref="C22"/>
      <selection pane="bottomLeft" activeCell="E24" sqref="E24"/>
    </sheetView>
  </sheetViews>
  <sheetFormatPr defaultColWidth="9.140625" defaultRowHeight="15" x14ac:dyDescent="0.25"/>
  <cols>
    <col min="1" max="1" width="25.42578125" style="393" customWidth="1"/>
    <col min="2" max="2" width="32" style="393" customWidth="1"/>
    <col min="3" max="3" width="22.85546875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19.7109375" style="393" customWidth="1"/>
    <col min="9" max="9" width="33.7109375" style="394" customWidth="1"/>
    <col min="10" max="10" width="30.140625" style="395" customWidth="1"/>
    <col min="11" max="12" width="30.140625" style="394" customWidth="1"/>
    <col min="13" max="14" width="30.140625" style="395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0.140625" style="398" customWidth="1"/>
    <col min="22" max="23" width="30.140625" style="393" customWidth="1"/>
    <col min="24" max="24" width="30.140625" style="397" customWidth="1"/>
    <col min="25" max="26" width="30.140625" style="393" customWidth="1"/>
    <col min="27" max="27" width="30.140625" style="397" customWidth="1"/>
    <col min="28" max="28" width="30.140625" style="398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41" width="30.140625" style="397" customWidth="1"/>
    <col min="42" max="42" width="30.140625" style="398" customWidth="1"/>
    <col min="43" max="56" width="30.140625" style="397" customWidth="1"/>
    <col min="57" max="57" width="32.85546875" style="393" customWidth="1"/>
    <col min="58" max="58" width="50.7109375" style="44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 s="111"/>
      <c r="V1"/>
      <c r="W1"/>
      <c r="X1" s="18"/>
      <c r="Y1" s="7"/>
      <c r="Z1" s="7"/>
      <c r="AA1" s="18"/>
      <c r="AB1" s="121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21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2"/>
    </row>
    <row r="2" spans="1:58" s="379" customFormat="1" ht="24" customHeight="1" x14ac:dyDescent="0.35">
      <c r="A2" s="8"/>
      <c r="B2" s="25" t="s">
        <v>28</v>
      </c>
      <c r="C2" s="26" t="s">
        <v>31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 s="111"/>
      <c r="V2"/>
      <c r="W2"/>
      <c r="X2" s="18"/>
      <c r="Y2" s="7"/>
      <c r="Z2" s="7"/>
      <c r="AA2" s="18"/>
      <c r="AB2" s="121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21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2"/>
    </row>
    <row r="3" spans="1:58" s="379" customFormat="1" ht="24" customHeight="1" x14ac:dyDescent="0.35">
      <c r="A3" s="8"/>
      <c r="B3" s="25" t="s">
        <v>507</v>
      </c>
      <c r="C3" s="49" t="s">
        <v>1073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 s="111"/>
      <c r="V3"/>
      <c r="W3"/>
      <c r="X3" s="18"/>
      <c r="Y3" s="7"/>
      <c r="Z3" s="7"/>
      <c r="AA3" s="18"/>
      <c r="AB3" s="121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21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2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 s="111"/>
      <c r="V4"/>
      <c r="W4"/>
      <c r="X4" s="18"/>
      <c r="Y4" s="7"/>
      <c r="Z4" s="7"/>
      <c r="AA4" s="18"/>
      <c r="AB4" s="121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21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2"/>
    </row>
    <row r="5" spans="1:58" s="401" customFormat="1" ht="30.75" customHeight="1" x14ac:dyDescent="0.25">
      <c r="A5"/>
      <c r="B5" s="84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 s="111"/>
      <c r="V5"/>
      <c r="W5"/>
      <c r="X5"/>
      <c r="Y5"/>
      <c r="Z5"/>
      <c r="AA5"/>
      <c r="AB5" s="111"/>
      <c r="AC5"/>
      <c r="AD5"/>
      <c r="AE5"/>
      <c r="AF5"/>
      <c r="AG5"/>
      <c r="AH5"/>
      <c r="AI5"/>
      <c r="AJ5"/>
      <c r="AK5"/>
      <c r="AL5"/>
      <c r="AM5"/>
      <c r="AN5"/>
      <c r="AO5"/>
      <c r="AP5" s="111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 s="107"/>
    </row>
    <row r="6" spans="1:58" s="401" customFormat="1" ht="24" customHeight="1" x14ac:dyDescent="0.35">
      <c r="A6"/>
      <c r="B6" s="85">
        <f>COUNTIF(B11:B25,"A - Work May Proceed")</f>
        <v>9</v>
      </c>
      <c r="C6" s="65">
        <f>COUNTIF(B11:B25,"B- Incorporate Comments - Proceed")</f>
        <v>2</v>
      </c>
      <c r="D6" s="65">
        <f>COUNTIF(B11:B25,"C - Revise and Resubmit - Do Not Proceed")</f>
        <v>0</v>
      </c>
      <c r="E6" s="65">
        <f>COUNTIF(B11:B25,"D - Rejected")</f>
        <v>0</v>
      </c>
      <c r="F6" s="65">
        <f>COUNTIF(B11:B25,"E - Review not Required - Proceed")</f>
        <v>0</v>
      </c>
      <c r="G6" s="66">
        <f>COUNTIF(B11:B25,"UR")</f>
        <v>0</v>
      </c>
      <c r="H6" s="66">
        <f>COUNTIF(B11:B25,"FA")</f>
        <v>0</v>
      </c>
      <c r="I6" s="66">
        <f>COUNTIF(B11:B25,"Terminated")</f>
        <v>0</v>
      </c>
      <c r="J6" s="66">
        <f>COUNTIF(B11:B25,"Cancelled")</f>
        <v>2</v>
      </c>
      <c r="K6"/>
      <c r="L6"/>
      <c r="M6"/>
      <c r="N6"/>
      <c r="O6"/>
      <c r="P6"/>
      <c r="Q6"/>
      <c r="R6"/>
      <c r="S6"/>
      <c r="T6"/>
      <c r="U6" s="111"/>
      <c r="V6"/>
      <c r="W6"/>
      <c r="X6"/>
      <c r="Y6"/>
      <c r="Z6"/>
      <c r="AA6"/>
      <c r="AB6" s="111"/>
      <c r="AC6"/>
      <c r="AD6"/>
      <c r="AE6"/>
      <c r="AF6"/>
      <c r="AG6"/>
      <c r="AH6"/>
      <c r="AI6"/>
      <c r="AJ6"/>
      <c r="AK6"/>
      <c r="AL6"/>
      <c r="AM6"/>
      <c r="AN6"/>
      <c r="AO6"/>
      <c r="AP6" s="111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 s="107"/>
    </row>
    <row r="7" spans="1:58" s="401" customFormat="1" ht="24" customHeight="1" x14ac:dyDescent="0.35">
      <c r="A7"/>
      <c r="B7" s="86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 s="111"/>
      <c r="V7"/>
      <c r="W7"/>
      <c r="X7"/>
      <c r="Y7"/>
      <c r="Z7"/>
      <c r="AA7"/>
      <c r="AB7" s="111"/>
      <c r="AC7"/>
      <c r="AD7"/>
      <c r="AE7"/>
      <c r="AF7"/>
      <c r="AG7"/>
      <c r="AH7"/>
      <c r="AI7"/>
      <c r="AJ7"/>
      <c r="AK7"/>
      <c r="AL7"/>
      <c r="AM7"/>
      <c r="AN7"/>
      <c r="AO7"/>
      <c r="AP7" s="111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 s="107"/>
    </row>
    <row r="8" spans="1:58" s="401" customFormat="1" ht="24" customHeight="1" x14ac:dyDescent="0.25">
      <c r="A8"/>
      <c r="B8" s="87" t="s">
        <v>509</v>
      </c>
      <c r="C8" s="73">
        <f>SUM(B6:J6)</f>
        <v>13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 s="111"/>
      <c r="V8"/>
      <c r="W8"/>
      <c r="X8"/>
      <c r="Y8"/>
      <c r="Z8"/>
      <c r="AA8"/>
      <c r="AB8" s="111"/>
      <c r="AC8"/>
      <c r="AD8"/>
      <c r="AE8"/>
      <c r="AF8"/>
      <c r="AG8"/>
      <c r="AH8"/>
      <c r="AI8"/>
      <c r="AJ8"/>
      <c r="AK8"/>
      <c r="AL8"/>
      <c r="AM8"/>
      <c r="AN8"/>
      <c r="AO8"/>
      <c r="AP8" s="111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 s="107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117"/>
      <c r="V9" s="7"/>
      <c r="W9" s="7"/>
      <c r="X9" s="18"/>
      <c r="Y9" s="7"/>
      <c r="Z9" s="7"/>
      <c r="AA9" s="18"/>
      <c r="AB9" s="121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21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2"/>
    </row>
    <row r="10" spans="1:58" s="405" customFormat="1" ht="36.75" customHeight="1" x14ac:dyDescent="0.2">
      <c r="A10" s="550" t="s">
        <v>3259</v>
      </c>
      <c r="B10" s="556" t="s">
        <v>17</v>
      </c>
      <c r="C10" s="556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51"/>
      <c r="B11" s="557"/>
      <c r="C11" s="557"/>
      <c r="D11" s="557"/>
      <c r="E11" s="557"/>
      <c r="F11" s="557"/>
      <c r="G11" s="553"/>
      <c r="H11" s="540"/>
      <c r="I11" s="46" t="s">
        <v>0</v>
      </c>
      <c r="J11" s="52" t="s">
        <v>9</v>
      </c>
      <c r="K11" s="46" t="s">
        <v>11</v>
      </c>
      <c r="L11" s="89" t="s">
        <v>939</v>
      </c>
      <c r="M11" s="52" t="s">
        <v>6</v>
      </c>
      <c r="N11" s="106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113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120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125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13" t="s">
        <v>5</v>
      </c>
      <c r="C12" s="56" t="s">
        <v>588</v>
      </c>
      <c r="D12" s="10" t="s">
        <v>1059</v>
      </c>
      <c r="E12" s="12" t="s">
        <v>1060</v>
      </c>
      <c r="F12" s="16" t="s">
        <v>1063</v>
      </c>
      <c r="G12" s="10" t="s">
        <v>30</v>
      </c>
      <c r="H12" s="10" t="s">
        <v>1073</v>
      </c>
      <c r="I12" s="55" t="s">
        <v>3</v>
      </c>
      <c r="J12" s="53">
        <v>45622</v>
      </c>
      <c r="K12" s="13" t="s">
        <v>1074</v>
      </c>
      <c r="L12" s="53">
        <f t="shared" ref="L12:L18" si="0">J12+7</f>
        <v>45629</v>
      </c>
      <c r="M12" s="53">
        <v>45642</v>
      </c>
      <c r="N12" s="92">
        <f t="shared" ref="N12:N24" si="1">M12-L12</f>
        <v>13</v>
      </c>
      <c r="O12" s="10" t="s">
        <v>1105</v>
      </c>
      <c r="P12" s="60" t="s">
        <v>18</v>
      </c>
      <c r="Q12" s="21">
        <v>45666</v>
      </c>
      <c r="R12" s="10" t="s">
        <v>1920</v>
      </c>
      <c r="S12" s="53">
        <f t="shared" ref="S12:S18" si="2">Q12+7</f>
        <v>45673</v>
      </c>
      <c r="T12" s="21">
        <v>45679</v>
      </c>
      <c r="U12" s="95">
        <f t="shared" ref="U12:U18" si="3">T12-S12</f>
        <v>6</v>
      </c>
      <c r="V12" s="10" t="s">
        <v>1939</v>
      </c>
      <c r="W12" s="10" t="s">
        <v>5</v>
      </c>
      <c r="X12" s="21">
        <v>45736</v>
      </c>
      <c r="Y12" s="10" t="s">
        <v>2858</v>
      </c>
      <c r="Z12" s="53">
        <f>X12+7</f>
        <v>45743</v>
      </c>
      <c r="AA12" s="21">
        <v>45768</v>
      </c>
      <c r="AB12" s="95">
        <f>AA12-Z12</f>
        <v>25</v>
      </c>
      <c r="AC12" s="10" t="s">
        <v>2866</v>
      </c>
      <c r="AD12" s="10"/>
      <c r="AE12" s="21"/>
      <c r="AF12" s="10"/>
      <c r="AG12" s="10"/>
      <c r="AH12" s="21"/>
      <c r="AI12" s="21"/>
      <c r="AJ12" s="10"/>
      <c r="AK12" s="10"/>
      <c r="AL12" s="17"/>
      <c r="AM12" s="11"/>
      <c r="AN12" s="11"/>
      <c r="AO12" s="17"/>
      <c r="AP12" s="123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1"/>
      <c r="BF12" s="259"/>
    </row>
    <row r="13" spans="1:58" s="381" customFormat="1" ht="42" customHeight="1" x14ac:dyDescent="0.25">
      <c r="A13" s="367">
        <v>730007</v>
      </c>
      <c r="B13" s="13" t="s">
        <v>5</v>
      </c>
      <c r="C13" s="56" t="s">
        <v>2456</v>
      </c>
      <c r="D13" s="10" t="s">
        <v>1062</v>
      </c>
      <c r="E13" s="12" t="s">
        <v>1061</v>
      </c>
      <c r="F13" s="16" t="s">
        <v>1429</v>
      </c>
      <c r="G13" s="10" t="s">
        <v>30</v>
      </c>
      <c r="H13" s="10" t="s">
        <v>1073</v>
      </c>
      <c r="I13" s="55" t="s">
        <v>3</v>
      </c>
      <c r="J13" s="53">
        <v>45622</v>
      </c>
      <c r="K13" s="13" t="s">
        <v>1075</v>
      </c>
      <c r="L13" s="53">
        <f t="shared" si="0"/>
        <v>45629</v>
      </c>
      <c r="M13" s="53">
        <v>45637</v>
      </c>
      <c r="N13" s="92">
        <f t="shared" si="1"/>
        <v>8</v>
      </c>
      <c r="O13" s="10" t="s">
        <v>1106</v>
      </c>
      <c r="P13" s="16" t="s">
        <v>18</v>
      </c>
      <c r="Q13" s="21">
        <v>45640</v>
      </c>
      <c r="R13" s="10" t="s">
        <v>1430</v>
      </c>
      <c r="S13" s="53">
        <f t="shared" si="2"/>
        <v>45647</v>
      </c>
      <c r="T13" s="21">
        <v>45648</v>
      </c>
      <c r="U13" s="95">
        <f t="shared" si="3"/>
        <v>1</v>
      </c>
      <c r="V13" s="10" t="s">
        <v>1481</v>
      </c>
      <c r="W13" s="10" t="s">
        <v>18</v>
      </c>
      <c r="X13" s="21">
        <v>45753</v>
      </c>
      <c r="Y13" s="10" t="s">
        <v>2948</v>
      </c>
      <c r="Z13" s="53">
        <f>X13+7</f>
        <v>45760</v>
      </c>
      <c r="AA13" s="21">
        <v>45769</v>
      </c>
      <c r="AB13" s="95">
        <f>AA13-Z13</f>
        <v>9</v>
      </c>
      <c r="AC13" s="10" t="s">
        <v>2950</v>
      </c>
      <c r="AD13" s="10" t="s">
        <v>18</v>
      </c>
      <c r="AE13" s="21">
        <v>46144</v>
      </c>
      <c r="AF13" s="10" t="s">
        <v>6605</v>
      </c>
      <c r="AG13" s="53">
        <f>AE13+7</f>
        <v>46151</v>
      </c>
      <c r="AH13" s="21">
        <v>46153</v>
      </c>
      <c r="AI13" s="95">
        <f>AH13-AG13</f>
        <v>2</v>
      </c>
      <c r="AJ13" s="10" t="s">
        <v>6615</v>
      </c>
      <c r="AK13" s="10" t="s">
        <v>5</v>
      </c>
      <c r="AL13" s="17">
        <v>46156</v>
      </c>
      <c r="AM13" s="11" t="s">
        <v>6797</v>
      </c>
      <c r="AN13" s="17">
        <f>AL13+7</f>
        <v>46163</v>
      </c>
      <c r="AO13" s="17">
        <v>46160</v>
      </c>
      <c r="AP13" s="123">
        <f>AO13-AN13</f>
        <v>-3</v>
      </c>
      <c r="AQ13" s="17" t="s">
        <v>6824</v>
      </c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1"/>
      <c r="BF13" s="259"/>
    </row>
    <row r="14" spans="1:58" s="381" customFormat="1" ht="42" customHeight="1" x14ac:dyDescent="0.25">
      <c r="A14" s="367">
        <v>730007</v>
      </c>
      <c r="B14" s="13" t="s">
        <v>5</v>
      </c>
      <c r="C14" s="56" t="s">
        <v>588</v>
      </c>
      <c r="D14" s="10" t="s">
        <v>1213</v>
      </c>
      <c r="E14" s="12" t="s">
        <v>1214</v>
      </c>
      <c r="F14" s="16" t="s">
        <v>1215</v>
      </c>
      <c r="G14" s="10" t="s">
        <v>30</v>
      </c>
      <c r="H14" s="10" t="s">
        <v>1073</v>
      </c>
      <c r="I14" s="83" t="s">
        <v>18</v>
      </c>
      <c r="J14" s="53">
        <v>45629</v>
      </c>
      <c r="K14" s="13" t="s">
        <v>1216</v>
      </c>
      <c r="L14" s="53">
        <f t="shared" si="0"/>
        <v>45636</v>
      </c>
      <c r="M14" s="53">
        <v>45757</v>
      </c>
      <c r="N14" s="92">
        <f t="shared" si="1"/>
        <v>121</v>
      </c>
      <c r="O14" s="10" t="s">
        <v>2062</v>
      </c>
      <c r="P14" s="10" t="s">
        <v>18</v>
      </c>
      <c r="Q14" s="21">
        <v>45840</v>
      </c>
      <c r="R14" s="150" t="s">
        <v>3583</v>
      </c>
      <c r="S14" s="53">
        <f t="shared" si="2"/>
        <v>45847</v>
      </c>
      <c r="T14" s="21">
        <v>45869</v>
      </c>
      <c r="U14" s="95">
        <f t="shared" si="3"/>
        <v>22</v>
      </c>
      <c r="V14" s="10" t="s">
        <v>3590</v>
      </c>
      <c r="W14" s="10" t="s">
        <v>5</v>
      </c>
      <c r="X14" s="21">
        <v>46154</v>
      </c>
      <c r="Y14" s="10" t="s">
        <v>6755</v>
      </c>
      <c r="Z14" s="53">
        <f>X14+7</f>
        <v>46161</v>
      </c>
      <c r="AA14" s="21">
        <v>46159</v>
      </c>
      <c r="AB14" s="95">
        <f>AA14-Z14</f>
        <v>-2</v>
      </c>
      <c r="AC14" s="10" t="s">
        <v>6780</v>
      </c>
      <c r="AD14" s="10"/>
      <c r="AE14" s="21"/>
      <c r="AF14" s="10"/>
      <c r="AG14" s="10"/>
      <c r="AH14" s="21"/>
      <c r="AI14" s="21"/>
      <c r="AJ14" s="10"/>
      <c r="AK14" s="10"/>
      <c r="AL14" s="17"/>
      <c r="AM14" s="11"/>
      <c r="AN14" s="11"/>
      <c r="AO14" s="17"/>
      <c r="AP14" s="123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1"/>
      <c r="BF14" s="259"/>
    </row>
    <row r="15" spans="1:58" s="381" customFormat="1" ht="42" customHeight="1" x14ac:dyDescent="0.25">
      <c r="A15" s="367">
        <v>730007</v>
      </c>
      <c r="B15" s="13" t="s">
        <v>5</v>
      </c>
      <c r="C15" s="56" t="s">
        <v>208</v>
      </c>
      <c r="D15" s="10" t="s">
        <v>1217</v>
      </c>
      <c r="E15" s="12" t="s">
        <v>1218</v>
      </c>
      <c r="F15" s="16" t="s">
        <v>1219</v>
      </c>
      <c r="G15" s="10" t="s">
        <v>30</v>
      </c>
      <c r="H15" s="10" t="s">
        <v>1073</v>
      </c>
      <c r="I15" s="83" t="s">
        <v>3</v>
      </c>
      <c r="J15" s="53">
        <v>45630</v>
      </c>
      <c r="K15" s="13" t="s">
        <v>1220</v>
      </c>
      <c r="L15" s="53">
        <f t="shared" si="0"/>
        <v>45637</v>
      </c>
      <c r="M15" s="53">
        <v>45655</v>
      </c>
      <c r="N15" s="92">
        <f t="shared" si="1"/>
        <v>18</v>
      </c>
      <c r="O15" s="10" t="s">
        <v>1243</v>
      </c>
      <c r="P15" s="59" t="s">
        <v>5</v>
      </c>
      <c r="Q15" s="21">
        <v>45657</v>
      </c>
      <c r="R15" s="10" t="s">
        <v>1748</v>
      </c>
      <c r="S15" s="53">
        <f>Q15+7</f>
        <v>45664</v>
      </c>
      <c r="T15" s="21">
        <v>45886</v>
      </c>
      <c r="U15" s="95">
        <f>T15-S15</f>
        <v>222</v>
      </c>
      <c r="V15" s="10" t="s">
        <v>3971</v>
      </c>
      <c r="W15" s="10"/>
      <c r="X15" s="21"/>
      <c r="Y15" s="10"/>
      <c r="Z15" s="10"/>
      <c r="AA15" s="21"/>
      <c r="AB15" s="95"/>
      <c r="AC15" s="10"/>
      <c r="AD15" s="10"/>
      <c r="AE15" s="21"/>
      <c r="AF15" s="10"/>
      <c r="AG15" s="10"/>
      <c r="AH15" s="21"/>
      <c r="AI15" s="21"/>
      <c r="AJ15" s="10"/>
      <c r="AK15" s="10"/>
      <c r="AL15" s="17"/>
      <c r="AM15" s="11"/>
      <c r="AN15" s="11"/>
      <c r="AO15" s="17"/>
      <c r="AP15" s="123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1"/>
      <c r="BF15" s="259"/>
    </row>
    <row r="16" spans="1:58" s="381" customFormat="1" ht="42" customHeight="1" x14ac:dyDescent="0.25">
      <c r="A16" s="367">
        <v>730007</v>
      </c>
      <c r="B16" s="13" t="s">
        <v>18</v>
      </c>
      <c r="C16" s="56" t="s">
        <v>725</v>
      </c>
      <c r="D16" s="10" t="s">
        <v>1302</v>
      </c>
      <c r="E16" s="12" t="s">
        <v>1303</v>
      </c>
      <c r="F16" s="16" t="s">
        <v>1304</v>
      </c>
      <c r="G16" s="10" t="s">
        <v>30</v>
      </c>
      <c r="H16" s="10" t="s">
        <v>1073</v>
      </c>
      <c r="I16" s="55" t="s">
        <v>3</v>
      </c>
      <c r="J16" s="53">
        <v>45633</v>
      </c>
      <c r="K16" s="13" t="s">
        <v>1305</v>
      </c>
      <c r="L16" s="53">
        <f t="shared" si="0"/>
        <v>45640</v>
      </c>
      <c r="M16" s="53">
        <v>45655</v>
      </c>
      <c r="N16" s="92">
        <f t="shared" si="1"/>
        <v>15</v>
      </c>
      <c r="O16" s="10" t="s">
        <v>1331</v>
      </c>
      <c r="P16" s="10" t="s">
        <v>3</v>
      </c>
      <c r="Q16" s="21">
        <v>45657</v>
      </c>
      <c r="R16" s="10" t="s">
        <v>1747</v>
      </c>
      <c r="S16" s="53">
        <f t="shared" si="2"/>
        <v>45664</v>
      </c>
      <c r="T16" s="21">
        <v>45670</v>
      </c>
      <c r="U16" s="95">
        <f t="shared" si="3"/>
        <v>6</v>
      </c>
      <c r="V16" s="10" t="s">
        <v>1759</v>
      </c>
      <c r="W16" s="10" t="s">
        <v>3</v>
      </c>
      <c r="X16" s="21">
        <v>45910</v>
      </c>
      <c r="Y16" s="10" t="s">
        <v>4151</v>
      </c>
      <c r="Z16" s="21">
        <f>X16+7</f>
        <v>45917</v>
      </c>
      <c r="AA16" s="21">
        <v>45919</v>
      </c>
      <c r="AB16" s="95">
        <f>AA16-Z16</f>
        <v>2</v>
      </c>
      <c r="AC16" s="10" t="s">
        <v>4159</v>
      </c>
      <c r="AD16" s="10" t="s">
        <v>18</v>
      </c>
      <c r="AE16" s="21">
        <v>46047</v>
      </c>
      <c r="AF16" s="10" t="s">
        <v>5655</v>
      </c>
      <c r="AG16" s="53">
        <f>AE16+7</f>
        <v>46054</v>
      </c>
      <c r="AH16" s="21">
        <v>46063</v>
      </c>
      <c r="AI16" s="95">
        <f>AH16-AG16</f>
        <v>9</v>
      </c>
      <c r="AJ16" s="10" t="s">
        <v>5667</v>
      </c>
      <c r="AK16" s="10"/>
      <c r="AL16" s="17"/>
      <c r="AM16" s="11"/>
      <c r="AN16" s="11"/>
      <c r="AO16" s="17"/>
      <c r="AP16" s="123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1"/>
      <c r="BF16" s="259"/>
    </row>
    <row r="17" spans="1:58" s="381" customFormat="1" ht="42" customHeight="1" x14ac:dyDescent="0.25">
      <c r="A17" s="367">
        <v>730007</v>
      </c>
      <c r="B17" s="58" t="s">
        <v>508</v>
      </c>
      <c r="C17" s="56" t="s">
        <v>627</v>
      </c>
      <c r="D17" s="10" t="s">
        <v>1504</v>
      </c>
      <c r="E17" s="12" t="s">
        <v>1505</v>
      </c>
      <c r="F17" s="16" t="s">
        <v>1506</v>
      </c>
      <c r="G17" s="10" t="s">
        <v>30</v>
      </c>
      <c r="H17" s="10" t="s">
        <v>1073</v>
      </c>
      <c r="I17" s="55" t="s">
        <v>3</v>
      </c>
      <c r="J17" s="53">
        <v>45643</v>
      </c>
      <c r="K17" s="13" t="s">
        <v>1507</v>
      </c>
      <c r="L17" s="53">
        <f t="shared" si="0"/>
        <v>45650</v>
      </c>
      <c r="M17" s="53">
        <v>45655</v>
      </c>
      <c r="N17" s="92">
        <f t="shared" si="1"/>
        <v>5</v>
      </c>
      <c r="O17" s="10" t="s">
        <v>1531</v>
      </c>
      <c r="P17" s="10" t="s">
        <v>3</v>
      </c>
      <c r="Q17" s="21">
        <v>45658</v>
      </c>
      <c r="R17" s="10" t="s">
        <v>1770</v>
      </c>
      <c r="S17" s="53">
        <f t="shared" si="2"/>
        <v>45665</v>
      </c>
      <c r="T17" s="21">
        <v>45666</v>
      </c>
      <c r="U17" s="95">
        <f t="shared" si="3"/>
        <v>1</v>
      </c>
      <c r="V17" s="10" t="s">
        <v>1778</v>
      </c>
      <c r="W17" s="10" t="s">
        <v>3</v>
      </c>
      <c r="X17" s="21">
        <v>45668</v>
      </c>
      <c r="Y17" s="10" t="s">
        <v>1937</v>
      </c>
      <c r="Z17" s="21">
        <f>X17+7</f>
        <v>45675</v>
      </c>
      <c r="AA17" s="21">
        <v>45713</v>
      </c>
      <c r="AB17" s="95">
        <f>AA17-Z17</f>
        <v>38</v>
      </c>
      <c r="AC17" s="10" t="s">
        <v>1947</v>
      </c>
      <c r="AD17" s="10" t="s">
        <v>18</v>
      </c>
      <c r="AE17" s="21">
        <v>45762</v>
      </c>
      <c r="AF17" s="10" t="s">
        <v>2995</v>
      </c>
      <c r="AG17" s="53">
        <f>AE17+7</f>
        <v>45769</v>
      </c>
      <c r="AH17" s="21">
        <v>45776</v>
      </c>
      <c r="AI17" s="95">
        <f>AH17-AG17</f>
        <v>7</v>
      </c>
      <c r="AJ17" s="10" t="s">
        <v>3007</v>
      </c>
      <c r="AK17" s="10" t="s">
        <v>3</v>
      </c>
      <c r="AL17" s="17">
        <v>45779</v>
      </c>
      <c r="AM17" s="11" t="s">
        <v>3150</v>
      </c>
      <c r="AN17" s="17">
        <f>AL17+7</f>
        <v>45786</v>
      </c>
      <c r="AO17" s="17">
        <v>45789</v>
      </c>
      <c r="AP17" s="123">
        <f>AO17-AN17</f>
        <v>3</v>
      </c>
      <c r="AQ17" s="17" t="s">
        <v>3165</v>
      </c>
      <c r="AR17" s="58" t="s">
        <v>508</v>
      </c>
      <c r="AS17" s="21">
        <v>45824</v>
      </c>
      <c r="AT17" s="150" t="s">
        <v>3504</v>
      </c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1"/>
      <c r="BF17" s="368" t="s">
        <v>3254</v>
      </c>
    </row>
    <row r="18" spans="1:58" s="381" customFormat="1" ht="42" customHeight="1" x14ac:dyDescent="0.25">
      <c r="A18" s="367">
        <v>730007</v>
      </c>
      <c r="B18" s="55" t="s">
        <v>18</v>
      </c>
      <c r="C18" s="56" t="s">
        <v>725</v>
      </c>
      <c r="D18" s="10" t="s">
        <v>1621</v>
      </c>
      <c r="E18" s="12" t="s">
        <v>1622</v>
      </c>
      <c r="F18" s="16" t="s">
        <v>1623</v>
      </c>
      <c r="G18" s="10" t="s">
        <v>30</v>
      </c>
      <c r="H18" s="10" t="s">
        <v>1073</v>
      </c>
      <c r="I18" s="55" t="s">
        <v>3</v>
      </c>
      <c r="J18" s="53">
        <v>45650</v>
      </c>
      <c r="K18" s="13" t="s">
        <v>1624</v>
      </c>
      <c r="L18" s="53">
        <f t="shared" si="0"/>
        <v>45657</v>
      </c>
      <c r="M18" s="53">
        <v>45669</v>
      </c>
      <c r="N18" s="92">
        <f t="shared" si="1"/>
        <v>12</v>
      </c>
      <c r="O18" s="10" t="s">
        <v>1656</v>
      </c>
      <c r="P18" s="55" t="s">
        <v>3</v>
      </c>
      <c r="Q18" s="21">
        <v>46047</v>
      </c>
      <c r="R18" s="10" t="s">
        <v>5654</v>
      </c>
      <c r="S18" s="53">
        <f t="shared" si="2"/>
        <v>46054</v>
      </c>
      <c r="T18" s="21">
        <v>46062</v>
      </c>
      <c r="U18" s="95">
        <f t="shared" si="3"/>
        <v>8</v>
      </c>
      <c r="V18" s="10" t="s">
        <v>5668</v>
      </c>
      <c r="W18" s="10" t="s">
        <v>18</v>
      </c>
      <c r="X18" s="21">
        <v>46064</v>
      </c>
      <c r="Y18" s="10" t="s">
        <v>5820</v>
      </c>
      <c r="Z18" s="21">
        <f>X18+7</f>
        <v>46071</v>
      </c>
      <c r="AA18" s="21">
        <v>46083</v>
      </c>
      <c r="AB18" s="95">
        <f>AA18-Z18</f>
        <v>12</v>
      </c>
      <c r="AC18" s="10" t="s">
        <v>5839</v>
      </c>
      <c r="AD18" s="10" t="s">
        <v>18</v>
      </c>
      <c r="AE18" s="21">
        <v>46111</v>
      </c>
      <c r="AF18" s="10" t="s">
        <v>6191</v>
      </c>
      <c r="AG18" s="53">
        <f>AE18+7</f>
        <v>46118</v>
      </c>
      <c r="AH18" s="21">
        <v>46125</v>
      </c>
      <c r="AI18" s="95">
        <f>AH18-AG18</f>
        <v>7</v>
      </c>
      <c r="AJ18" s="10" t="s">
        <v>6203</v>
      </c>
      <c r="AK18" s="10"/>
      <c r="AL18" s="17"/>
      <c r="AM18" s="11"/>
      <c r="AN18" s="11"/>
      <c r="AO18" s="17"/>
      <c r="AP18" s="123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1"/>
      <c r="BF18" s="259"/>
    </row>
    <row r="19" spans="1:58" s="381" customFormat="1" ht="42" customHeight="1" x14ac:dyDescent="0.25">
      <c r="A19" s="367">
        <v>730007</v>
      </c>
      <c r="B19" s="58" t="s">
        <v>508</v>
      </c>
      <c r="C19" s="56" t="s">
        <v>627</v>
      </c>
      <c r="D19" s="10" t="s">
        <v>1815</v>
      </c>
      <c r="E19" s="12" t="s">
        <v>1816</v>
      </c>
      <c r="F19" s="16" t="s">
        <v>1817</v>
      </c>
      <c r="G19" s="10" t="s">
        <v>30</v>
      </c>
      <c r="H19" s="10" t="s">
        <v>1073</v>
      </c>
      <c r="I19" s="55" t="s">
        <v>14</v>
      </c>
      <c r="J19" s="53">
        <v>45662</v>
      </c>
      <c r="K19" s="13" t="s">
        <v>1819</v>
      </c>
      <c r="L19" s="53">
        <f t="shared" ref="L19:L24" si="4">J19+7</f>
        <v>45669</v>
      </c>
      <c r="M19" s="53">
        <v>45678</v>
      </c>
      <c r="N19" s="92">
        <f t="shared" si="1"/>
        <v>9</v>
      </c>
      <c r="O19" s="10" t="s">
        <v>1823</v>
      </c>
      <c r="P19" s="59" t="s">
        <v>14</v>
      </c>
      <c r="Q19" s="21">
        <v>45685</v>
      </c>
      <c r="R19" s="10" t="s">
        <v>2184</v>
      </c>
      <c r="S19" s="53">
        <f t="shared" ref="S19:S24" si="5">Q19+7</f>
        <v>45692</v>
      </c>
      <c r="T19" s="21">
        <v>45694</v>
      </c>
      <c r="U19" s="95">
        <f t="shared" ref="U19:U24" si="6">T19-S19</f>
        <v>2</v>
      </c>
      <c r="V19" s="10" t="s">
        <v>2222</v>
      </c>
      <c r="W19" s="58" t="s">
        <v>508</v>
      </c>
      <c r="X19" s="21">
        <v>45878</v>
      </c>
      <c r="Y19" s="10" t="s">
        <v>3902</v>
      </c>
      <c r="Z19" s="10"/>
      <c r="AA19" s="21"/>
      <c r="AB19" s="95"/>
      <c r="AC19" s="10"/>
      <c r="AD19" s="10"/>
      <c r="AE19" s="21"/>
      <c r="AF19" s="10"/>
      <c r="AG19" s="10"/>
      <c r="AH19" s="21"/>
      <c r="AI19" s="21"/>
      <c r="AJ19" s="10"/>
      <c r="AK19" s="10"/>
      <c r="AL19" s="17"/>
      <c r="AM19" s="11"/>
      <c r="AN19" s="11"/>
      <c r="AO19" s="17"/>
      <c r="AP19" s="123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1"/>
      <c r="BF19" s="259"/>
    </row>
    <row r="20" spans="1:58" s="381" customFormat="1" ht="42" customHeight="1" x14ac:dyDescent="0.25">
      <c r="A20" s="367">
        <v>730007</v>
      </c>
      <c r="B20" s="13" t="s">
        <v>5</v>
      </c>
      <c r="C20" s="13" t="s">
        <v>725</v>
      </c>
      <c r="D20" s="10" t="s">
        <v>2217</v>
      </c>
      <c r="E20" s="12" t="s">
        <v>2218</v>
      </c>
      <c r="F20" s="16" t="s">
        <v>2219</v>
      </c>
      <c r="G20" s="10" t="s">
        <v>30</v>
      </c>
      <c r="H20" s="10" t="s">
        <v>1073</v>
      </c>
      <c r="I20" s="16" t="s">
        <v>18</v>
      </c>
      <c r="J20" s="53">
        <v>45687</v>
      </c>
      <c r="K20" s="13" t="s">
        <v>2220</v>
      </c>
      <c r="L20" s="53">
        <f t="shared" si="4"/>
        <v>45694</v>
      </c>
      <c r="M20" s="53">
        <v>45769</v>
      </c>
      <c r="N20" s="92">
        <f>M20-L20</f>
        <v>75</v>
      </c>
      <c r="O20" s="10" t="s">
        <v>2257</v>
      </c>
      <c r="P20" s="10" t="s">
        <v>18</v>
      </c>
      <c r="Q20" s="21">
        <v>45943</v>
      </c>
      <c r="R20" s="10" t="s">
        <v>4458</v>
      </c>
      <c r="S20" s="53">
        <f t="shared" si="5"/>
        <v>45950</v>
      </c>
      <c r="T20" s="21">
        <v>45953</v>
      </c>
      <c r="U20" s="95">
        <f t="shared" si="6"/>
        <v>3</v>
      </c>
      <c r="V20" s="10" t="s">
        <v>4467</v>
      </c>
      <c r="W20" s="10" t="s">
        <v>18</v>
      </c>
      <c r="X20" s="21">
        <v>46147</v>
      </c>
      <c r="Y20" s="10" t="s">
        <v>6661</v>
      </c>
      <c r="Z20" s="21">
        <f>X20+7</f>
        <v>46154</v>
      </c>
      <c r="AA20" s="21">
        <v>46162</v>
      </c>
      <c r="AB20" s="95">
        <f>AA20-Z20</f>
        <v>8</v>
      </c>
      <c r="AC20" s="10" t="s">
        <v>6678</v>
      </c>
      <c r="AD20" s="10" t="s">
        <v>5</v>
      </c>
      <c r="AE20" s="21">
        <v>46166</v>
      </c>
      <c r="AF20" s="10" t="s">
        <v>6906</v>
      </c>
      <c r="AG20" s="53">
        <f>AE20+7</f>
        <v>46173</v>
      </c>
      <c r="AH20" s="21">
        <v>46177</v>
      </c>
      <c r="AI20" s="95">
        <f>AH20-AG20</f>
        <v>4</v>
      </c>
      <c r="AJ20" s="10" t="s">
        <v>6915</v>
      </c>
      <c r="AK20" s="10"/>
      <c r="AL20" s="17"/>
      <c r="AM20" s="11"/>
      <c r="AN20" s="11"/>
      <c r="AO20" s="17"/>
      <c r="AP20" s="123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1"/>
      <c r="BF20" s="259"/>
    </row>
    <row r="21" spans="1:58" s="381" customFormat="1" ht="42" customHeight="1" x14ac:dyDescent="0.25">
      <c r="A21" s="367">
        <v>730007</v>
      </c>
      <c r="B21" s="13" t="s">
        <v>5</v>
      </c>
      <c r="C21" s="13" t="s">
        <v>588</v>
      </c>
      <c r="D21" s="10" t="s">
        <v>2356</v>
      </c>
      <c r="E21" s="12" t="s">
        <v>2355</v>
      </c>
      <c r="F21" s="16" t="s">
        <v>2357</v>
      </c>
      <c r="G21" s="10" t="s">
        <v>30</v>
      </c>
      <c r="H21" s="10" t="s">
        <v>1073</v>
      </c>
      <c r="I21" s="16" t="s">
        <v>18</v>
      </c>
      <c r="J21" s="53">
        <v>45695</v>
      </c>
      <c r="K21" s="13" t="s">
        <v>2358</v>
      </c>
      <c r="L21" s="53">
        <f t="shared" si="4"/>
        <v>45702</v>
      </c>
      <c r="M21" s="53">
        <v>45713</v>
      </c>
      <c r="N21" s="92">
        <f t="shared" si="1"/>
        <v>11</v>
      </c>
      <c r="O21" s="10" t="s">
        <v>2374</v>
      </c>
      <c r="P21" s="12" t="s">
        <v>5</v>
      </c>
      <c r="Q21" s="21">
        <v>45721</v>
      </c>
      <c r="R21" s="10" t="s">
        <v>2677</v>
      </c>
      <c r="S21" s="53">
        <f t="shared" si="5"/>
        <v>45728</v>
      </c>
      <c r="T21" s="21">
        <v>45760</v>
      </c>
      <c r="U21" s="95">
        <f t="shared" si="6"/>
        <v>32</v>
      </c>
      <c r="V21" s="10" t="s">
        <v>2686</v>
      </c>
      <c r="W21" s="10" t="s">
        <v>5</v>
      </c>
      <c r="X21" s="21">
        <v>46243</v>
      </c>
      <c r="Y21" s="10" t="s">
        <v>7445</v>
      </c>
      <c r="Z21" s="21">
        <f>X21+7</f>
        <v>46250</v>
      </c>
      <c r="AA21" s="21">
        <v>46247</v>
      </c>
      <c r="AB21" s="95">
        <f>AA21-Z21</f>
        <v>-3</v>
      </c>
      <c r="AC21" s="10" t="s">
        <v>7446</v>
      </c>
      <c r="AD21" s="10"/>
      <c r="AE21" s="21"/>
      <c r="AF21" s="10"/>
      <c r="AG21" s="10"/>
      <c r="AH21" s="21"/>
      <c r="AI21" s="21"/>
      <c r="AJ21" s="10"/>
      <c r="AK21" s="10"/>
      <c r="AL21" s="17"/>
      <c r="AM21" s="11"/>
      <c r="AN21" s="11"/>
      <c r="AO21" s="17"/>
      <c r="AP21" s="123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1"/>
      <c r="BF21" s="259"/>
    </row>
    <row r="22" spans="1:58" s="381" customFormat="1" ht="42" customHeight="1" x14ac:dyDescent="0.25">
      <c r="A22" s="442" t="s">
        <v>3256</v>
      </c>
      <c r="B22" s="13" t="s">
        <v>5</v>
      </c>
      <c r="C22" s="13" t="s">
        <v>2456</v>
      </c>
      <c r="D22" s="10" t="s">
        <v>3439</v>
      </c>
      <c r="E22" s="12" t="s">
        <v>3440</v>
      </c>
      <c r="F22" s="16" t="s">
        <v>3927</v>
      </c>
      <c r="G22" s="10" t="s">
        <v>30</v>
      </c>
      <c r="H22" s="10" t="s">
        <v>1073</v>
      </c>
      <c r="I22" s="16" t="s">
        <v>18</v>
      </c>
      <c r="J22" s="53">
        <v>45810</v>
      </c>
      <c r="K22" s="13" t="s">
        <v>3441</v>
      </c>
      <c r="L22" s="53">
        <f t="shared" si="4"/>
        <v>45817</v>
      </c>
      <c r="M22" s="53">
        <v>45823</v>
      </c>
      <c r="N22" s="92">
        <f t="shared" si="1"/>
        <v>6</v>
      </c>
      <c r="O22" s="10" t="s">
        <v>3455</v>
      </c>
      <c r="P22" s="12" t="s">
        <v>18</v>
      </c>
      <c r="Q22" s="21">
        <v>46147</v>
      </c>
      <c r="R22" s="10" t="s">
        <v>6650</v>
      </c>
      <c r="S22" s="53">
        <f t="shared" si="5"/>
        <v>46154</v>
      </c>
      <c r="T22" s="21">
        <v>46155</v>
      </c>
      <c r="U22" s="95">
        <f t="shared" si="6"/>
        <v>1</v>
      </c>
      <c r="V22" s="10" t="s">
        <v>6654</v>
      </c>
      <c r="W22" s="10" t="s">
        <v>18</v>
      </c>
      <c r="X22" s="21">
        <v>46159</v>
      </c>
      <c r="Y22" s="10" t="s">
        <v>6838</v>
      </c>
      <c r="Z22" s="21">
        <f>X22+7</f>
        <v>46166</v>
      </c>
      <c r="AA22" s="21">
        <v>46173</v>
      </c>
      <c r="AB22" s="95">
        <f>AA22-Z22</f>
        <v>7</v>
      </c>
      <c r="AC22" s="10" t="s">
        <v>6847</v>
      </c>
      <c r="AD22" s="10" t="s">
        <v>18</v>
      </c>
      <c r="AE22" s="21">
        <v>46183</v>
      </c>
      <c r="AF22" s="10" t="s">
        <v>6971</v>
      </c>
      <c r="AG22" s="53">
        <f>AE22+7</f>
        <v>46190</v>
      </c>
      <c r="AH22" s="21">
        <v>46198</v>
      </c>
      <c r="AI22" s="95">
        <f>AH22-AG22</f>
        <v>8</v>
      </c>
      <c r="AJ22" s="10" t="s">
        <v>6985</v>
      </c>
      <c r="AK22" s="10" t="s">
        <v>5</v>
      </c>
      <c r="AL22" s="17">
        <v>46202</v>
      </c>
      <c r="AM22" s="11" t="s">
        <v>7141</v>
      </c>
      <c r="AN22" s="53">
        <f>AL22+7</f>
        <v>46209</v>
      </c>
      <c r="AO22" s="21">
        <v>46212</v>
      </c>
      <c r="AP22" s="95">
        <f>AO22-AN22</f>
        <v>3</v>
      </c>
      <c r="AQ22" s="17" t="s">
        <v>7155</v>
      </c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1"/>
      <c r="BF22" s="259"/>
    </row>
    <row r="23" spans="1:58" s="381" customFormat="1" ht="42" customHeight="1" x14ac:dyDescent="0.25">
      <c r="A23" s="442" t="s">
        <v>3256</v>
      </c>
      <c r="B23" s="13" t="s">
        <v>5</v>
      </c>
      <c r="C23" s="13" t="s">
        <v>588</v>
      </c>
      <c r="D23" s="10" t="s">
        <v>3924</v>
      </c>
      <c r="E23" s="12" t="s">
        <v>3925</v>
      </c>
      <c r="F23" s="16" t="s">
        <v>3926</v>
      </c>
      <c r="G23" s="10" t="s">
        <v>30</v>
      </c>
      <c r="H23" s="10" t="s">
        <v>1073</v>
      </c>
      <c r="I23" s="16" t="s">
        <v>18</v>
      </c>
      <c r="J23" s="53">
        <v>45882</v>
      </c>
      <c r="K23" s="13" t="s">
        <v>3928</v>
      </c>
      <c r="L23" s="53">
        <f t="shared" si="4"/>
        <v>45889</v>
      </c>
      <c r="M23" s="53">
        <v>45902</v>
      </c>
      <c r="N23" s="92">
        <f t="shared" si="1"/>
        <v>13</v>
      </c>
      <c r="O23" s="10" t="s">
        <v>3946</v>
      </c>
      <c r="P23" s="12" t="s">
        <v>18</v>
      </c>
      <c r="Q23" s="21">
        <v>46127</v>
      </c>
      <c r="R23" s="10" t="s">
        <v>6388</v>
      </c>
      <c r="S23" s="53">
        <f t="shared" si="5"/>
        <v>46134</v>
      </c>
      <c r="T23" s="21">
        <v>46135</v>
      </c>
      <c r="U23" s="95">
        <f t="shared" si="6"/>
        <v>1</v>
      </c>
      <c r="V23" s="10" t="s">
        <v>6427</v>
      </c>
      <c r="W23" s="10" t="s">
        <v>5</v>
      </c>
      <c r="X23" s="21">
        <v>46209</v>
      </c>
      <c r="Y23" s="10" t="s">
        <v>7223</v>
      </c>
      <c r="Z23" s="21">
        <f>X23+7</f>
        <v>46216</v>
      </c>
      <c r="AA23" s="21">
        <v>46215</v>
      </c>
      <c r="AB23" s="95">
        <f>AA23-Z23</f>
        <v>-1</v>
      </c>
      <c r="AC23" s="10" t="s">
        <v>7226</v>
      </c>
      <c r="AD23" s="10"/>
      <c r="AE23" s="21"/>
      <c r="AF23" s="10"/>
      <c r="AG23" s="10"/>
      <c r="AH23" s="21"/>
      <c r="AI23" s="21"/>
      <c r="AJ23" s="10"/>
      <c r="AK23" s="10"/>
      <c r="AL23" s="17"/>
      <c r="AM23" s="11"/>
      <c r="AN23" s="11"/>
      <c r="AO23" s="17"/>
      <c r="AP23" s="123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1"/>
      <c r="BF23" s="259"/>
    </row>
    <row r="24" spans="1:58" s="381" customFormat="1" ht="42" customHeight="1" x14ac:dyDescent="0.25">
      <c r="A24" s="442" t="s">
        <v>3256</v>
      </c>
      <c r="B24" s="13" t="s">
        <v>5</v>
      </c>
      <c r="C24" s="13" t="s">
        <v>208</v>
      </c>
      <c r="D24" s="10" t="s">
        <v>7257</v>
      </c>
      <c r="E24" s="12" t="s">
        <v>7258</v>
      </c>
      <c r="F24" s="16" t="s">
        <v>7259</v>
      </c>
      <c r="G24" s="10" t="s">
        <v>30</v>
      </c>
      <c r="H24" s="10" t="s">
        <v>1073</v>
      </c>
      <c r="I24" s="16" t="s">
        <v>18</v>
      </c>
      <c r="J24" s="53">
        <v>46214</v>
      </c>
      <c r="K24" s="13" t="s">
        <v>7261</v>
      </c>
      <c r="L24" s="53">
        <f t="shared" si="4"/>
        <v>46221</v>
      </c>
      <c r="M24" s="53">
        <v>46223</v>
      </c>
      <c r="N24" s="92">
        <f t="shared" si="1"/>
        <v>2</v>
      </c>
      <c r="O24" s="10" t="s">
        <v>7262</v>
      </c>
      <c r="P24" s="12" t="s">
        <v>5</v>
      </c>
      <c r="Q24" s="21">
        <v>46231</v>
      </c>
      <c r="R24" s="150" t="s">
        <v>7355</v>
      </c>
      <c r="S24" s="53">
        <f t="shared" si="5"/>
        <v>46238</v>
      </c>
      <c r="T24" s="21">
        <v>46236</v>
      </c>
      <c r="U24" s="92">
        <f t="shared" si="6"/>
        <v>-2</v>
      </c>
      <c r="V24" s="151" t="s">
        <v>7357</v>
      </c>
      <c r="W24" s="10"/>
      <c r="X24" s="21"/>
      <c r="Y24" s="10"/>
      <c r="Z24" s="10"/>
      <c r="AA24" s="21"/>
      <c r="AB24" s="95"/>
      <c r="AC24" s="10"/>
      <c r="AD24" s="10"/>
      <c r="AE24" s="21"/>
      <c r="AF24" s="10"/>
      <c r="AG24" s="10"/>
      <c r="AH24" s="21"/>
      <c r="AI24" s="21"/>
      <c r="AJ24" s="10"/>
      <c r="AK24" s="10"/>
      <c r="AL24" s="17"/>
      <c r="AM24" s="11"/>
      <c r="AN24" s="11"/>
      <c r="AO24" s="17"/>
      <c r="AP24" s="123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1"/>
      <c r="BF24" s="259"/>
    </row>
    <row r="25" spans="1:58" s="381" customFormat="1" ht="42" customHeight="1" thickBot="1" x14ac:dyDescent="0.3">
      <c r="A25" s="443"/>
      <c r="B25" s="370"/>
      <c r="C25" s="446"/>
      <c r="D25" s="370"/>
      <c r="E25" s="370"/>
      <c r="F25" s="262"/>
      <c r="G25" s="263"/>
      <c r="H25" s="263"/>
      <c r="I25" s="262"/>
      <c r="J25" s="372"/>
      <c r="K25" s="373"/>
      <c r="L25" s="373"/>
      <c r="M25" s="372"/>
      <c r="N25" s="372"/>
      <c r="O25" s="263"/>
      <c r="P25" s="470"/>
      <c r="Q25" s="374"/>
      <c r="R25" s="263"/>
      <c r="S25" s="263"/>
      <c r="T25" s="374"/>
      <c r="U25" s="375"/>
      <c r="V25" s="263"/>
      <c r="W25" s="263"/>
      <c r="X25" s="374"/>
      <c r="Y25" s="263"/>
      <c r="Z25" s="263"/>
      <c r="AA25" s="374"/>
      <c r="AB25" s="375"/>
      <c r="AC25" s="263"/>
      <c r="AD25" s="263"/>
      <c r="AE25" s="374"/>
      <c r="AF25" s="263"/>
      <c r="AG25" s="263"/>
      <c r="AH25" s="374"/>
      <c r="AI25" s="374"/>
      <c r="AJ25" s="263"/>
      <c r="AK25" s="263"/>
      <c r="AL25" s="376"/>
      <c r="AM25" s="371"/>
      <c r="AN25" s="371"/>
      <c r="AO25" s="376"/>
      <c r="AP25" s="377"/>
      <c r="AQ25" s="376"/>
      <c r="AR25" s="376"/>
      <c r="AS25" s="376"/>
      <c r="AT25" s="376"/>
      <c r="AU25" s="376"/>
      <c r="AV25" s="376"/>
      <c r="AW25" s="376"/>
      <c r="AX25" s="376"/>
      <c r="AY25" s="376"/>
      <c r="AZ25" s="376"/>
      <c r="BA25" s="376"/>
      <c r="BB25" s="376"/>
      <c r="BC25" s="376"/>
      <c r="BD25" s="376"/>
      <c r="BE25" s="371"/>
      <c r="BF25" s="266"/>
    </row>
  </sheetData>
  <autoFilter ref="A11:BF11" xr:uid="{00000000-0001-0000-0C00-000000000000}"/>
  <mergeCells count="18">
    <mergeCell ref="A10:A11"/>
    <mergeCell ref="H1:H2"/>
    <mergeCell ref="I1:I2"/>
    <mergeCell ref="AR10:AX10"/>
    <mergeCell ref="AY10:BE10"/>
    <mergeCell ref="G10:G11"/>
    <mergeCell ref="B10:B11"/>
    <mergeCell ref="C10:C11"/>
    <mergeCell ref="D10:D11"/>
    <mergeCell ref="E10:E11"/>
    <mergeCell ref="F10:F11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9:A1048576">
    <cfRule type="cellIs" dxfId="4540" priority="1" operator="equal">
      <formula>"E - Review not Required - Proceed"</formula>
    </cfRule>
    <cfRule type="cellIs" dxfId="4539" priority="2" operator="equal">
      <formula>"D - Rejected"</formula>
    </cfRule>
    <cfRule type="cellIs" dxfId="4538" priority="3" operator="equal">
      <formula>"B- Incorporate Comments - Proceed"</formula>
    </cfRule>
    <cfRule type="cellIs" dxfId="4537" priority="4" operator="equal">
      <formula>"C - Revise and Resubmit - Do Not Proceed"</formula>
    </cfRule>
    <cfRule type="cellIs" dxfId="4536" priority="5" operator="equal">
      <formula>"A - Work May Proceed"</formula>
    </cfRule>
  </conditionalFormatting>
  <conditionalFormatting sqref="B14:Q14 S14:XFD14 AU17:XFD17">
    <cfRule type="cellIs" dxfId="4535" priority="100" operator="equal">
      <formula>"A - Work May Proceed"</formula>
    </cfRule>
    <cfRule type="cellIs" dxfId="4534" priority="99" operator="equal">
      <formula>"C - Revise and Resubmit - Do Not Proceed"</formula>
    </cfRule>
    <cfRule type="cellIs" dxfId="4533" priority="98" operator="equal">
      <formula>"B- Incorporate Comments - Proceed"</formula>
    </cfRule>
    <cfRule type="cellIs" dxfId="4532" priority="96" operator="equal">
      <formula>"E - Review not Required - Proceed"</formula>
    </cfRule>
    <cfRule type="cellIs" dxfId="4531" priority="97" operator="equal">
      <formula>"D - Rejected"</formula>
    </cfRule>
  </conditionalFormatting>
  <conditionalFormatting sqref="B12:XFD13">
    <cfRule type="cellIs" dxfId="4530" priority="26" operator="equal">
      <formula>"E - Review not Required - Proceed"</formula>
    </cfRule>
    <cfRule type="cellIs" dxfId="4529" priority="27" operator="equal">
      <formula>"D - Rejected"</formula>
    </cfRule>
    <cfRule type="cellIs" dxfId="4528" priority="28" operator="equal">
      <formula>"B- Incorporate Comments - Proceed"</formula>
    </cfRule>
    <cfRule type="cellIs" dxfId="4527" priority="29" operator="equal">
      <formula>"C - Revise and Resubmit - Do Not Proceed"</formula>
    </cfRule>
    <cfRule type="cellIs" dxfId="4526" priority="30" operator="equal">
      <formula>"A - Work May Proceed"</formula>
    </cfRule>
  </conditionalFormatting>
  <conditionalFormatting sqref="B15:XFD16 B17:AG18">
    <cfRule type="cellIs" dxfId="4525" priority="36" operator="equal">
      <formula>"E - Review not Required - Proceed"</formula>
    </cfRule>
    <cfRule type="cellIs" dxfId="4524" priority="37" operator="equal">
      <formula>"D - Rejected"</formula>
    </cfRule>
    <cfRule type="cellIs" dxfId="4523" priority="38" operator="equal">
      <formula>"B- Incorporate Comments - Proceed"</formula>
    </cfRule>
    <cfRule type="cellIs" dxfId="4522" priority="39" operator="equal">
      <formula>"C - Revise and Resubmit - Do Not Proceed"</formula>
    </cfRule>
    <cfRule type="cellIs" dxfId="4521" priority="40" operator="equal">
      <formula>"A - Work May Proceed"</formula>
    </cfRule>
  </conditionalFormatting>
  <conditionalFormatting sqref="B19:XFD23 B24:Q24 S24:U24 W24:XFD24 B25:XFD1048576">
    <cfRule type="cellIs" dxfId="4520" priority="12" operator="equal">
      <formula>"D - Rejected"</formula>
    </cfRule>
    <cfRule type="cellIs" dxfId="4519" priority="13" operator="equal">
      <formula>"B- Incorporate Comments - Proceed"</formula>
    </cfRule>
    <cfRule type="cellIs" dxfId="4518" priority="14" operator="equal">
      <formula>"C - Revise and Resubmit - Do Not Proceed"</formula>
    </cfRule>
    <cfRule type="cellIs" dxfId="4517" priority="15" operator="equal">
      <formula>"A - Work May Proceed"</formula>
    </cfRule>
    <cfRule type="cellIs" dxfId="4516" priority="11" operator="equal">
      <formula>"E - Review not Required - Proceed"</formula>
    </cfRule>
  </conditionalFormatting>
  <conditionalFormatting sqref="D11:BE11 B1:G2 X1:XFD4 B3:H4 B9:XFD10">
    <cfRule type="cellIs" dxfId="4515" priority="143" operator="equal">
      <formula>"B- Incorporate Comments - Proceed"</formula>
    </cfRule>
    <cfRule type="cellIs" dxfId="4514" priority="145" operator="equal">
      <formula>"A - Work May Proceed"</formula>
    </cfRule>
    <cfRule type="cellIs" dxfId="4513" priority="144" operator="equal">
      <formula>"C - Revise and Resubmit - Do Not Proceed"</formula>
    </cfRule>
    <cfRule type="cellIs" dxfId="4512" priority="141" operator="equal">
      <formula>"E - Review not Required - Proceed"</formula>
    </cfRule>
    <cfRule type="cellIs" dxfId="4511" priority="142" operator="equal">
      <formula>"D - Rejected"</formula>
    </cfRule>
  </conditionalFormatting>
  <conditionalFormatting sqref="I11">
    <cfRule type="cellIs" dxfId="4510" priority="223" operator="between">
      <formula>"A - Work May Proceed"</formula>
      <formula>"A - Work May Proceed"</formula>
    </cfRule>
    <cfRule type="cellIs" dxfId="4509" priority="214" operator="between">
      <formula>"E - Review not Required - Proceed"</formula>
      <formula>"E - Review not Required - Proceed"</formula>
    </cfRule>
    <cfRule type="cellIs" dxfId="4508" priority="224" operator="between">
      <formula>"C - Revise and Resubmit - Do Not Proceed"</formula>
      <formula>"C - Revise and Resubmit - Do Not Proceed"</formula>
    </cfRule>
    <cfRule type="cellIs" dxfId="4507" priority="213" operator="equal">
      <formula>"E - Review Not Required - Proceed"</formula>
    </cfRule>
    <cfRule type="cellIs" dxfId="4506" priority="215" operator="between">
      <formula>"'D - Rejected "</formula>
      <formula>"'D - Rejected "</formula>
    </cfRule>
    <cfRule type="cellIs" dxfId="4505" priority="221" operator="between">
      <formula>"D - Rejected "</formula>
      <formula>"D - Rejected "</formula>
    </cfRule>
    <cfRule type="cellIs" dxfId="4504" priority="220" operator="between">
      <formula>"E - Review not Required - Proceed"</formula>
      <formula>"E - Review not Required - Proceed"</formula>
    </cfRule>
    <cfRule type="cellIs" dxfId="4503" priority="212" operator="equal">
      <formula>"B - Incorporate Comments - Proceed "</formula>
    </cfRule>
    <cfRule type="cellIs" dxfId="4502" priority="211" operator="equal">
      <formula>"For Information"</formula>
    </cfRule>
    <cfRule type="cellIs" dxfId="4501" priority="210" operator="equal">
      <formula>"B - Incorporate Comments - Proceed"</formula>
    </cfRule>
    <cfRule type="cellIs" dxfId="4500" priority="222" operator="between">
      <formula>"CANCELLED"</formula>
      <formula>"CANCELLED"</formula>
    </cfRule>
    <cfRule type="cellIs" dxfId="4499" priority="225" stopIfTrue="1" operator="between">
      <formula>"B - Incorporate Comments - Proceed "</formula>
      <formula>"B - Incorporate Comments - Proceed "</formula>
    </cfRule>
    <cfRule type="cellIs" dxfId="4498" priority="219" operator="between">
      <formula>"B - Incorporate Comments - Proceed"</formula>
      <formula>"B - Incorporate Comments - Proceed"</formula>
    </cfRule>
    <cfRule type="cellIs" dxfId="4497" priority="218" operator="between">
      <formula>"A - Work May Proceed"</formula>
      <formula>"A - Work May Proceed"</formula>
    </cfRule>
    <cfRule type="cellIs" dxfId="4496" priority="217" operator="between">
      <formula>"B - Incorporate Comments - Proceed"</formula>
      <formula>"B - Incorporate Comments - Proceed"</formula>
    </cfRule>
    <cfRule type="cellIs" dxfId="4495" priority="216" operator="between">
      <formula>"C - Revise and Resubmit - Do Not Proceed"</formula>
      <formula>"C - Revise and Resubmit - Do Not Proceed"</formula>
    </cfRule>
  </conditionalFormatting>
  <conditionalFormatting sqref="J5:J6 B5:I7 B8:J8">
    <cfRule type="cellIs" dxfId="4494" priority="92" operator="equal">
      <formula>"D - Rejected"</formula>
    </cfRule>
    <cfRule type="cellIs" dxfId="4493" priority="91" operator="equal">
      <formula>"E - Review not Required - Proceed"</formula>
    </cfRule>
    <cfRule type="cellIs" dxfId="4492" priority="93" operator="equal">
      <formula>"B- Incorporate Comments - Proceed"</formula>
    </cfRule>
    <cfRule type="cellIs" dxfId="4491" priority="94" operator="equal">
      <formula>"C - Revise and Resubmit - Do Not Proceed"</formula>
    </cfRule>
    <cfRule type="cellIs" dxfId="4490" priority="95" stopIfTrue="1" operator="equal">
      <formula>"A - Work May Proceed"</formula>
    </cfRule>
  </conditionalFormatting>
  <conditionalFormatting sqref="P11">
    <cfRule type="cellIs" dxfId="4489" priority="203" operator="between">
      <formula>"B - Incorporate Comments - Proceed"</formula>
      <formula>"B - Incorporate Comments - Proceed"</formula>
    </cfRule>
    <cfRule type="cellIs" dxfId="4488" priority="202" operator="between">
      <formula>"A - Work May Proceed"</formula>
      <formula>"A - Work May Proceed"</formula>
    </cfRule>
    <cfRule type="cellIs" dxfId="4487" priority="201" operator="between">
      <formula>"B - Incorporate Comments - Proceed"</formula>
      <formula>"B - Incorporate Comments - Proceed"</formula>
    </cfRule>
    <cfRule type="cellIs" dxfId="4486" priority="200" operator="between">
      <formula>"C - Revise and Resubmit - Do Not Proceed"</formula>
      <formula>"C - Revise and Resubmit - Do Not Proceed"</formula>
    </cfRule>
    <cfRule type="cellIs" dxfId="4485" priority="199" operator="between">
      <formula>"'D - Rejected "</formula>
      <formula>"'D - Rejected "</formula>
    </cfRule>
    <cfRule type="cellIs" dxfId="4484" priority="198" operator="between">
      <formula>"E - Review not Required - Proceed"</formula>
      <formula>"E - Review not Required - Proceed"</formula>
    </cfRule>
    <cfRule type="cellIs" dxfId="4483" priority="197" operator="equal">
      <formula>"E - Review Not Required - Proceed"</formula>
    </cfRule>
    <cfRule type="cellIs" dxfId="4482" priority="196" operator="equal">
      <formula>"B - Incorporate Comments - Proceed "</formula>
    </cfRule>
    <cfRule type="cellIs" dxfId="4481" priority="195" operator="equal">
      <formula>"For Information"</formula>
    </cfRule>
    <cfRule type="cellIs" dxfId="4480" priority="194" operator="equal">
      <formula>"B - Incorporate Comments - Proceed"</formula>
    </cfRule>
    <cfRule type="cellIs" dxfId="4479" priority="205" operator="between">
      <formula>"D - Rejected "</formula>
      <formula>"D - Rejected "</formula>
    </cfRule>
    <cfRule type="cellIs" dxfId="4478" priority="209" stopIfTrue="1" operator="between">
      <formula>"B - Incorporate Comments - Proceed "</formula>
      <formula>"B - Incorporate Comments - Proceed "</formula>
    </cfRule>
    <cfRule type="cellIs" dxfId="4477" priority="208" operator="between">
      <formula>"C - Revise and Resubmit - Do Not Proceed"</formula>
      <formula>"C - Revise and Resubmit - Do Not Proceed"</formula>
    </cfRule>
    <cfRule type="cellIs" dxfId="4476" priority="207" operator="between">
      <formula>"A - Work May Proceed"</formula>
      <formula>"A - Work May Proceed"</formula>
    </cfRule>
    <cfRule type="cellIs" dxfId="4475" priority="206" operator="between">
      <formula>"CANCELLED"</formula>
      <formula>"CANCELLED"</formula>
    </cfRule>
    <cfRule type="cellIs" dxfId="4474" priority="204" operator="between">
      <formula>"E - Review not Required - Proceed"</formula>
      <formula>"E - Review not Required - Proceed"</formula>
    </cfRule>
  </conditionalFormatting>
  <conditionalFormatting sqref="W11">
    <cfRule type="cellIs" dxfId="4473" priority="193" stopIfTrue="1" operator="between">
      <formula>"B - Incorporate Comments - Proceed "</formula>
      <formula>"B - Incorporate Comments - Proceed "</formula>
    </cfRule>
    <cfRule type="cellIs" dxfId="4472" priority="192" operator="between">
      <formula>"C - Revise and Resubmit - Do Not Proceed"</formula>
      <formula>"C - Revise and Resubmit - Do Not Proceed"</formula>
    </cfRule>
    <cfRule type="cellIs" dxfId="4471" priority="191" operator="between">
      <formula>"A - Work May Proceed"</formula>
      <formula>"A - Work May Proceed"</formula>
    </cfRule>
    <cfRule type="cellIs" dxfId="4470" priority="190" operator="between">
      <formula>"CANCELLED"</formula>
      <formula>"CANCELLED"</formula>
    </cfRule>
    <cfRule type="cellIs" dxfId="4469" priority="189" operator="between">
      <formula>"D - Rejected "</formula>
      <formula>"D - Rejected "</formula>
    </cfRule>
    <cfRule type="cellIs" dxfId="4468" priority="188" operator="between">
      <formula>"E - Review not Required - Proceed"</formula>
      <formula>"E - Review not Required - Proceed"</formula>
    </cfRule>
    <cfRule type="cellIs" dxfId="4467" priority="187" operator="between">
      <formula>"B - Incorporate Comments - Proceed"</formula>
      <formula>"B - Incorporate Comments - Proceed"</formula>
    </cfRule>
    <cfRule type="cellIs" dxfId="4466" priority="186" operator="between">
      <formula>"A - Work May Proceed"</formula>
      <formula>"A - Work May Proceed"</formula>
    </cfRule>
    <cfRule type="cellIs" dxfId="4465" priority="184" operator="between">
      <formula>"C - Revise and Resubmit - Do Not Proceed"</formula>
      <formula>"C - Revise and Resubmit - Do Not Proceed"</formula>
    </cfRule>
    <cfRule type="cellIs" dxfId="4464" priority="183" operator="between">
      <formula>"'D - Rejected "</formula>
      <formula>"'D - Rejected "</formula>
    </cfRule>
    <cfRule type="cellIs" dxfId="4463" priority="182" operator="between">
      <formula>"E - Review not Required - Proceed"</formula>
      <formula>"E - Review not Required - Proceed"</formula>
    </cfRule>
    <cfRule type="cellIs" dxfId="4462" priority="181" operator="equal">
      <formula>"E - Review Not Required - Proceed"</formula>
    </cfRule>
    <cfRule type="cellIs" dxfId="4461" priority="180" operator="equal">
      <formula>"B - Incorporate Comments - Proceed "</formula>
    </cfRule>
    <cfRule type="cellIs" dxfId="4460" priority="179" operator="equal">
      <formula>"For Information"</formula>
    </cfRule>
    <cfRule type="cellIs" dxfId="4459" priority="178" operator="equal">
      <formula>"B - Incorporate Comments - Proceed"</formula>
    </cfRule>
    <cfRule type="cellIs" dxfId="4458" priority="185" operator="between">
      <formula>"B - Incorporate Comments - Proceed"</formula>
      <formula>"B - Incorporate Comments - Proceed"</formula>
    </cfRule>
  </conditionalFormatting>
  <conditionalFormatting sqref="AD11">
    <cfRule type="cellIs" dxfId="4457" priority="162" operator="equal">
      <formula>"B - Incorporate Comments - Proceed"</formula>
    </cfRule>
    <cfRule type="cellIs" dxfId="4456" priority="164" operator="equal">
      <formula>"B - Incorporate Comments - Proceed "</formula>
    </cfRule>
    <cfRule type="cellIs" dxfId="4455" priority="165" operator="equal">
      <formula>"E - Review Not Required - Proceed"</formula>
    </cfRule>
    <cfRule type="cellIs" dxfId="4454" priority="166" operator="between">
      <formula>"E - Review not Required - Proceed"</formula>
      <formula>"E - Review not Required - Proceed"</formula>
    </cfRule>
    <cfRule type="cellIs" dxfId="4453" priority="167" operator="between">
      <formula>"'D - Rejected "</formula>
      <formula>"'D - Rejected "</formula>
    </cfRule>
    <cfRule type="cellIs" dxfId="4452" priority="168" operator="between">
      <formula>"C - Revise and Resubmit - Do Not Proceed"</formula>
      <formula>"C - Revise and Resubmit - Do Not Proceed"</formula>
    </cfRule>
    <cfRule type="cellIs" dxfId="4451" priority="169" operator="between">
      <formula>"B - Incorporate Comments - Proceed"</formula>
      <formula>"B - Incorporate Comments - Proceed"</formula>
    </cfRule>
    <cfRule type="cellIs" dxfId="4450" priority="170" operator="between">
      <formula>"A - Work May Proceed"</formula>
      <formula>"A - Work May Proceed"</formula>
    </cfRule>
    <cfRule type="cellIs" dxfId="4449" priority="171" operator="between">
      <formula>"B - Incorporate Comments - Proceed"</formula>
      <formula>"B - Incorporate Comments - Proceed"</formula>
    </cfRule>
    <cfRule type="cellIs" dxfId="4448" priority="172" operator="between">
      <formula>"E - Review not Required - Proceed"</formula>
      <formula>"E - Review not Required - Proceed"</formula>
    </cfRule>
    <cfRule type="cellIs" dxfId="4447" priority="173" operator="between">
      <formula>"D - Rejected "</formula>
      <formula>"D - Rejected "</formula>
    </cfRule>
    <cfRule type="cellIs" dxfId="4446" priority="174" operator="between">
      <formula>"CANCELLED"</formula>
      <formula>"CANCELLED"</formula>
    </cfRule>
    <cfRule type="cellIs" dxfId="4445" priority="175" operator="between">
      <formula>"A - Work May Proceed"</formula>
      <formula>"A - Work May Proceed"</formula>
    </cfRule>
    <cfRule type="cellIs" dxfId="4444" priority="176" operator="between">
      <formula>"C - Revise and Resubmit - Do Not Proceed"</formula>
      <formula>"C - Revise and Resubmit - Do Not Proceed"</formula>
    </cfRule>
    <cfRule type="cellIs" dxfId="4443" priority="177" stopIfTrue="1" operator="between">
      <formula>"B - Incorporate Comments - Proceed "</formula>
      <formula>"B - Incorporate Comments - Proceed "</formula>
    </cfRule>
    <cfRule type="cellIs" dxfId="4442" priority="163" operator="equal">
      <formula>"For Information"</formula>
    </cfRule>
  </conditionalFormatting>
  <conditionalFormatting sqref="AH17:AS17">
    <cfRule type="cellIs" dxfId="4441" priority="80" operator="equal">
      <formula>"A - Work May Proceed"</formula>
    </cfRule>
    <cfRule type="cellIs" dxfId="4440" priority="79" operator="equal">
      <formula>"C - Revise and Resubmit - Do Not Proceed"</formula>
    </cfRule>
    <cfRule type="cellIs" dxfId="4439" priority="76" operator="equal">
      <formula>"E - Review not Required - Proceed"</formula>
    </cfRule>
    <cfRule type="cellIs" dxfId="4438" priority="77" operator="equal">
      <formula>"D - Rejected"</formula>
    </cfRule>
    <cfRule type="cellIs" dxfId="4437" priority="78" operator="equal">
      <formula>"B- Incorporate Comments - Proceed"</formula>
    </cfRule>
  </conditionalFormatting>
  <conditionalFormatting sqref="AH18:XFD18">
    <cfRule type="cellIs" dxfId="4436" priority="51" operator="equal">
      <formula>"E - Review not Required - Proceed"</formula>
    </cfRule>
    <cfRule type="cellIs" dxfId="4435" priority="52" operator="equal">
      <formula>"D - Rejected"</formula>
    </cfRule>
    <cfRule type="cellIs" dxfId="4434" priority="53" operator="equal">
      <formula>"B- Incorporate Comments - Proceed"</formula>
    </cfRule>
    <cfRule type="cellIs" dxfId="4433" priority="54" operator="equal">
      <formula>"C - Revise and Resubmit - Do Not Proceed"</formula>
    </cfRule>
    <cfRule type="cellIs" dxfId="4432" priority="55" operator="equal">
      <formula>"A - Work May Proceed"</formula>
    </cfRule>
  </conditionalFormatting>
  <conditionalFormatting sqref="AK11">
    <cfRule type="cellIs" dxfId="4431" priority="160" operator="between">
      <formula>"C - Revise and Resubmit - Do Not Proceed"</formula>
      <formula>"C - Revise and Resubmit - Do Not Proceed"</formula>
    </cfRule>
    <cfRule type="cellIs" dxfId="4430" priority="161" stopIfTrue="1" operator="between">
      <formula>"B - Incorporate Comments - Proceed "</formula>
      <formula>"B - Incorporate Comments - Proceed "</formula>
    </cfRule>
    <cfRule type="cellIs" dxfId="4429" priority="157" operator="between">
      <formula>"D - Rejected "</formula>
      <formula>"D - Rejected "</formula>
    </cfRule>
    <cfRule type="cellIs" dxfId="4428" priority="158" operator="between">
      <formula>"CANCELLED"</formula>
      <formula>"CANCELLED"</formula>
    </cfRule>
    <cfRule type="cellIs" dxfId="4427" priority="159" operator="between">
      <formula>"A - Work May Proceed"</formula>
      <formula>"A - Work May Proceed"</formula>
    </cfRule>
    <cfRule type="cellIs" dxfId="4426" priority="146" operator="equal">
      <formula>"B - Incorporate Comments - Proceed"</formula>
    </cfRule>
    <cfRule type="cellIs" dxfId="4425" priority="147" operator="equal">
      <formula>"For Information"</formula>
    </cfRule>
    <cfRule type="cellIs" dxfId="4424" priority="148" operator="equal">
      <formula>"B - Incorporate Comments - Proceed "</formula>
    </cfRule>
    <cfRule type="cellIs" dxfId="4423" priority="149" operator="equal">
      <formula>"E - Review Not Required - Proceed"</formula>
    </cfRule>
    <cfRule type="cellIs" dxfId="4422" priority="150" operator="between">
      <formula>"E - Review not Required - Proceed"</formula>
      <formula>"E - Review not Required - Proceed"</formula>
    </cfRule>
    <cfRule type="cellIs" dxfId="4421" priority="151" operator="between">
      <formula>"'D - Rejected "</formula>
      <formula>"'D - Rejected "</formula>
    </cfRule>
    <cfRule type="cellIs" dxfId="4420" priority="152" operator="between">
      <formula>"C - Revise and Resubmit - Do Not Proceed"</formula>
      <formula>"C - Revise and Resubmit - Do Not Proceed"</formula>
    </cfRule>
    <cfRule type="cellIs" dxfId="4419" priority="153" operator="between">
      <formula>"B - Incorporate Comments - Proceed"</formula>
      <formula>"B - Incorporate Comments - Proceed"</formula>
    </cfRule>
    <cfRule type="cellIs" dxfId="4418" priority="154" operator="between">
      <formula>"A - Work May Proceed"</formula>
      <formula>"A - Work May Proceed"</formula>
    </cfRule>
    <cfRule type="cellIs" dxfId="4417" priority="155" operator="between">
      <formula>"B - Incorporate Comments - Proceed"</formula>
      <formula>"B - Incorporate Comments - Proceed"</formula>
    </cfRule>
    <cfRule type="cellIs" dxfId="4416" priority="156" operator="between">
      <formula>"E - Review not Required - Proceed"</formula>
      <formula>"E - Review not Required - Proceed"</formula>
    </cfRule>
  </conditionalFormatting>
  <conditionalFormatting sqref="AR11">
    <cfRule type="cellIs" dxfId="4415" priority="110" operator="between">
      <formula>"'D - Rejected "</formula>
      <formula>"'D - Rejected "</formula>
    </cfRule>
    <cfRule type="cellIs" dxfId="4414" priority="107" operator="equal">
      <formula>"B - Incorporate Comments - Proceed "</formula>
    </cfRule>
    <cfRule type="cellIs" dxfId="4413" priority="109" operator="between">
      <formula>"E - Review not Required - Proceed"</formula>
      <formula>"E - Review not Required - Proceed"</formula>
    </cfRule>
    <cfRule type="cellIs" dxfId="4412" priority="108" operator="equal">
      <formula>"E - Review Not Required - Proceed"</formula>
    </cfRule>
    <cfRule type="cellIs" dxfId="4411" priority="106" operator="equal">
      <formula>"For Information"</formula>
    </cfRule>
    <cfRule type="cellIs" dxfId="4410" priority="105" operator="equal">
      <formula>"A - Work May Proceed"</formula>
    </cfRule>
    <cfRule type="cellIs" dxfId="4409" priority="104" operator="equal">
      <formula>"C - Revise and Resubmit - Do Not Proceed"</formula>
    </cfRule>
    <cfRule type="cellIs" dxfId="4408" priority="103" operator="equal">
      <formula>"B - Incorporate Comments - Proceed"</formula>
    </cfRule>
    <cfRule type="cellIs" dxfId="4407" priority="102" operator="equal">
      <formula>"D - Rejected"</formula>
    </cfRule>
    <cfRule type="cellIs" dxfId="4406" priority="120" stopIfTrue="1" operator="between">
      <formula>"B - Incorporate Comments - Proceed "</formula>
      <formula>"B - Incorporate Comments - Proceed "</formula>
    </cfRule>
    <cfRule type="cellIs" dxfId="4405" priority="119" operator="between">
      <formula>"C - Revise and Resubmit - Do Not Proceed"</formula>
      <formula>"C - Revise and Resubmit - Do Not Proceed"</formula>
    </cfRule>
    <cfRule type="cellIs" dxfId="4404" priority="118" operator="between">
      <formula>"A - Work May Proceed"</formula>
      <formula>"A - Work May Proceed"</formula>
    </cfRule>
    <cfRule type="cellIs" dxfId="4403" priority="117" operator="between">
      <formula>"CANCELLED"</formula>
      <formula>"CANCELLED"</formula>
    </cfRule>
    <cfRule type="cellIs" dxfId="4402" priority="116" operator="between">
      <formula>"D - Rejected "</formula>
      <formula>"D - Rejected "</formula>
    </cfRule>
    <cfRule type="cellIs" dxfId="4401" priority="115" operator="between">
      <formula>"E - Review not Required - Proceed"</formula>
      <formula>"E - Review not Required - Proceed"</formula>
    </cfRule>
    <cfRule type="cellIs" dxfId="4400" priority="101" operator="equal">
      <formula>"E - Review not Required - Proceed"</formula>
    </cfRule>
    <cfRule type="cellIs" dxfId="4399" priority="113" operator="between">
      <formula>"A - Work May Proceed"</formula>
      <formula>"A - Work May Proceed"</formula>
    </cfRule>
    <cfRule type="cellIs" dxfId="4398" priority="112" operator="between">
      <formula>"B - Incorporate Comments - Proceed"</formula>
      <formula>"B - Incorporate Comments - Proceed"</formula>
    </cfRule>
    <cfRule type="cellIs" dxfId="4397" priority="111" operator="between">
      <formula>"C - Revise and Resubmit - Do Not Proceed"</formula>
      <formula>"C - Revise and Resubmit - Do Not Proceed"</formula>
    </cfRule>
    <cfRule type="cellIs" dxfId="4396" priority="114" operator="between">
      <formula>"B - Incorporate Comments - Proceed"</formula>
      <formula>"B - Incorporate Comments - Proceed"</formula>
    </cfRule>
  </conditionalFormatting>
  <conditionalFormatting sqref="AY11">
    <cfRule type="cellIs" dxfId="4395" priority="123" operator="equal">
      <formula>"B - Incorporate Comments - Proceed"</formula>
    </cfRule>
    <cfRule type="cellIs" dxfId="4394" priority="139" operator="between">
      <formula>"C - Revise and Resubmit - Do Not Proceed"</formula>
      <formula>"C - Revise and Resubmit - Do Not Proceed"</formula>
    </cfRule>
    <cfRule type="cellIs" dxfId="4393" priority="138" operator="between">
      <formula>"A - Work May Proceed"</formula>
      <formula>"A - Work May Proceed"</formula>
    </cfRule>
    <cfRule type="cellIs" dxfId="4392" priority="137" operator="between">
      <formula>"CANCELLED"</formula>
      <formula>"CANCELLED"</formula>
    </cfRule>
    <cfRule type="cellIs" dxfId="4391" priority="136" operator="between">
      <formula>"D - Rejected "</formula>
      <formula>"D - Rejected "</formula>
    </cfRule>
    <cfRule type="cellIs" dxfId="4390" priority="135" operator="between">
      <formula>"E - Review not Required - Proceed"</formula>
      <formula>"E - Review not Required - Proceed"</formula>
    </cfRule>
    <cfRule type="cellIs" dxfId="4389" priority="134" operator="between">
      <formula>"B - Incorporate Comments - Proceed"</formula>
      <formula>"B - Incorporate Comments - Proceed"</formula>
    </cfRule>
    <cfRule type="cellIs" dxfId="4388" priority="121" operator="equal">
      <formula>"E - Review not Required - Proceed"</formula>
    </cfRule>
    <cfRule type="cellIs" dxfId="4387" priority="122" operator="equal">
      <formula>"D - Rejected"</formula>
    </cfRule>
    <cfRule type="cellIs" dxfId="4386" priority="124" operator="equal">
      <formula>"C - Revise and Resubmit - Do Not Proceed"</formula>
    </cfRule>
    <cfRule type="cellIs" dxfId="4385" priority="126" operator="equal">
      <formula>"For Information"</formula>
    </cfRule>
    <cfRule type="cellIs" dxfId="4384" priority="131" operator="between">
      <formula>"C - Revise and Resubmit - Do Not Proceed"</formula>
      <formula>"C - Revise and Resubmit - Do Not Proceed"</formula>
    </cfRule>
    <cfRule type="cellIs" dxfId="4383" priority="127" operator="equal">
      <formula>"B - Incorporate Comments - Proceed "</formula>
    </cfRule>
    <cfRule type="cellIs" dxfId="4382" priority="128" operator="equal">
      <formula>"E - Review Not Required - Proceed"</formula>
    </cfRule>
    <cfRule type="cellIs" dxfId="4381" priority="129" operator="between">
      <formula>"E - Review not Required - Proceed"</formula>
      <formula>"E - Review not Required - Proceed"</formula>
    </cfRule>
    <cfRule type="cellIs" dxfId="4380" priority="130" operator="between">
      <formula>"'D - Rejected "</formula>
      <formula>"'D - Rejected "</formula>
    </cfRule>
    <cfRule type="cellIs" dxfId="4379" priority="125" operator="equal">
      <formula>"A - Work May Proceed"</formula>
    </cfRule>
    <cfRule type="cellIs" dxfId="4378" priority="132" operator="between">
      <formula>"B - Incorporate Comments - Proceed"</formula>
      <formula>"B - Incorporate Comments - Proceed"</formula>
    </cfRule>
    <cfRule type="cellIs" dxfId="4377" priority="133" operator="between">
      <formula>"A - Work May Proceed"</formula>
      <formula>"A - Work May Proceed"</formula>
    </cfRule>
    <cfRule type="cellIs" dxfId="4376" priority="140" stopIfTrue="1" operator="between">
      <formula>"B - Incorporate Comments - Proceed "</formula>
      <formula>"B - Incorporate Comments - Proceed "</formula>
    </cfRule>
  </conditionalFormatting>
  <pageMargins left="0.7" right="0.7" top="0.75" bottom="0.75" header="0.3" footer="0.3"/>
  <pageSetup paperSize="8" scale="10" fitToHeight="0" orientation="landscape" r:id="rId1"/>
  <colBreaks count="1" manualBreakCount="1">
    <brk id="57" max="197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5793-55B3-4EBF-80FD-2446DE8F44CF}">
  <sheetPr>
    <tabColor theme="4"/>
    <pageSetUpPr fitToPage="1"/>
  </sheetPr>
  <dimension ref="A1:BF13"/>
  <sheetViews>
    <sheetView zoomScale="55" zoomScaleNormal="55" zoomScaleSheetLayoutView="70" workbookViewId="0">
      <pane ySplit="11" topLeftCell="A12" activePane="bottomLeft" state="frozen"/>
      <selection activeCell="C22" sqref="C22"/>
      <selection pane="bottomLeft" activeCell="E29" sqref="E29"/>
    </sheetView>
  </sheetViews>
  <sheetFormatPr defaultColWidth="9.140625" defaultRowHeight="15" x14ac:dyDescent="0.25"/>
  <cols>
    <col min="1" max="1" width="24.7109375" style="1" customWidth="1"/>
    <col min="2" max="2" width="32" style="1" customWidth="1"/>
    <col min="3" max="3" width="22.85546875" style="1" customWidth="1"/>
    <col min="4" max="5" width="57.85546875" style="1" customWidth="1"/>
    <col min="6" max="6" width="77.7109375" style="2" bestFit="1" customWidth="1"/>
    <col min="7" max="7" width="29.28515625" style="1" customWidth="1"/>
    <col min="8" max="8" width="19.7109375" style="1" customWidth="1"/>
    <col min="9" max="9" width="33.7109375" style="2" customWidth="1"/>
    <col min="10" max="10" width="30.140625" style="54" customWidth="1"/>
    <col min="11" max="12" width="30.140625" style="2" customWidth="1"/>
    <col min="13" max="14" width="30.140625" style="54" customWidth="1"/>
    <col min="15" max="16" width="30.140625" style="1" customWidth="1"/>
    <col min="17" max="17" width="30.140625" style="4" customWidth="1"/>
    <col min="18" max="19" width="30.140625" style="1" customWidth="1"/>
    <col min="20" max="20" width="30.140625" style="4" customWidth="1"/>
    <col min="21" max="21" width="30.140625" style="114" customWidth="1"/>
    <col min="22" max="23" width="30.140625" style="1" customWidth="1"/>
    <col min="24" max="24" width="30.140625" style="4" customWidth="1"/>
    <col min="25" max="26" width="30.140625" style="1" customWidth="1"/>
    <col min="27" max="27" width="30.140625" style="4" customWidth="1"/>
    <col min="28" max="28" width="30.140625" style="114" customWidth="1"/>
    <col min="29" max="30" width="30.140625" style="1" customWidth="1"/>
    <col min="31" max="31" width="30.140625" style="4" customWidth="1"/>
    <col min="32" max="33" width="30.140625" style="1" customWidth="1"/>
    <col min="34" max="35" width="30.140625" style="4" customWidth="1"/>
    <col min="36" max="37" width="30.140625" style="1" customWidth="1"/>
    <col min="38" max="38" width="30.140625" style="4" customWidth="1"/>
    <col min="39" max="40" width="36.85546875" style="3" customWidth="1"/>
    <col min="41" max="41" width="30.140625" style="4" customWidth="1"/>
    <col min="42" max="42" width="30.140625" style="114" customWidth="1"/>
    <col min="43" max="56" width="30.140625" style="4" customWidth="1"/>
    <col min="57" max="57" width="32.85546875" style="1" customWidth="1"/>
    <col min="58" max="58" width="35.140625" customWidth="1"/>
    <col min="59" max="16384" width="9.140625" style="1"/>
  </cols>
  <sheetData>
    <row r="1" spans="1:58" s="8" customFormat="1" ht="24" customHeight="1" x14ac:dyDescent="0.35">
      <c r="B1" s="48" t="s">
        <v>27</v>
      </c>
      <c r="C1" s="26" t="s">
        <v>26</v>
      </c>
      <c r="D1" s="26"/>
      <c r="E1" s="26"/>
      <c r="F1" s="27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 s="111"/>
      <c r="V1"/>
      <c r="W1"/>
      <c r="X1" s="18"/>
      <c r="Y1" s="7"/>
      <c r="Z1" s="7"/>
      <c r="AA1" s="18"/>
      <c r="AB1" s="121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21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</row>
    <row r="2" spans="1:58" s="8" customFormat="1" ht="24" customHeight="1" x14ac:dyDescent="0.35">
      <c r="B2" s="25" t="s">
        <v>28</v>
      </c>
      <c r="C2" s="26" t="s">
        <v>31</v>
      </c>
      <c r="D2" s="26"/>
      <c r="E2" s="26"/>
      <c r="F2" s="27"/>
      <c r="H2" s="548"/>
      <c r="I2" s="558"/>
      <c r="J2"/>
      <c r="K2"/>
      <c r="L2"/>
      <c r="M2"/>
      <c r="N2"/>
      <c r="O2"/>
      <c r="P2"/>
      <c r="Q2"/>
      <c r="R2"/>
      <c r="S2"/>
      <c r="T2"/>
      <c r="U2" s="111"/>
      <c r="V2"/>
      <c r="W2"/>
      <c r="X2" s="18"/>
      <c r="Y2" s="7"/>
      <c r="Z2" s="7"/>
      <c r="AA2" s="18"/>
      <c r="AB2" s="121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21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</row>
    <row r="3" spans="1:58" s="8" customFormat="1" ht="24" customHeight="1" x14ac:dyDescent="0.35">
      <c r="B3" s="25" t="s">
        <v>507</v>
      </c>
      <c r="C3" s="49" t="s">
        <v>4359</v>
      </c>
      <c r="D3" s="26"/>
      <c r="E3" s="26"/>
      <c r="F3" s="27"/>
      <c r="I3"/>
      <c r="J3"/>
      <c r="K3"/>
      <c r="L3"/>
      <c r="M3"/>
      <c r="N3"/>
      <c r="O3"/>
      <c r="P3"/>
      <c r="Q3"/>
      <c r="R3"/>
      <c r="S3"/>
      <c r="T3"/>
      <c r="U3" s="111"/>
      <c r="V3"/>
      <c r="W3"/>
      <c r="X3" s="18"/>
      <c r="Y3" s="7"/>
      <c r="Z3" s="7"/>
      <c r="AA3" s="18"/>
      <c r="AB3" s="121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21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</row>
    <row r="4" spans="1:58" s="8" customFormat="1" ht="24" customHeight="1" x14ac:dyDescent="0.35">
      <c r="B4" s="49"/>
      <c r="C4" s="50"/>
      <c r="D4" s="50"/>
      <c r="E4" s="50"/>
      <c r="F4" s="51"/>
      <c r="I4"/>
      <c r="J4"/>
      <c r="K4"/>
      <c r="L4"/>
      <c r="M4"/>
      <c r="N4"/>
      <c r="O4"/>
      <c r="P4"/>
      <c r="Q4"/>
      <c r="R4"/>
      <c r="S4"/>
      <c r="T4"/>
      <c r="U4" s="111"/>
      <c r="V4"/>
      <c r="W4"/>
      <c r="X4" s="18"/>
      <c r="Y4" s="7"/>
      <c r="Z4" s="7"/>
      <c r="AA4" s="18"/>
      <c r="AB4" s="121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21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</row>
    <row r="5" spans="1:58" customFormat="1" ht="30.75" customHeight="1" x14ac:dyDescent="0.25">
      <c r="B5" s="84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U5" s="111"/>
      <c r="AB5" s="111"/>
      <c r="AP5" s="111"/>
    </row>
    <row r="6" spans="1:58" customFormat="1" ht="24" customHeight="1" x14ac:dyDescent="0.35">
      <c r="B6" s="85">
        <f>COUNTIF(B11:B13,"A - Work May Proceed")</f>
        <v>0</v>
      </c>
      <c r="C6" s="65">
        <f>COUNTIF(B11:B13,"B- Incorporate Comments - Proceed")</f>
        <v>0</v>
      </c>
      <c r="D6" s="65">
        <f>COUNTIF(B11:B13,"C - Revise and Resubmit - Do Not Proceed")</f>
        <v>0</v>
      </c>
      <c r="E6" s="65">
        <f>COUNTIF(B11:B13,"D - Rejected")</f>
        <v>0</v>
      </c>
      <c r="F6" s="65">
        <f>COUNTIF(B11:B13,"E - Review not Required - Proceed")</f>
        <v>0</v>
      </c>
      <c r="G6" s="66">
        <f>COUNTIF(B11:B13,"UR")</f>
        <v>1</v>
      </c>
      <c r="H6" s="66">
        <f>COUNTIF(B11:B13,"FA")</f>
        <v>0</v>
      </c>
      <c r="I6" s="66">
        <f>COUNTIF(B11:B13,"Terminated")</f>
        <v>0</v>
      </c>
      <c r="J6" s="66">
        <f>COUNTIF(B11:B13,"Cancelled")</f>
        <v>0</v>
      </c>
      <c r="U6" s="111"/>
      <c r="AB6" s="111"/>
      <c r="AP6" s="111"/>
    </row>
    <row r="7" spans="1:58" customFormat="1" ht="24" customHeight="1" x14ac:dyDescent="0.35">
      <c r="B7" s="86"/>
      <c r="C7" s="68"/>
      <c r="D7" s="69"/>
      <c r="E7" s="70"/>
      <c r="F7" s="70"/>
      <c r="G7" s="71"/>
      <c r="H7" s="70"/>
      <c r="I7" s="7"/>
      <c r="U7" s="111"/>
      <c r="AB7" s="111"/>
      <c r="AP7" s="111"/>
    </row>
    <row r="8" spans="1:58" customFormat="1" ht="24" customHeight="1" x14ac:dyDescent="0.25">
      <c r="B8" s="87" t="s">
        <v>509</v>
      </c>
      <c r="C8" s="73">
        <f>SUM(B6:J6)</f>
        <v>1</v>
      </c>
      <c r="D8" s="69"/>
      <c r="E8" s="70"/>
      <c r="F8" s="70"/>
      <c r="G8" s="74"/>
      <c r="H8" s="75"/>
      <c r="I8" s="76"/>
      <c r="J8" s="75"/>
      <c r="U8" s="111"/>
      <c r="AB8" s="111"/>
      <c r="AP8" s="111"/>
    </row>
    <row r="9" spans="1:58" s="8" customFormat="1" ht="24" customHeight="1" thickBot="1" x14ac:dyDescent="0.4">
      <c r="B9" s="49"/>
      <c r="C9" s="50"/>
      <c r="D9" s="50"/>
      <c r="E9" s="50"/>
      <c r="F9" s="51"/>
      <c r="U9" s="117"/>
      <c r="V9" s="7"/>
      <c r="W9" s="7"/>
      <c r="X9" s="18"/>
      <c r="Y9" s="7"/>
      <c r="Z9" s="7"/>
      <c r="AA9" s="18"/>
      <c r="AB9" s="121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21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</row>
    <row r="10" spans="1:58" s="5" customFormat="1" ht="36.75" customHeight="1" x14ac:dyDescent="0.2">
      <c r="A10" s="559" t="s">
        <v>3297</v>
      </c>
      <c r="B10" s="556" t="s">
        <v>17</v>
      </c>
      <c r="C10" s="556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6" customFormat="1" ht="36.75" customHeight="1" x14ac:dyDescent="0.25">
      <c r="A11" s="560"/>
      <c r="B11" s="557"/>
      <c r="C11" s="557"/>
      <c r="D11" s="557"/>
      <c r="E11" s="557"/>
      <c r="F11" s="557"/>
      <c r="G11" s="553"/>
      <c r="H11" s="540"/>
      <c r="I11" s="46" t="s">
        <v>0</v>
      </c>
      <c r="J11" s="52" t="s">
        <v>9</v>
      </c>
      <c r="K11" s="46" t="s">
        <v>11</v>
      </c>
      <c r="L11" s="89" t="s">
        <v>939</v>
      </c>
      <c r="M11" s="52" t="s">
        <v>6</v>
      </c>
      <c r="N11" s="106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113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120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125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15" customFormat="1" ht="42" customHeight="1" x14ac:dyDescent="0.25">
      <c r="A12" s="367">
        <v>100008</v>
      </c>
      <c r="B12" s="343" t="s">
        <v>4</v>
      </c>
      <c r="C12" s="13" t="s">
        <v>208</v>
      </c>
      <c r="D12" s="344" t="s">
        <v>7390</v>
      </c>
      <c r="E12" s="344" t="s">
        <v>7391</v>
      </c>
      <c r="F12" s="344" t="s">
        <v>7392</v>
      </c>
      <c r="G12" s="10" t="s">
        <v>30</v>
      </c>
      <c r="H12" s="150" t="s">
        <v>4359</v>
      </c>
      <c r="I12" s="343" t="s">
        <v>18</v>
      </c>
      <c r="J12" s="53">
        <v>46236</v>
      </c>
      <c r="K12" s="150" t="s">
        <v>7393</v>
      </c>
      <c r="L12" s="53">
        <f t="shared" ref="L12" si="0">J12+7</f>
        <v>46243</v>
      </c>
      <c r="M12" s="21">
        <v>46239</v>
      </c>
      <c r="N12" s="92">
        <f t="shared" ref="N12" si="1">M12-L12</f>
        <v>-4</v>
      </c>
      <c r="O12" s="150" t="s">
        <v>7396</v>
      </c>
      <c r="P12" s="150" t="s">
        <v>4</v>
      </c>
      <c r="Q12" s="21">
        <v>46257</v>
      </c>
      <c r="R12" s="10" t="s">
        <v>7508</v>
      </c>
      <c r="S12" s="53">
        <f>Q12+7</f>
        <v>46264</v>
      </c>
      <c r="T12" s="21"/>
      <c r="U12" s="92">
        <f>T12-S12</f>
        <v>-46264</v>
      </c>
      <c r="V12" s="10" t="s">
        <v>7515</v>
      </c>
      <c r="W12" s="10"/>
      <c r="X12" s="21"/>
      <c r="Y12" s="10"/>
      <c r="Z12" s="10"/>
      <c r="AA12" s="21"/>
      <c r="AB12" s="95"/>
      <c r="AC12" s="10"/>
      <c r="AD12" s="10"/>
      <c r="AE12" s="21"/>
      <c r="AF12" s="10"/>
      <c r="AG12" s="10"/>
      <c r="AH12" s="21"/>
      <c r="AI12" s="21"/>
      <c r="AJ12" s="10"/>
      <c r="AK12" s="10"/>
      <c r="AL12" s="17"/>
      <c r="AM12" s="11"/>
      <c r="AN12" s="11"/>
      <c r="AO12" s="17"/>
      <c r="AP12" s="123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1"/>
      <c r="BF12" s="368"/>
    </row>
    <row r="13" spans="1:58" s="15" customFormat="1" ht="42" customHeight="1" thickBot="1" x14ac:dyDescent="0.3">
      <c r="A13" s="369"/>
      <c r="B13" s="370"/>
      <c r="C13" s="371"/>
      <c r="D13" s="370"/>
      <c r="E13" s="370"/>
      <c r="F13" s="262"/>
      <c r="G13" s="263"/>
      <c r="H13" s="263"/>
      <c r="I13" s="262"/>
      <c r="J13" s="372"/>
      <c r="K13" s="373"/>
      <c r="L13" s="373"/>
      <c r="M13" s="372"/>
      <c r="N13" s="372"/>
      <c r="O13" s="263"/>
      <c r="P13" s="263"/>
      <c r="Q13" s="374"/>
      <c r="R13" s="263"/>
      <c r="S13" s="263"/>
      <c r="T13" s="374"/>
      <c r="U13" s="375"/>
      <c r="V13" s="263"/>
      <c r="W13" s="263"/>
      <c r="X13" s="374"/>
      <c r="Y13" s="263"/>
      <c r="Z13" s="263"/>
      <c r="AA13" s="374"/>
      <c r="AB13" s="375"/>
      <c r="AC13" s="263"/>
      <c r="AD13" s="263"/>
      <c r="AE13" s="374"/>
      <c r="AF13" s="263"/>
      <c r="AG13" s="263"/>
      <c r="AH13" s="374"/>
      <c r="AI13" s="374"/>
      <c r="AJ13" s="263"/>
      <c r="AK13" s="263"/>
      <c r="AL13" s="376"/>
      <c r="AM13" s="371"/>
      <c r="AN13" s="371"/>
      <c r="AO13" s="376"/>
      <c r="AP13" s="377"/>
      <c r="AQ13" s="376"/>
      <c r="AR13" s="376"/>
      <c r="AS13" s="376"/>
      <c r="AT13" s="376"/>
      <c r="AU13" s="376"/>
      <c r="AV13" s="376"/>
      <c r="AW13" s="376"/>
      <c r="AX13" s="376"/>
      <c r="AY13" s="376"/>
      <c r="AZ13" s="376"/>
      <c r="BA13" s="376"/>
      <c r="BB13" s="376"/>
      <c r="BC13" s="376"/>
      <c r="BD13" s="376"/>
      <c r="BE13" s="371"/>
      <c r="BF13" s="378"/>
    </row>
  </sheetData>
  <autoFilter ref="A11:BF11" xr:uid="{AB125793-55B3-4EBF-80FD-2446DE8F44CF}"/>
  <mergeCells count="18">
    <mergeCell ref="A10:A11"/>
    <mergeCell ref="BF10:BF11"/>
    <mergeCell ref="P10:V10"/>
    <mergeCell ref="W10:AC10"/>
    <mergeCell ref="AD10:AJ10"/>
    <mergeCell ref="AK10:AQ10"/>
    <mergeCell ref="AR10:AX10"/>
    <mergeCell ref="AY10:BE10"/>
    <mergeCell ref="H1:H2"/>
    <mergeCell ref="I1:I2"/>
    <mergeCell ref="B10:B11"/>
    <mergeCell ref="C10:C11"/>
    <mergeCell ref="D10:D11"/>
    <mergeCell ref="E10:E11"/>
    <mergeCell ref="F10:F11"/>
    <mergeCell ref="G10:G11"/>
    <mergeCell ref="H10:H11"/>
    <mergeCell ref="I10:O10"/>
  </mergeCells>
  <conditionalFormatting sqref="B12">
    <cfRule type="cellIs" dxfId="4375" priority="20" stopIfTrue="1" operator="equal">
      <formula>"A - Work May Proceed"</formula>
    </cfRule>
  </conditionalFormatting>
  <conditionalFormatting sqref="B12:C12 A13:XFD1048576">
    <cfRule type="cellIs" dxfId="4374" priority="17" operator="equal">
      <formula>"D - Rejected"</formula>
    </cfRule>
    <cfRule type="cellIs" dxfId="4373" priority="18" operator="equal">
      <formula>"B- Incorporate Comments - Proceed"</formula>
    </cfRule>
    <cfRule type="cellIs" dxfId="4372" priority="19" operator="equal">
      <formula>"C - Revise and Resubmit - Do Not Proceed"</formula>
    </cfRule>
    <cfRule type="cellIs" dxfId="4371" priority="16" operator="equal">
      <formula>"E - Review not Required - Proceed"</formula>
    </cfRule>
  </conditionalFormatting>
  <conditionalFormatting sqref="C12 J12 A13:XFD1048576">
    <cfRule type="cellIs" dxfId="4370" priority="30" operator="equal">
      <formula>"A - Work May Proceed"</formula>
    </cfRule>
  </conditionalFormatting>
  <conditionalFormatting sqref="D11:BE11 B1:G2 X1:XFD4 B3:H4 A9:XFD10">
    <cfRule type="cellIs" dxfId="4369" priority="102" operator="equal">
      <formula>"D - Rejected"</formula>
    </cfRule>
    <cfRule type="cellIs" dxfId="4368" priority="104" operator="equal">
      <formula>"C - Revise and Resubmit - Do Not Proceed"</formula>
    </cfRule>
    <cfRule type="cellIs" dxfId="4367" priority="101" operator="equal">
      <formula>"E - Review not Required - Proceed"</formula>
    </cfRule>
    <cfRule type="cellIs" dxfId="4366" priority="105" operator="equal">
      <formula>"A - Work May Proceed"</formula>
    </cfRule>
    <cfRule type="cellIs" dxfId="4365" priority="103" operator="equal">
      <formula>"B- Incorporate Comments - Proceed"</formula>
    </cfRule>
  </conditionalFormatting>
  <conditionalFormatting sqref="G12">
    <cfRule type="cellIs" dxfId="4364" priority="21" operator="equal">
      <formula>"E - Review not Required - Proceed"</formula>
    </cfRule>
    <cfRule type="cellIs" dxfId="4363" priority="22" operator="equal">
      <formula>"D - Rejected"</formula>
    </cfRule>
    <cfRule type="cellIs" dxfId="4362" priority="25" operator="equal">
      <formula>"A - Work May Proceed"</formula>
    </cfRule>
    <cfRule type="cellIs" dxfId="4361" priority="23" operator="equal">
      <formula>"B- Incorporate Comments - Proceed"</formula>
    </cfRule>
    <cfRule type="cellIs" dxfId="4360" priority="24" operator="equal">
      <formula>"C - Revise and Resubmit - Do Not Proceed"</formula>
    </cfRule>
  </conditionalFormatting>
  <conditionalFormatting sqref="I11">
    <cfRule type="cellIs" dxfId="4359" priority="185" stopIfTrue="1" operator="between">
      <formula>"B - Incorporate Comments - Proceed "</formula>
      <formula>"B - Incorporate Comments - Proceed "</formula>
    </cfRule>
    <cfRule type="cellIs" dxfId="4358" priority="184" operator="between">
      <formula>"C - Revise and Resubmit - Do Not Proceed"</formula>
      <formula>"C - Revise and Resubmit - Do Not Proceed"</formula>
    </cfRule>
    <cfRule type="cellIs" dxfId="4357" priority="183" operator="between">
      <formula>"A - Work May Proceed"</formula>
      <formula>"A - Work May Proceed"</formula>
    </cfRule>
    <cfRule type="cellIs" dxfId="4356" priority="182" operator="between">
      <formula>"CANCELLED"</formula>
      <formula>"CANCELLED"</formula>
    </cfRule>
    <cfRule type="cellIs" dxfId="4355" priority="181" operator="between">
      <formula>"D - Rejected "</formula>
      <formula>"D - Rejected "</formula>
    </cfRule>
    <cfRule type="cellIs" dxfId="4354" priority="180" operator="between">
      <formula>"E - Review not Required - Proceed"</formula>
      <formula>"E - Review not Required - Proceed"</formula>
    </cfRule>
    <cfRule type="cellIs" dxfId="4353" priority="179" operator="between">
      <formula>"B - Incorporate Comments - Proceed"</formula>
      <formula>"B - Incorporate Comments - Proceed"</formula>
    </cfRule>
    <cfRule type="cellIs" dxfId="4352" priority="178" operator="between">
      <formula>"A - Work May Proceed"</formula>
      <formula>"A - Work May Proceed"</formula>
    </cfRule>
    <cfRule type="cellIs" dxfId="4351" priority="177" operator="between">
      <formula>"B - Incorporate Comments - Proceed"</formula>
      <formula>"B - Incorporate Comments - Proceed"</formula>
    </cfRule>
    <cfRule type="cellIs" dxfId="4350" priority="176" operator="between">
      <formula>"C - Revise and Resubmit - Do Not Proceed"</formula>
      <formula>"C - Revise and Resubmit - Do Not Proceed"</formula>
    </cfRule>
    <cfRule type="cellIs" dxfId="4349" priority="175" operator="between">
      <formula>"'D - Rejected "</formula>
      <formula>"'D - Rejected "</formula>
    </cfRule>
    <cfRule type="cellIs" dxfId="4348" priority="174" operator="between">
      <formula>"E - Review not Required - Proceed"</formula>
      <formula>"E - Review not Required - Proceed"</formula>
    </cfRule>
    <cfRule type="cellIs" dxfId="4347" priority="173" operator="equal">
      <formula>"E - Review Not Required - Proceed"</formula>
    </cfRule>
    <cfRule type="cellIs" dxfId="4346" priority="172" operator="equal">
      <formula>"B - Incorporate Comments - Proceed "</formula>
    </cfRule>
    <cfRule type="cellIs" dxfId="4345" priority="170" operator="equal">
      <formula>"B - Incorporate Comments - Proceed"</formula>
    </cfRule>
    <cfRule type="cellIs" dxfId="4344" priority="171" operator="equal">
      <formula>"For Information"</formula>
    </cfRule>
  </conditionalFormatting>
  <conditionalFormatting sqref="I12">
    <cfRule type="cellIs" dxfId="4343" priority="15" stopIfTrue="1" operator="equal">
      <formula>"A - Work May Proceed"</formula>
    </cfRule>
  </conditionalFormatting>
  <conditionalFormatting sqref="I12:J12">
    <cfRule type="cellIs" dxfId="4342" priority="11" operator="equal">
      <formula>"E - Review not Required - Proceed"</formula>
    </cfRule>
    <cfRule type="cellIs" dxfId="4341" priority="12" operator="equal">
      <formula>"D - Rejected"</formula>
    </cfRule>
    <cfRule type="cellIs" dxfId="4340" priority="13" operator="equal">
      <formula>"B- Incorporate Comments - Proceed"</formula>
    </cfRule>
    <cfRule type="cellIs" dxfId="4339" priority="14" operator="equal">
      <formula>"C - Revise and Resubmit - Do Not Proceed"</formula>
    </cfRule>
  </conditionalFormatting>
  <conditionalFormatting sqref="J5:J6 B5:I7 B8:J8">
    <cfRule type="cellIs" dxfId="4338" priority="51" operator="equal">
      <formula>"E - Review not Required - Proceed"</formula>
    </cfRule>
    <cfRule type="cellIs" dxfId="4337" priority="52" operator="equal">
      <formula>"D - Rejected"</formula>
    </cfRule>
    <cfRule type="cellIs" dxfId="4336" priority="55" stopIfTrue="1" operator="equal">
      <formula>"A - Work May Proceed"</formula>
    </cfRule>
    <cfRule type="cellIs" dxfId="4335" priority="54" operator="equal">
      <formula>"C - Revise and Resubmit - Do Not Proceed"</formula>
    </cfRule>
    <cfRule type="cellIs" dxfId="4334" priority="53" operator="equal">
      <formula>"B- Incorporate Comments - Proceed"</formula>
    </cfRule>
  </conditionalFormatting>
  <conditionalFormatting sqref="L12:N12">
    <cfRule type="cellIs" dxfId="4333" priority="6" operator="equal">
      <formula>"E - Review not Required - Proceed"</formula>
    </cfRule>
    <cfRule type="cellIs" dxfId="4332" priority="7" operator="equal">
      <formula>"D - Rejected"</formula>
    </cfRule>
    <cfRule type="cellIs" dxfId="4331" priority="9" operator="equal">
      <formula>"C - Revise and Resubmit - Do Not Proceed"</formula>
    </cfRule>
    <cfRule type="cellIs" dxfId="4330" priority="10" operator="equal">
      <formula>"A - Work May Proceed"</formula>
    </cfRule>
    <cfRule type="cellIs" dxfId="4329" priority="8" operator="equal">
      <formula>"B- Incorporate Comments - Proceed"</formula>
    </cfRule>
  </conditionalFormatting>
  <conditionalFormatting sqref="P11">
    <cfRule type="cellIs" dxfId="4328" priority="162" operator="between">
      <formula>"A - Work May Proceed"</formula>
      <formula>"A - Work May Proceed"</formula>
    </cfRule>
    <cfRule type="cellIs" dxfId="4327" priority="161" operator="between">
      <formula>"B - Incorporate Comments - Proceed"</formula>
      <formula>"B - Incorporate Comments - Proceed"</formula>
    </cfRule>
    <cfRule type="cellIs" dxfId="4326" priority="160" operator="between">
      <formula>"C - Revise and Resubmit - Do Not Proceed"</formula>
      <formula>"C - Revise and Resubmit - Do Not Proceed"</formula>
    </cfRule>
    <cfRule type="cellIs" dxfId="4325" priority="159" operator="between">
      <formula>"'D - Rejected "</formula>
      <formula>"'D - Rejected "</formula>
    </cfRule>
    <cfRule type="cellIs" dxfId="4324" priority="166" operator="between">
      <formula>"CANCELLED"</formula>
      <formula>"CANCELLED"</formula>
    </cfRule>
    <cfRule type="cellIs" dxfId="4323" priority="158" operator="between">
      <formula>"E - Review not Required - Proceed"</formula>
      <formula>"E - Review not Required - Proceed"</formula>
    </cfRule>
    <cfRule type="cellIs" dxfId="4322" priority="154" operator="equal">
      <formula>"B - Incorporate Comments - Proceed"</formula>
    </cfRule>
    <cfRule type="cellIs" dxfId="4321" priority="157" operator="equal">
      <formula>"E - Review Not Required - Proceed"</formula>
    </cfRule>
    <cfRule type="cellIs" dxfId="4320" priority="156" operator="equal">
      <formula>"B - Incorporate Comments - Proceed "</formula>
    </cfRule>
    <cfRule type="cellIs" dxfId="4319" priority="155" operator="equal">
      <formula>"For Information"</formula>
    </cfRule>
    <cfRule type="cellIs" dxfId="4318" priority="169" stopIfTrue="1" operator="between">
      <formula>"B - Incorporate Comments - Proceed "</formula>
      <formula>"B - Incorporate Comments - Proceed "</formula>
    </cfRule>
    <cfRule type="cellIs" dxfId="4317" priority="168" operator="between">
      <formula>"C - Revise and Resubmit - Do Not Proceed"</formula>
      <formula>"C - Revise and Resubmit - Do Not Proceed"</formula>
    </cfRule>
    <cfRule type="cellIs" dxfId="4316" priority="167" operator="between">
      <formula>"A - Work May Proceed"</formula>
      <formula>"A - Work May Proceed"</formula>
    </cfRule>
    <cfRule type="cellIs" dxfId="4315" priority="165" operator="between">
      <formula>"D - Rejected "</formula>
      <formula>"D - Rejected "</formula>
    </cfRule>
    <cfRule type="cellIs" dxfId="4314" priority="164" operator="between">
      <formula>"E - Review not Required - Proceed"</formula>
      <formula>"E - Review not Required - Proceed"</formula>
    </cfRule>
    <cfRule type="cellIs" dxfId="4313" priority="163" operator="between">
      <formula>"B - Incorporate Comments - Proceed"</formula>
      <formula>"B - Incorporate Comments - Proceed"</formula>
    </cfRule>
  </conditionalFormatting>
  <conditionalFormatting sqref="Q12:XFD12">
    <cfRule type="cellIs" dxfId="4312" priority="2" operator="equal">
      <formula>"D - Rejected"</formula>
    </cfRule>
    <cfRule type="cellIs" dxfId="4311" priority="3" operator="equal">
      <formula>"B- Incorporate Comments - Proceed"</formula>
    </cfRule>
    <cfRule type="cellIs" dxfId="4310" priority="4" operator="equal">
      <formula>"C - Revise and Resubmit - Do Not Proceed"</formula>
    </cfRule>
    <cfRule type="cellIs" dxfId="4309" priority="5" operator="equal">
      <formula>"A - Work May Proceed"</formula>
    </cfRule>
    <cfRule type="cellIs" dxfId="4308" priority="1" operator="equal">
      <formula>"E - Review not Required - Proceed"</formula>
    </cfRule>
  </conditionalFormatting>
  <conditionalFormatting sqref="W11">
    <cfRule type="cellIs" dxfId="4307" priority="147" operator="between">
      <formula>"B - Incorporate Comments - Proceed"</formula>
      <formula>"B - Incorporate Comments - Proceed"</formula>
    </cfRule>
    <cfRule type="cellIs" dxfId="4306" priority="152" operator="between">
      <formula>"C - Revise and Resubmit - Do Not Proceed"</formula>
      <formula>"C - Revise and Resubmit - Do Not Proceed"</formula>
    </cfRule>
    <cfRule type="cellIs" dxfId="4305" priority="151" operator="between">
      <formula>"A - Work May Proceed"</formula>
      <formula>"A - Work May Proceed"</formula>
    </cfRule>
    <cfRule type="cellIs" dxfId="4304" priority="150" operator="between">
      <formula>"CANCELLED"</formula>
      <formula>"CANCELLED"</formula>
    </cfRule>
    <cfRule type="cellIs" dxfId="4303" priority="149" operator="between">
      <formula>"D - Rejected "</formula>
      <formula>"D - Rejected "</formula>
    </cfRule>
    <cfRule type="cellIs" dxfId="4302" priority="148" operator="between">
      <formula>"E - Review not Required - Proceed"</formula>
      <formula>"E - Review not Required - Proceed"</formula>
    </cfRule>
    <cfRule type="cellIs" dxfId="4301" priority="146" operator="between">
      <formula>"A - Work May Proceed"</formula>
      <formula>"A - Work May Proceed"</formula>
    </cfRule>
    <cfRule type="cellIs" dxfId="4300" priority="145" operator="between">
      <formula>"B - Incorporate Comments - Proceed"</formula>
      <formula>"B - Incorporate Comments - Proceed"</formula>
    </cfRule>
    <cfRule type="cellIs" dxfId="4299" priority="153" stopIfTrue="1" operator="between">
      <formula>"B - Incorporate Comments - Proceed "</formula>
      <formula>"B - Incorporate Comments - Proceed "</formula>
    </cfRule>
    <cfRule type="cellIs" dxfId="4298" priority="142" operator="between">
      <formula>"E - Review not Required - Proceed"</formula>
      <formula>"E - Review not Required - Proceed"</formula>
    </cfRule>
    <cfRule type="cellIs" dxfId="4297" priority="138" operator="equal">
      <formula>"B - Incorporate Comments - Proceed"</formula>
    </cfRule>
    <cfRule type="cellIs" dxfId="4296" priority="139" operator="equal">
      <formula>"For Information"</formula>
    </cfRule>
    <cfRule type="cellIs" dxfId="4295" priority="140" operator="equal">
      <formula>"B - Incorporate Comments - Proceed "</formula>
    </cfRule>
    <cfRule type="cellIs" dxfId="4294" priority="144" operator="between">
      <formula>"C - Revise and Resubmit - Do Not Proceed"</formula>
      <formula>"C - Revise and Resubmit - Do Not Proceed"</formula>
    </cfRule>
    <cfRule type="cellIs" dxfId="4293" priority="141" operator="equal">
      <formula>"E - Review Not Required - Proceed"</formula>
    </cfRule>
    <cfRule type="cellIs" dxfId="4292" priority="143" operator="between">
      <formula>"'D - Rejected "</formula>
      <formula>"'D - Rejected "</formula>
    </cfRule>
  </conditionalFormatting>
  <conditionalFormatting sqref="AD11">
    <cfRule type="cellIs" dxfId="4291" priority="130" operator="between">
      <formula>"A - Work May Proceed"</formula>
      <formula>"A - Work May Proceed"</formula>
    </cfRule>
    <cfRule type="cellIs" dxfId="4290" priority="127" operator="between">
      <formula>"'D - Rejected "</formula>
      <formula>"'D - Rejected "</formula>
    </cfRule>
    <cfRule type="cellIs" dxfId="4289" priority="131" operator="between">
      <formula>"B - Incorporate Comments - Proceed"</formula>
      <formula>"B - Incorporate Comments - Proceed"</formula>
    </cfRule>
    <cfRule type="cellIs" dxfId="4288" priority="132" operator="between">
      <formula>"E - Review not Required - Proceed"</formula>
      <formula>"E - Review not Required - Proceed"</formula>
    </cfRule>
    <cfRule type="cellIs" dxfId="4287" priority="133" operator="between">
      <formula>"D - Rejected "</formula>
      <formula>"D - Rejected "</formula>
    </cfRule>
    <cfRule type="cellIs" dxfId="4286" priority="134" operator="between">
      <formula>"CANCELLED"</formula>
      <formula>"CANCELLED"</formula>
    </cfRule>
    <cfRule type="cellIs" dxfId="4285" priority="135" operator="between">
      <formula>"A - Work May Proceed"</formula>
      <formula>"A - Work May Proceed"</formula>
    </cfRule>
    <cfRule type="cellIs" dxfId="4284" priority="136" operator="between">
      <formula>"C - Revise and Resubmit - Do Not Proceed"</formula>
      <formula>"C - Revise and Resubmit - Do Not Proceed"</formula>
    </cfRule>
    <cfRule type="cellIs" dxfId="4283" priority="137" stopIfTrue="1" operator="between">
      <formula>"B - Incorporate Comments - Proceed "</formula>
      <formula>"B - Incorporate Comments - Proceed "</formula>
    </cfRule>
    <cfRule type="cellIs" dxfId="4282" priority="122" operator="equal">
      <formula>"B - Incorporate Comments - Proceed"</formula>
    </cfRule>
    <cfRule type="cellIs" dxfId="4281" priority="123" operator="equal">
      <formula>"For Information"</formula>
    </cfRule>
    <cfRule type="cellIs" dxfId="4280" priority="124" operator="equal">
      <formula>"B - Incorporate Comments - Proceed "</formula>
    </cfRule>
    <cfRule type="cellIs" dxfId="4279" priority="125" operator="equal">
      <formula>"E - Review Not Required - Proceed"</formula>
    </cfRule>
    <cfRule type="cellIs" dxfId="4278" priority="126" operator="between">
      <formula>"E - Review not Required - Proceed"</formula>
      <formula>"E - Review not Required - Proceed"</formula>
    </cfRule>
    <cfRule type="cellIs" dxfId="4277" priority="128" operator="between">
      <formula>"C - Revise and Resubmit - Do Not Proceed"</formula>
      <formula>"C - Revise and Resubmit - Do Not Proceed"</formula>
    </cfRule>
    <cfRule type="cellIs" dxfId="4276" priority="129" operator="between">
      <formula>"B - Incorporate Comments - Proceed"</formula>
      <formula>"B - Incorporate Comments - Proceed"</formula>
    </cfRule>
  </conditionalFormatting>
  <conditionalFormatting sqref="AK11">
    <cfRule type="cellIs" dxfId="4275" priority="109" operator="equal">
      <formula>"E - Review Not Required - Proceed"</formula>
    </cfRule>
    <cfRule type="cellIs" dxfId="4274" priority="110" operator="between">
      <formula>"E - Review not Required - Proceed"</formula>
      <formula>"E - Review not Required - Proceed"</formula>
    </cfRule>
    <cfRule type="cellIs" dxfId="4273" priority="111" operator="between">
      <formula>"'D - Rejected "</formula>
      <formula>"'D - Rejected "</formula>
    </cfRule>
    <cfRule type="cellIs" dxfId="4272" priority="112" operator="between">
      <formula>"C - Revise and Resubmit - Do Not Proceed"</formula>
      <formula>"C - Revise and Resubmit - Do Not Proceed"</formula>
    </cfRule>
    <cfRule type="cellIs" dxfId="4271" priority="113" operator="between">
      <formula>"B - Incorporate Comments - Proceed"</formula>
      <formula>"B - Incorporate Comments - Proceed"</formula>
    </cfRule>
    <cfRule type="cellIs" dxfId="4270" priority="114" operator="between">
      <formula>"A - Work May Proceed"</formula>
      <formula>"A - Work May Proceed"</formula>
    </cfRule>
    <cfRule type="cellIs" dxfId="4269" priority="115" operator="between">
      <formula>"B - Incorporate Comments - Proceed"</formula>
      <formula>"B - Incorporate Comments - Proceed"</formula>
    </cfRule>
    <cfRule type="cellIs" dxfId="4268" priority="116" operator="between">
      <formula>"E - Review not Required - Proceed"</formula>
      <formula>"E - Review not Required - Proceed"</formula>
    </cfRule>
    <cfRule type="cellIs" dxfId="4267" priority="117" operator="between">
      <formula>"D - Rejected "</formula>
      <formula>"D - Rejected "</formula>
    </cfRule>
    <cfRule type="cellIs" dxfId="4266" priority="118" operator="between">
      <formula>"CANCELLED"</formula>
      <formula>"CANCELLED"</formula>
    </cfRule>
    <cfRule type="cellIs" dxfId="4265" priority="119" operator="between">
      <formula>"A - Work May Proceed"</formula>
      <formula>"A - Work May Proceed"</formula>
    </cfRule>
    <cfRule type="cellIs" dxfId="4264" priority="121" stopIfTrue="1" operator="between">
      <formula>"B - Incorporate Comments - Proceed "</formula>
      <formula>"B - Incorporate Comments - Proceed "</formula>
    </cfRule>
    <cfRule type="cellIs" dxfId="4263" priority="120" operator="between">
      <formula>"C - Revise and Resubmit - Do Not Proceed"</formula>
      <formula>"C - Revise and Resubmit - Do Not Proceed"</formula>
    </cfRule>
    <cfRule type="cellIs" dxfId="4262" priority="107" operator="equal">
      <formula>"For Information"</formula>
    </cfRule>
    <cfRule type="cellIs" dxfId="4261" priority="106" operator="equal">
      <formula>"B - Incorporate Comments - Proceed"</formula>
    </cfRule>
    <cfRule type="cellIs" dxfId="4260" priority="108" operator="equal">
      <formula>"B - Incorporate Comments - Proceed "</formula>
    </cfRule>
  </conditionalFormatting>
  <conditionalFormatting sqref="AR11">
    <cfRule type="cellIs" dxfId="4259" priority="70" operator="between">
      <formula>"'D - Rejected "</formula>
      <formula>"'D - Rejected "</formula>
    </cfRule>
    <cfRule type="cellIs" dxfId="4258" priority="71" operator="between">
      <formula>"C - Revise and Resubmit - Do Not Proceed"</formula>
      <formula>"C - Revise and Resubmit - Do Not Proceed"</formula>
    </cfRule>
    <cfRule type="cellIs" dxfId="4257" priority="69" operator="between">
      <formula>"E - Review not Required - Proceed"</formula>
      <formula>"E - Review not Required - Proceed"</formula>
    </cfRule>
    <cfRule type="cellIs" dxfId="4256" priority="68" operator="equal">
      <formula>"E - Review Not Required - Proceed"</formula>
    </cfRule>
    <cfRule type="cellIs" dxfId="4255" priority="67" operator="equal">
      <formula>"B - Incorporate Comments - Proceed "</formula>
    </cfRule>
    <cfRule type="cellIs" dxfId="4254" priority="66" operator="equal">
      <formula>"For Information"</formula>
    </cfRule>
    <cfRule type="cellIs" dxfId="4253" priority="65" operator="equal">
      <formula>"A - Work May Proceed"</formula>
    </cfRule>
    <cfRule type="cellIs" dxfId="4252" priority="64" operator="equal">
      <formula>"C - Revise and Resubmit - Do Not Proceed"</formula>
    </cfRule>
    <cfRule type="cellIs" dxfId="4251" priority="61" operator="equal">
      <formula>"E - Review not Required - Proceed"</formula>
    </cfRule>
    <cfRule type="cellIs" dxfId="4250" priority="62" operator="equal">
      <formula>"D - Rejected"</formula>
    </cfRule>
    <cfRule type="cellIs" dxfId="4249" priority="80" stopIfTrue="1" operator="between">
      <formula>"B - Incorporate Comments - Proceed "</formula>
      <formula>"B - Incorporate Comments - Proceed "</formula>
    </cfRule>
    <cfRule type="cellIs" dxfId="4248" priority="79" operator="between">
      <formula>"C - Revise and Resubmit - Do Not Proceed"</formula>
      <formula>"C - Revise and Resubmit - Do Not Proceed"</formula>
    </cfRule>
    <cfRule type="cellIs" dxfId="4247" priority="78" operator="between">
      <formula>"A - Work May Proceed"</formula>
      <formula>"A - Work May Proceed"</formula>
    </cfRule>
    <cfRule type="cellIs" dxfId="4246" priority="77" operator="between">
      <formula>"CANCELLED"</formula>
      <formula>"CANCELLED"</formula>
    </cfRule>
    <cfRule type="cellIs" dxfId="4245" priority="76" operator="between">
      <formula>"D - Rejected "</formula>
      <formula>"D - Rejected "</formula>
    </cfRule>
    <cfRule type="cellIs" dxfId="4244" priority="75" operator="between">
      <formula>"E - Review not Required - Proceed"</formula>
      <formula>"E - Review not Required - Proceed"</formula>
    </cfRule>
    <cfRule type="cellIs" dxfId="4243" priority="74" operator="between">
      <formula>"B - Incorporate Comments - Proceed"</formula>
      <formula>"B - Incorporate Comments - Proceed"</formula>
    </cfRule>
    <cfRule type="cellIs" dxfId="4242" priority="63" operator="equal">
      <formula>"B - Incorporate Comments - Proceed"</formula>
    </cfRule>
    <cfRule type="cellIs" dxfId="4241" priority="73" operator="between">
      <formula>"A - Work May Proceed"</formula>
      <formula>"A - Work May Proceed"</formula>
    </cfRule>
    <cfRule type="cellIs" dxfId="4240" priority="72" operator="between">
      <formula>"B - Incorporate Comments - Proceed"</formula>
      <formula>"B - Incorporate Comments - Proceed"</formula>
    </cfRule>
  </conditionalFormatting>
  <conditionalFormatting sqref="AY11">
    <cfRule type="cellIs" dxfId="4239" priority="89" operator="between">
      <formula>"E - Review not Required - Proceed"</formula>
      <formula>"E - Review not Required - Proceed"</formula>
    </cfRule>
    <cfRule type="cellIs" dxfId="4238" priority="100" stopIfTrue="1" operator="between">
      <formula>"B - Incorporate Comments - Proceed "</formula>
      <formula>"B - Incorporate Comments - Proceed "</formula>
    </cfRule>
    <cfRule type="cellIs" dxfId="4237" priority="99" operator="between">
      <formula>"C - Revise and Resubmit - Do Not Proceed"</formula>
      <formula>"C - Revise and Resubmit - Do Not Proceed"</formula>
    </cfRule>
    <cfRule type="cellIs" dxfId="4236" priority="98" operator="between">
      <formula>"A - Work May Proceed"</formula>
      <formula>"A - Work May Proceed"</formula>
    </cfRule>
    <cfRule type="cellIs" dxfId="4235" priority="97" operator="between">
      <formula>"CANCELLED"</formula>
      <formula>"CANCELLED"</formula>
    </cfRule>
    <cfRule type="cellIs" dxfId="4234" priority="96" operator="between">
      <formula>"D - Rejected "</formula>
      <formula>"D - Rejected "</formula>
    </cfRule>
    <cfRule type="cellIs" dxfId="4233" priority="95" operator="between">
      <formula>"E - Review not Required - Proceed"</formula>
      <formula>"E - Review not Required - Proceed"</formula>
    </cfRule>
    <cfRule type="cellIs" dxfId="4232" priority="94" operator="between">
      <formula>"B - Incorporate Comments - Proceed"</formula>
      <formula>"B - Incorporate Comments - Proceed"</formula>
    </cfRule>
    <cfRule type="cellIs" dxfId="4231" priority="93" operator="between">
      <formula>"A - Work May Proceed"</formula>
      <formula>"A - Work May Proceed"</formula>
    </cfRule>
    <cfRule type="cellIs" dxfId="4230" priority="91" operator="between">
      <formula>"C - Revise and Resubmit - Do Not Proceed"</formula>
      <formula>"C - Revise and Resubmit - Do Not Proceed"</formula>
    </cfRule>
    <cfRule type="cellIs" dxfId="4229" priority="90" operator="between">
      <formula>"'D - Rejected "</formula>
      <formula>"'D - Rejected "</formula>
    </cfRule>
    <cfRule type="cellIs" dxfId="4228" priority="87" operator="equal">
      <formula>"B - Incorporate Comments - Proceed "</formula>
    </cfRule>
    <cfRule type="cellIs" dxfId="4227" priority="86" operator="equal">
      <formula>"For Information"</formula>
    </cfRule>
    <cfRule type="cellIs" dxfId="4226" priority="85" operator="equal">
      <formula>"A - Work May Proceed"</formula>
    </cfRule>
    <cfRule type="cellIs" dxfId="4225" priority="84" operator="equal">
      <formula>"C - Revise and Resubmit - Do Not Proceed"</formula>
    </cfRule>
    <cfRule type="cellIs" dxfId="4224" priority="83" operator="equal">
      <formula>"B - Incorporate Comments - Proceed"</formula>
    </cfRule>
    <cfRule type="cellIs" dxfId="4223" priority="92" operator="between">
      <formula>"B - Incorporate Comments - Proceed"</formula>
      <formula>"B - Incorporate Comments - Proceed"</formula>
    </cfRule>
    <cfRule type="cellIs" dxfId="4222" priority="81" operator="equal">
      <formula>"E - Review not Required - Proceed"</formula>
    </cfRule>
    <cfRule type="cellIs" dxfId="4221" priority="88" operator="equal">
      <formula>"E - Review Not Required - Proceed"</formula>
    </cfRule>
    <cfRule type="cellIs" dxfId="4220" priority="82" operator="equal">
      <formula>"D - Rejected"</formula>
    </cfRule>
  </conditionalFormatting>
  <pageMargins left="0.7" right="0.7" top="0.75" bottom="0.75" header="0.3" footer="0.3"/>
  <pageSetup paperSize="8" scale="10" fitToHeight="0" orientation="landscape" r:id="rId1"/>
  <colBreaks count="1" manualBreakCount="1">
    <brk id="57" max="197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>
    <tabColor theme="5"/>
  </sheetPr>
  <dimension ref="A1:BF36"/>
  <sheetViews>
    <sheetView zoomScale="55" zoomScaleNormal="55" zoomScaleSheetLayoutView="70" workbookViewId="0">
      <pane ySplit="11" topLeftCell="A22" activePane="bottomLeft" state="frozen"/>
      <selection activeCell="A14" sqref="A14"/>
      <selection pane="bottomLeft" activeCell="A10" sqref="A10:A11"/>
    </sheetView>
  </sheetViews>
  <sheetFormatPr defaultColWidth="9.140625" defaultRowHeight="15" x14ac:dyDescent="0.25"/>
  <cols>
    <col min="1" max="1" width="25.710937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3" width="30.140625" style="471" customWidth="1"/>
    <col min="14" max="14" width="30.140625" style="396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0.140625" style="398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55.85546875" style="472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 s="111"/>
      <c r="O1"/>
      <c r="P1"/>
      <c r="Q1"/>
      <c r="R1"/>
      <c r="S1"/>
      <c r="T1"/>
      <c r="U1" s="111"/>
      <c r="V1" s="7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198"/>
    </row>
    <row r="2" spans="1:58" s="379" customFormat="1" ht="24" customHeight="1" x14ac:dyDescent="0.35">
      <c r="A2" s="8"/>
      <c r="B2" s="25" t="s">
        <v>28</v>
      </c>
      <c r="C2" s="26" t="s">
        <v>16</v>
      </c>
      <c r="D2" s="26"/>
      <c r="E2" s="26"/>
      <c r="F2" s="27"/>
      <c r="G2" s="8"/>
      <c r="H2" s="548"/>
      <c r="I2" s="558"/>
      <c r="J2"/>
      <c r="K2"/>
      <c r="L2"/>
      <c r="M2"/>
      <c r="N2" s="111"/>
      <c r="O2"/>
      <c r="P2"/>
      <c r="Q2"/>
      <c r="R2"/>
      <c r="S2"/>
      <c r="T2"/>
      <c r="U2" s="111"/>
      <c r="V2" s="7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198"/>
    </row>
    <row r="3" spans="1:58" s="379" customFormat="1" ht="24" customHeight="1" x14ac:dyDescent="0.35">
      <c r="A3" s="8"/>
      <c r="B3" s="25" t="s">
        <v>507</v>
      </c>
      <c r="C3" s="49" t="s">
        <v>442</v>
      </c>
      <c r="D3" s="26"/>
      <c r="E3" s="26"/>
      <c r="F3" s="27"/>
      <c r="G3" s="8"/>
      <c r="H3" s="8"/>
      <c r="I3"/>
      <c r="J3"/>
      <c r="K3"/>
      <c r="L3"/>
      <c r="M3"/>
      <c r="N3" s="111"/>
      <c r="O3"/>
      <c r="P3"/>
      <c r="Q3"/>
      <c r="R3"/>
      <c r="S3"/>
      <c r="T3"/>
      <c r="U3" s="111"/>
      <c r="V3" s="7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198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 s="111"/>
      <c r="O4"/>
      <c r="P4"/>
      <c r="Q4"/>
      <c r="R4"/>
      <c r="S4"/>
      <c r="T4"/>
      <c r="U4" s="111"/>
      <c r="V4" s="7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198"/>
    </row>
    <row r="5" spans="1:58" s="379" customFormat="1" ht="30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240" t="s">
        <v>331</v>
      </c>
      <c r="J5" s="63" t="s">
        <v>508</v>
      </c>
      <c r="K5"/>
      <c r="L5"/>
      <c r="M5"/>
      <c r="N5" s="111"/>
      <c r="O5"/>
      <c r="P5"/>
      <c r="Q5"/>
      <c r="R5"/>
      <c r="S5"/>
      <c r="T5"/>
      <c r="U5" s="111"/>
      <c r="V5" s="7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198"/>
    </row>
    <row r="6" spans="1:58" s="379" customFormat="1" ht="24" customHeight="1" x14ac:dyDescent="0.35">
      <c r="A6" s="8"/>
      <c r="B6" s="64">
        <f>COUNTIF(B11:B36,"A - Work May Proceed")</f>
        <v>21</v>
      </c>
      <c r="C6" s="65">
        <f>COUNTIF(B11:B36,"B- Incorporate Comments - Proceed")</f>
        <v>0</v>
      </c>
      <c r="D6" s="65">
        <f>COUNTIF(B11:B36,"C - Revise and Resubmit - Do Not Proceed")</f>
        <v>0</v>
      </c>
      <c r="E6" s="65">
        <f>COUNTIF(B11:B36,"D - Rejected")</f>
        <v>0</v>
      </c>
      <c r="F6" s="65">
        <f>COUNTIF(B11:B36,"E - Review not Required - Proceed")</f>
        <v>0</v>
      </c>
      <c r="G6" s="66">
        <f>COUNTIF(B11:B36,"UR")</f>
        <v>1</v>
      </c>
      <c r="H6" s="66">
        <f>COUNTIF(B11:B36,"FA")</f>
        <v>0</v>
      </c>
      <c r="I6" s="66">
        <f>COUNTIF(B11:B36,"Terminated")</f>
        <v>0</v>
      </c>
      <c r="J6" s="66">
        <f>COUNTIF(B11:B36,"Cancelled")</f>
        <v>2</v>
      </c>
      <c r="K6"/>
      <c r="L6"/>
      <c r="M6"/>
      <c r="N6" s="111"/>
      <c r="O6"/>
      <c r="P6"/>
      <c r="Q6"/>
      <c r="R6"/>
      <c r="S6"/>
      <c r="T6"/>
      <c r="U6" s="111"/>
      <c r="V6" s="7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198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 s="111"/>
      <c r="O7"/>
      <c r="P7"/>
      <c r="Q7"/>
      <c r="R7"/>
      <c r="S7"/>
      <c r="T7"/>
      <c r="U7" s="111"/>
      <c r="V7" s="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198"/>
    </row>
    <row r="8" spans="1:58" s="379" customFormat="1" ht="24" customHeight="1" x14ac:dyDescent="0.35">
      <c r="A8" s="8"/>
      <c r="B8" s="72" t="s">
        <v>509</v>
      </c>
      <c r="C8" s="73">
        <f>SUM(B6:J6)</f>
        <v>24</v>
      </c>
      <c r="D8" s="69"/>
      <c r="E8" s="70"/>
      <c r="F8" s="70"/>
      <c r="G8" s="74"/>
      <c r="H8" s="75"/>
      <c r="I8" s="76"/>
      <c r="J8" s="75"/>
      <c r="K8"/>
      <c r="L8"/>
      <c r="M8"/>
      <c r="N8" s="111"/>
      <c r="O8"/>
      <c r="P8"/>
      <c r="Q8"/>
      <c r="R8"/>
      <c r="S8"/>
      <c r="T8"/>
      <c r="U8" s="111"/>
      <c r="V8" s="7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198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 s="111"/>
      <c r="O9"/>
      <c r="P9"/>
      <c r="Q9"/>
      <c r="R9"/>
      <c r="S9"/>
      <c r="T9"/>
      <c r="U9" s="111"/>
      <c r="V9" s="7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198"/>
    </row>
    <row r="10" spans="1:58" s="405" customFormat="1" ht="36.75" customHeight="1" x14ac:dyDescent="0.2">
      <c r="A10" s="550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51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112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113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11" t="s">
        <v>5</v>
      </c>
      <c r="C12" s="56" t="s">
        <v>208</v>
      </c>
      <c r="D12" s="12" t="s">
        <v>88</v>
      </c>
      <c r="E12" s="12" t="s">
        <v>91</v>
      </c>
      <c r="F12" s="16" t="s">
        <v>29</v>
      </c>
      <c r="G12" s="10" t="s">
        <v>15</v>
      </c>
      <c r="H12" s="10" t="s">
        <v>95</v>
      </c>
      <c r="I12" s="16" t="s">
        <v>18</v>
      </c>
      <c r="J12" s="14">
        <v>45554</v>
      </c>
      <c r="K12" s="12" t="s">
        <v>94</v>
      </c>
      <c r="L12" s="20">
        <f t="shared" ref="L12:L17" si="0">J12+7</f>
        <v>45561</v>
      </c>
      <c r="M12" s="14">
        <v>45565</v>
      </c>
      <c r="N12" s="92">
        <f t="shared" ref="N12:N18" si="1">M12-L12</f>
        <v>4</v>
      </c>
      <c r="O12" s="12" t="s">
        <v>263</v>
      </c>
      <c r="P12" s="16" t="s">
        <v>5</v>
      </c>
      <c r="Q12" s="20">
        <v>46006</v>
      </c>
      <c r="R12" s="12" t="s">
        <v>5277</v>
      </c>
      <c r="S12" s="21">
        <f t="shared" ref="S12:S17" si="2">Q12+7</f>
        <v>46013</v>
      </c>
      <c r="T12" s="20">
        <v>46015</v>
      </c>
      <c r="U12" s="95">
        <f t="shared" ref="U12:U17" si="3">T12-S12</f>
        <v>2</v>
      </c>
      <c r="V12" s="12" t="s">
        <v>5308</v>
      </c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473" t="s">
        <v>128</v>
      </c>
    </row>
    <row r="13" spans="1:58" s="381" customFormat="1" ht="42" customHeight="1" x14ac:dyDescent="0.25">
      <c r="A13" s="367">
        <v>730007</v>
      </c>
      <c r="B13" s="11" t="s">
        <v>5</v>
      </c>
      <c r="C13" s="56" t="s">
        <v>208</v>
      </c>
      <c r="D13" s="12" t="s">
        <v>89</v>
      </c>
      <c r="E13" s="12" t="s">
        <v>92</v>
      </c>
      <c r="F13" s="16" t="s">
        <v>44</v>
      </c>
      <c r="G13" s="10" t="s">
        <v>15</v>
      </c>
      <c r="H13" s="10" t="s">
        <v>95</v>
      </c>
      <c r="I13" s="16" t="s">
        <v>18</v>
      </c>
      <c r="J13" s="14">
        <v>45554</v>
      </c>
      <c r="K13" s="12" t="s">
        <v>96</v>
      </c>
      <c r="L13" s="20">
        <f t="shared" si="0"/>
        <v>45561</v>
      </c>
      <c r="M13" s="14">
        <v>45565</v>
      </c>
      <c r="N13" s="92">
        <f t="shared" si="1"/>
        <v>4</v>
      </c>
      <c r="O13" s="12" t="s">
        <v>264</v>
      </c>
      <c r="P13" s="16" t="s">
        <v>5</v>
      </c>
      <c r="Q13" s="20">
        <v>45950</v>
      </c>
      <c r="R13" s="12" t="s">
        <v>4526</v>
      </c>
      <c r="S13" s="21">
        <f t="shared" si="2"/>
        <v>45957</v>
      </c>
      <c r="T13" s="20">
        <v>45952</v>
      </c>
      <c r="U13" s="95">
        <f t="shared" si="3"/>
        <v>-5</v>
      </c>
      <c r="V13" s="12" t="s">
        <v>4550</v>
      </c>
      <c r="W13" s="12"/>
      <c r="X13" s="20"/>
      <c r="Y13" s="12"/>
      <c r="Z13" s="12"/>
      <c r="AA13" s="20"/>
      <c r="AB13" s="20"/>
      <c r="AC13" s="12"/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473" t="s">
        <v>4527</v>
      </c>
    </row>
    <row r="14" spans="1:58" s="381" customFormat="1" ht="42" customHeight="1" x14ac:dyDescent="0.25">
      <c r="A14" s="367">
        <v>730007</v>
      </c>
      <c r="B14" s="11" t="s">
        <v>5</v>
      </c>
      <c r="C14" s="56" t="s">
        <v>208</v>
      </c>
      <c r="D14" s="12" t="s">
        <v>90</v>
      </c>
      <c r="E14" s="12" t="s">
        <v>93</v>
      </c>
      <c r="F14" s="16" t="s">
        <v>45</v>
      </c>
      <c r="G14" s="10" t="s">
        <v>15</v>
      </c>
      <c r="H14" s="10" t="s">
        <v>95</v>
      </c>
      <c r="I14" s="16" t="s">
        <v>18</v>
      </c>
      <c r="J14" s="14">
        <v>45554</v>
      </c>
      <c r="K14" s="12" t="s">
        <v>97</v>
      </c>
      <c r="L14" s="20">
        <f t="shared" si="0"/>
        <v>45561</v>
      </c>
      <c r="M14" s="14">
        <v>45565</v>
      </c>
      <c r="N14" s="92">
        <f t="shared" si="1"/>
        <v>4</v>
      </c>
      <c r="O14" s="12" t="s">
        <v>271</v>
      </c>
      <c r="P14" s="16" t="s">
        <v>5</v>
      </c>
      <c r="Q14" s="20">
        <v>45950</v>
      </c>
      <c r="R14" s="12" t="s">
        <v>4528</v>
      </c>
      <c r="S14" s="21">
        <f t="shared" si="2"/>
        <v>45957</v>
      </c>
      <c r="T14" s="20">
        <v>45952</v>
      </c>
      <c r="U14" s="95">
        <f t="shared" si="3"/>
        <v>-5</v>
      </c>
      <c r="V14" s="12" t="s">
        <v>4551</v>
      </c>
      <c r="W14" s="12"/>
      <c r="X14" s="20"/>
      <c r="Y14" s="12"/>
      <c r="Z14" s="12"/>
      <c r="AA14" s="20"/>
      <c r="AB14" s="20"/>
      <c r="AC14" s="12"/>
      <c r="AD14" s="12"/>
      <c r="AE14" s="20"/>
      <c r="AF14" s="12"/>
      <c r="AG14" s="12"/>
      <c r="AH14" s="20"/>
      <c r="AI14" s="20"/>
      <c r="AJ14" s="12"/>
      <c r="AK14" s="10"/>
      <c r="AL14" s="14"/>
      <c r="AM14" s="12"/>
      <c r="AN14" s="12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/>
      <c r="BF14" s="473" t="s">
        <v>4527</v>
      </c>
    </row>
    <row r="15" spans="1:58" s="381" customFormat="1" ht="42" customHeight="1" x14ac:dyDescent="0.25">
      <c r="A15" s="367">
        <v>730007</v>
      </c>
      <c r="B15" s="11" t="s">
        <v>5</v>
      </c>
      <c r="C15" s="56" t="s">
        <v>208</v>
      </c>
      <c r="D15" s="12" t="s">
        <v>525</v>
      </c>
      <c r="E15" s="12" t="s">
        <v>526</v>
      </c>
      <c r="F15" s="16" t="s">
        <v>527</v>
      </c>
      <c r="G15" s="10" t="s">
        <v>15</v>
      </c>
      <c r="H15" s="10" t="s">
        <v>95</v>
      </c>
      <c r="I15" s="16" t="s">
        <v>18</v>
      </c>
      <c r="J15" s="14">
        <v>45589</v>
      </c>
      <c r="K15" s="13" t="s">
        <v>528</v>
      </c>
      <c r="L15" s="20">
        <f t="shared" si="0"/>
        <v>45596</v>
      </c>
      <c r="M15" s="14">
        <v>45595</v>
      </c>
      <c r="N15" s="92">
        <f t="shared" si="1"/>
        <v>-1</v>
      </c>
      <c r="O15" s="10" t="s">
        <v>544</v>
      </c>
      <c r="P15" s="16" t="s">
        <v>5</v>
      </c>
      <c r="Q15" s="20">
        <v>45950</v>
      </c>
      <c r="R15" s="10" t="s">
        <v>4535</v>
      </c>
      <c r="S15" s="21">
        <f t="shared" si="2"/>
        <v>45957</v>
      </c>
      <c r="T15" s="20">
        <v>45955</v>
      </c>
      <c r="U15" s="95">
        <f t="shared" si="3"/>
        <v>-2</v>
      </c>
      <c r="V15" s="10" t="s">
        <v>4552</v>
      </c>
      <c r="W15" s="10"/>
      <c r="X15" s="21"/>
      <c r="Y15" s="10"/>
      <c r="Z15" s="10"/>
      <c r="AA15" s="21"/>
      <c r="AB15" s="21"/>
      <c r="AC15" s="10"/>
      <c r="AD15" s="10"/>
      <c r="AE15" s="21"/>
      <c r="AF15" s="10"/>
      <c r="AG15" s="10"/>
      <c r="AH15" s="21"/>
      <c r="AI15" s="21"/>
      <c r="AJ15" s="10"/>
      <c r="AK15" s="10"/>
      <c r="AL15" s="17"/>
      <c r="AM15" s="11"/>
      <c r="AN15" s="11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1"/>
      <c r="BF15" s="473" t="s">
        <v>4527</v>
      </c>
    </row>
    <row r="16" spans="1:58" s="381" customFormat="1" ht="42" customHeight="1" x14ac:dyDescent="0.25">
      <c r="A16" s="367">
        <v>730007</v>
      </c>
      <c r="B16" s="11" t="s">
        <v>5</v>
      </c>
      <c r="C16" s="56" t="s">
        <v>208</v>
      </c>
      <c r="D16" s="12" t="s">
        <v>984</v>
      </c>
      <c r="E16" s="12" t="s">
        <v>4536</v>
      </c>
      <c r="F16" s="16" t="s">
        <v>985</v>
      </c>
      <c r="G16" s="10" t="s">
        <v>15</v>
      </c>
      <c r="H16" s="10" t="s">
        <v>95</v>
      </c>
      <c r="I16" s="16" t="s">
        <v>18</v>
      </c>
      <c r="J16" s="14">
        <v>45616</v>
      </c>
      <c r="K16" s="13" t="s">
        <v>986</v>
      </c>
      <c r="L16" s="20">
        <f t="shared" si="0"/>
        <v>45623</v>
      </c>
      <c r="M16" s="14">
        <v>45623</v>
      </c>
      <c r="N16" s="92">
        <f t="shared" si="1"/>
        <v>0</v>
      </c>
      <c r="O16" s="10" t="s">
        <v>997</v>
      </c>
      <c r="P16" s="16" t="s">
        <v>5</v>
      </c>
      <c r="Q16" s="20">
        <v>45950</v>
      </c>
      <c r="R16" s="10" t="s">
        <v>4537</v>
      </c>
      <c r="S16" s="21">
        <f t="shared" si="2"/>
        <v>45957</v>
      </c>
      <c r="T16" s="20">
        <v>45957</v>
      </c>
      <c r="U16" s="95">
        <f t="shared" si="3"/>
        <v>0</v>
      </c>
      <c r="V16" s="10" t="s">
        <v>4553</v>
      </c>
      <c r="W16" s="10"/>
      <c r="X16" s="21"/>
      <c r="Y16" s="10"/>
      <c r="Z16" s="10"/>
      <c r="AA16" s="21"/>
      <c r="AB16" s="21"/>
      <c r="AC16" s="10"/>
      <c r="AD16" s="10"/>
      <c r="AE16" s="21"/>
      <c r="AF16" s="10"/>
      <c r="AG16" s="10"/>
      <c r="AH16" s="21"/>
      <c r="AI16" s="21"/>
      <c r="AJ16" s="10"/>
      <c r="AK16" s="10"/>
      <c r="AL16" s="17"/>
      <c r="AM16" s="11"/>
      <c r="AN16" s="11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1"/>
      <c r="BF16" s="473" t="s">
        <v>4527</v>
      </c>
    </row>
    <row r="17" spans="1:58" s="381" customFormat="1" ht="42" customHeight="1" x14ac:dyDescent="0.25">
      <c r="A17" s="367">
        <v>730007</v>
      </c>
      <c r="B17" s="11" t="s">
        <v>5</v>
      </c>
      <c r="C17" s="56" t="s">
        <v>208</v>
      </c>
      <c r="D17" s="12" t="s">
        <v>1471</v>
      </c>
      <c r="E17" s="12" t="s">
        <v>1472</v>
      </c>
      <c r="F17" s="16" t="s">
        <v>1473</v>
      </c>
      <c r="G17" s="10" t="s">
        <v>15</v>
      </c>
      <c r="H17" s="10" t="s">
        <v>95</v>
      </c>
      <c r="I17" s="16" t="s">
        <v>18</v>
      </c>
      <c r="J17" s="14">
        <v>45642</v>
      </c>
      <c r="K17" s="13" t="s">
        <v>1474</v>
      </c>
      <c r="L17" s="20">
        <f t="shared" si="0"/>
        <v>45649</v>
      </c>
      <c r="M17" s="14">
        <v>45649</v>
      </c>
      <c r="N17" s="92">
        <f t="shared" si="1"/>
        <v>0</v>
      </c>
      <c r="O17" s="10" t="s">
        <v>1501</v>
      </c>
      <c r="P17" s="16" t="s">
        <v>5</v>
      </c>
      <c r="Q17" s="21">
        <v>45951</v>
      </c>
      <c r="R17" s="10" t="s">
        <v>4554</v>
      </c>
      <c r="S17" s="21">
        <f t="shared" si="2"/>
        <v>45958</v>
      </c>
      <c r="T17" s="21">
        <v>45956</v>
      </c>
      <c r="U17" s="95">
        <f t="shared" si="3"/>
        <v>-2</v>
      </c>
      <c r="V17" s="10" t="s">
        <v>4558</v>
      </c>
      <c r="W17" s="10"/>
      <c r="X17" s="21"/>
      <c r="Y17" s="10"/>
      <c r="Z17" s="10"/>
      <c r="AA17" s="21"/>
      <c r="AB17" s="21"/>
      <c r="AC17" s="10"/>
      <c r="AD17" s="10"/>
      <c r="AE17" s="21"/>
      <c r="AF17" s="10"/>
      <c r="AG17" s="10"/>
      <c r="AH17" s="21"/>
      <c r="AI17" s="21"/>
      <c r="AJ17" s="10"/>
      <c r="AK17" s="10"/>
      <c r="AL17" s="17"/>
      <c r="AM17" s="11"/>
      <c r="AN17" s="11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1"/>
      <c r="BF17" s="473" t="s">
        <v>4527</v>
      </c>
    </row>
    <row r="18" spans="1:58" s="381" customFormat="1" ht="42" customHeight="1" x14ac:dyDescent="0.25">
      <c r="A18" s="367">
        <v>730007</v>
      </c>
      <c r="B18" s="57" t="s">
        <v>508</v>
      </c>
      <c r="C18" s="56" t="s">
        <v>627</v>
      </c>
      <c r="D18" s="12" t="s">
        <v>2037</v>
      </c>
      <c r="E18" s="12" t="s">
        <v>2038</v>
      </c>
      <c r="F18" s="16" t="s">
        <v>2039</v>
      </c>
      <c r="G18" s="10" t="s">
        <v>15</v>
      </c>
      <c r="H18" s="10" t="s">
        <v>95</v>
      </c>
      <c r="I18" s="60" t="s">
        <v>14</v>
      </c>
      <c r="J18" s="14">
        <v>45676</v>
      </c>
      <c r="K18" s="13" t="s">
        <v>2040</v>
      </c>
      <c r="L18" s="14">
        <f t="shared" ref="L18:L24" si="4">J18+7</f>
        <v>45683</v>
      </c>
      <c r="M18" s="14">
        <v>45678</v>
      </c>
      <c r="N18" s="92">
        <f t="shared" si="1"/>
        <v>-5</v>
      </c>
      <c r="O18" s="10" t="s">
        <v>2041</v>
      </c>
      <c r="P18" s="16" t="s">
        <v>508</v>
      </c>
      <c r="Q18" s="21">
        <v>45703</v>
      </c>
      <c r="R18" s="10" t="s">
        <v>2461</v>
      </c>
      <c r="S18" s="10" t="s">
        <v>626</v>
      </c>
      <c r="T18" s="21" t="s">
        <v>626</v>
      </c>
      <c r="U18" s="95" t="s">
        <v>626</v>
      </c>
      <c r="V18" s="10"/>
      <c r="W18" s="10"/>
      <c r="X18" s="21"/>
      <c r="Y18" s="10"/>
      <c r="Z18" s="10"/>
      <c r="AA18" s="21"/>
      <c r="AB18" s="21"/>
      <c r="AC18" s="10"/>
      <c r="AD18" s="10"/>
      <c r="AE18" s="21"/>
      <c r="AF18" s="10"/>
      <c r="AG18" s="10"/>
      <c r="AH18" s="21"/>
      <c r="AI18" s="21"/>
      <c r="AJ18" s="10"/>
      <c r="AK18" s="10"/>
      <c r="AL18" s="17"/>
      <c r="AM18" s="11"/>
      <c r="AN18" s="11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1"/>
      <c r="BF18" s="259" t="s">
        <v>2460</v>
      </c>
    </row>
    <row r="19" spans="1:58" s="381" customFormat="1" ht="42" customHeight="1" x14ac:dyDescent="0.25">
      <c r="A19" s="367">
        <v>730007</v>
      </c>
      <c r="B19" s="57" t="s">
        <v>508</v>
      </c>
      <c r="C19" s="56" t="s">
        <v>627</v>
      </c>
      <c r="D19" s="12" t="s">
        <v>2102</v>
      </c>
      <c r="E19" s="12" t="s">
        <v>2103</v>
      </c>
      <c r="F19" s="16" t="s">
        <v>2104</v>
      </c>
      <c r="G19" s="10" t="s">
        <v>15</v>
      </c>
      <c r="H19" s="10" t="s">
        <v>95</v>
      </c>
      <c r="I19" s="16" t="s">
        <v>5468</v>
      </c>
      <c r="J19" s="14">
        <v>45680</v>
      </c>
      <c r="K19" s="13" t="s">
        <v>2105</v>
      </c>
      <c r="L19" s="14">
        <f t="shared" si="4"/>
        <v>45687</v>
      </c>
      <c r="M19" s="14" t="s">
        <v>626</v>
      </c>
      <c r="N19" s="92" t="s">
        <v>626</v>
      </c>
      <c r="O19" s="10" t="s">
        <v>2137</v>
      </c>
      <c r="P19" s="16" t="s">
        <v>508</v>
      </c>
      <c r="Q19" s="21">
        <v>45703</v>
      </c>
      <c r="R19" s="10" t="s">
        <v>2459</v>
      </c>
      <c r="S19" s="10" t="s">
        <v>626</v>
      </c>
      <c r="T19" s="21" t="s">
        <v>626</v>
      </c>
      <c r="U19" s="95" t="s">
        <v>626</v>
      </c>
      <c r="V19" s="10"/>
      <c r="W19" s="10"/>
      <c r="X19" s="21"/>
      <c r="Y19" s="10"/>
      <c r="Z19" s="10"/>
      <c r="AA19" s="21"/>
      <c r="AB19" s="21"/>
      <c r="AC19" s="10"/>
      <c r="AD19" s="10"/>
      <c r="AE19" s="21"/>
      <c r="AF19" s="10"/>
      <c r="AG19" s="10"/>
      <c r="AH19" s="21"/>
      <c r="AI19" s="21"/>
      <c r="AJ19" s="10"/>
      <c r="AK19" s="10"/>
      <c r="AL19" s="17"/>
      <c r="AM19" s="11"/>
      <c r="AN19" s="11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1"/>
      <c r="BF19" s="259" t="s">
        <v>2139</v>
      </c>
    </row>
    <row r="20" spans="1:58" s="381" customFormat="1" ht="42" customHeight="1" x14ac:dyDescent="0.25">
      <c r="A20" s="367">
        <v>730007</v>
      </c>
      <c r="B20" s="12" t="s">
        <v>5</v>
      </c>
      <c r="C20" s="56" t="s">
        <v>588</v>
      </c>
      <c r="D20" s="12" t="s">
        <v>2134</v>
      </c>
      <c r="E20" s="12" t="s">
        <v>2135</v>
      </c>
      <c r="F20" s="16" t="s">
        <v>2136</v>
      </c>
      <c r="G20" s="10" t="s">
        <v>15</v>
      </c>
      <c r="H20" s="10" t="s">
        <v>95</v>
      </c>
      <c r="I20" s="16" t="s">
        <v>18</v>
      </c>
      <c r="J20" s="14">
        <v>45682</v>
      </c>
      <c r="K20" s="13" t="s">
        <v>2144</v>
      </c>
      <c r="L20" s="14">
        <f t="shared" si="4"/>
        <v>45689</v>
      </c>
      <c r="M20" s="14">
        <v>45683</v>
      </c>
      <c r="N20" s="92">
        <f t="shared" ref="N20:N28" si="5">M20-L20</f>
        <v>-6</v>
      </c>
      <c r="O20" s="10" t="s">
        <v>2143</v>
      </c>
      <c r="P20" s="12" t="s">
        <v>3</v>
      </c>
      <c r="Q20" s="21">
        <v>45951</v>
      </c>
      <c r="R20" s="10" t="s">
        <v>4555</v>
      </c>
      <c r="S20" s="21">
        <f>Q20+7</f>
        <v>45958</v>
      </c>
      <c r="T20" s="21">
        <v>45965</v>
      </c>
      <c r="U20" s="95">
        <f>S20-T20</f>
        <v>-7</v>
      </c>
      <c r="V20" s="10" t="s">
        <v>4559</v>
      </c>
      <c r="W20" s="10" t="s">
        <v>5</v>
      </c>
      <c r="X20" s="21">
        <v>45965</v>
      </c>
      <c r="Y20" s="10" t="s">
        <v>4743</v>
      </c>
      <c r="Z20" s="21">
        <f>X20+7</f>
        <v>45972</v>
      </c>
      <c r="AA20" s="21">
        <v>45974</v>
      </c>
      <c r="AB20" s="95">
        <f>Z20-AA20</f>
        <v>-2</v>
      </c>
      <c r="AC20" s="10" t="s">
        <v>4759</v>
      </c>
      <c r="AD20" s="10"/>
      <c r="AE20" s="21"/>
      <c r="AF20" s="10"/>
      <c r="AG20" s="10"/>
      <c r="AH20" s="21"/>
      <c r="AI20" s="21"/>
      <c r="AJ20" s="10"/>
      <c r="AK20" s="10"/>
      <c r="AL20" s="17"/>
      <c r="AM20" s="11"/>
      <c r="AN20" s="11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1"/>
      <c r="BF20" s="473" t="s">
        <v>4527</v>
      </c>
    </row>
    <row r="21" spans="1:58" s="381" customFormat="1" ht="42" customHeight="1" x14ac:dyDescent="0.25">
      <c r="A21" s="367">
        <v>730007</v>
      </c>
      <c r="B21" s="12" t="s">
        <v>5</v>
      </c>
      <c r="C21" s="56" t="s">
        <v>588</v>
      </c>
      <c r="D21" s="12" t="s">
        <v>2153</v>
      </c>
      <c r="E21" s="12" t="s">
        <v>2152</v>
      </c>
      <c r="F21" s="16" t="s">
        <v>2039</v>
      </c>
      <c r="G21" s="10" t="s">
        <v>15</v>
      </c>
      <c r="H21" s="10" t="s">
        <v>95</v>
      </c>
      <c r="I21" s="16" t="s">
        <v>18</v>
      </c>
      <c r="J21" s="14">
        <v>45683</v>
      </c>
      <c r="K21" s="13" t="s">
        <v>2154</v>
      </c>
      <c r="L21" s="14">
        <f t="shared" si="4"/>
        <v>45690</v>
      </c>
      <c r="M21" s="14">
        <v>45683</v>
      </c>
      <c r="N21" s="92">
        <f t="shared" si="5"/>
        <v>-7</v>
      </c>
      <c r="O21" s="10" t="s">
        <v>4561</v>
      </c>
      <c r="P21" s="12" t="s">
        <v>3</v>
      </c>
      <c r="Q21" s="21">
        <v>45952</v>
      </c>
      <c r="R21" s="10" t="s">
        <v>4560</v>
      </c>
      <c r="S21" s="21">
        <f>Q21+7</f>
        <v>45959</v>
      </c>
      <c r="T21" s="21">
        <v>45965</v>
      </c>
      <c r="U21" s="95">
        <f>S21-T21</f>
        <v>-6</v>
      </c>
      <c r="V21" s="10" t="s">
        <v>4573</v>
      </c>
      <c r="W21" s="10" t="s">
        <v>5</v>
      </c>
      <c r="X21" s="21">
        <v>45965</v>
      </c>
      <c r="Y21" s="10" t="s">
        <v>4742</v>
      </c>
      <c r="Z21" s="21">
        <f>X21+7</f>
        <v>45972</v>
      </c>
      <c r="AA21" s="21">
        <v>45974</v>
      </c>
      <c r="AB21" s="95">
        <f>Z21-AA21</f>
        <v>-2</v>
      </c>
      <c r="AC21" s="10" t="s">
        <v>4880</v>
      </c>
      <c r="AD21" s="10"/>
      <c r="AE21" s="21"/>
      <c r="AF21" s="10"/>
      <c r="AG21" s="10"/>
      <c r="AH21" s="21"/>
      <c r="AI21" s="21"/>
      <c r="AJ21" s="10"/>
      <c r="AK21" s="10"/>
      <c r="AL21" s="17"/>
      <c r="AM21" s="11"/>
      <c r="AN21" s="11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1"/>
      <c r="BF21" s="473" t="s">
        <v>2149</v>
      </c>
    </row>
    <row r="22" spans="1:58" s="381" customFormat="1" ht="42" customHeight="1" x14ac:dyDescent="0.25">
      <c r="A22" s="367">
        <v>730007</v>
      </c>
      <c r="B22" s="12" t="s">
        <v>5</v>
      </c>
      <c r="C22" s="56" t="s">
        <v>208</v>
      </c>
      <c r="D22" s="12" t="s">
        <v>2385</v>
      </c>
      <c r="E22" s="12" t="s">
        <v>2386</v>
      </c>
      <c r="F22" s="16" t="s">
        <v>2387</v>
      </c>
      <c r="G22" s="10" t="s">
        <v>15</v>
      </c>
      <c r="H22" s="10" t="s">
        <v>95</v>
      </c>
      <c r="I22" s="16" t="s">
        <v>18</v>
      </c>
      <c r="J22" s="14">
        <v>45697</v>
      </c>
      <c r="K22" s="13" t="s">
        <v>2389</v>
      </c>
      <c r="L22" s="14">
        <f t="shared" si="4"/>
        <v>45704</v>
      </c>
      <c r="M22" s="14">
        <v>45699</v>
      </c>
      <c r="N22" s="92">
        <f t="shared" si="5"/>
        <v>-5</v>
      </c>
      <c r="O22" s="10" t="s">
        <v>2401</v>
      </c>
      <c r="P22" s="12" t="s">
        <v>5</v>
      </c>
      <c r="Q22" s="21">
        <v>45952</v>
      </c>
      <c r="R22" s="10" t="s">
        <v>4562</v>
      </c>
      <c r="S22" s="21">
        <f>Q22+7</f>
        <v>45959</v>
      </c>
      <c r="T22" s="21">
        <v>45956</v>
      </c>
      <c r="U22" s="95">
        <f>S22-T22</f>
        <v>3</v>
      </c>
      <c r="V22" s="10" t="s">
        <v>4574</v>
      </c>
      <c r="W22" s="10"/>
      <c r="X22" s="21"/>
      <c r="Y22" s="10"/>
      <c r="Z22" s="10"/>
      <c r="AA22" s="21"/>
      <c r="AB22" s="21"/>
      <c r="AC22" s="10"/>
      <c r="AD22" s="10"/>
      <c r="AE22" s="21"/>
      <c r="AF22" s="10"/>
      <c r="AG22" s="10"/>
      <c r="AH22" s="21"/>
      <c r="AI22" s="21"/>
      <c r="AJ22" s="10"/>
      <c r="AK22" s="10"/>
      <c r="AL22" s="17"/>
      <c r="AM22" s="11"/>
      <c r="AN22" s="11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1"/>
      <c r="BF22" s="473" t="s">
        <v>2388</v>
      </c>
    </row>
    <row r="23" spans="1:58" s="381" customFormat="1" ht="42" customHeight="1" x14ac:dyDescent="0.25">
      <c r="A23" s="367">
        <v>730007</v>
      </c>
      <c r="B23" s="11" t="s">
        <v>5</v>
      </c>
      <c r="C23" s="56" t="s">
        <v>208</v>
      </c>
      <c r="D23" s="12" t="s">
        <v>2413</v>
      </c>
      <c r="E23" s="12" t="s">
        <v>2414</v>
      </c>
      <c r="F23" s="16" t="s">
        <v>2416</v>
      </c>
      <c r="G23" s="10" t="s">
        <v>15</v>
      </c>
      <c r="H23" s="10" t="s">
        <v>95</v>
      </c>
      <c r="I23" s="16" t="s">
        <v>18</v>
      </c>
      <c r="J23" s="14">
        <v>45699</v>
      </c>
      <c r="K23" s="13" t="s">
        <v>2417</v>
      </c>
      <c r="L23" s="14">
        <f t="shared" si="4"/>
        <v>45706</v>
      </c>
      <c r="M23" s="14">
        <v>45706</v>
      </c>
      <c r="N23" s="92">
        <f t="shared" si="5"/>
        <v>0</v>
      </c>
      <c r="O23" s="10" t="s">
        <v>2426</v>
      </c>
      <c r="P23" s="60" t="s">
        <v>5</v>
      </c>
      <c r="Q23" s="21">
        <v>45711</v>
      </c>
      <c r="R23" s="10" t="s">
        <v>2587</v>
      </c>
      <c r="S23" s="21">
        <f>Q23+7</f>
        <v>45718</v>
      </c>
      <c r="T23" s="21">
        <v>45718</v>
      </c>
      <c r="U23" s="95">
        <f>T23-S23</f>
        <v>0</v>
      </c>
      <c r="V23" s="10" t="s">
        <v>2598</v>
      </c>
      <c r="W23" s="10"/>
      <c r="X23" s="21"/>
      <c r="Y23" s="10"/>
      <c r="Z23" s="10"/>
      <c r="AA23" s="21"/>
      <c r="AB23" s="21"/>
      <c r="AC23" s="10"/>
      <c r="AD23" s="10"/>
      <c r="AE23" s="21"/>
      <c r="AF23" s="10"/>
      <c r="AG23" s="10"/>
      <c r="AH23" s="21"/>
      <c r="AI23" s="21"/>
      <c r="AJ23" s="10"/>
      <c r="AK23" s="10"/>
      <c r="AL23" s="17"/>
      <c r="AM23" s="11"/>
      <c r="AN23" s="11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1"/>
      <c r="BF23" s="473" t="s">
        <v>2415</v>
      </c>
    </row>
    <row r="24" spans="1:58" s="381" customFormat="1" ht="42" customHeight="1" x14ac:dyDescent="0.25">
      <c r="A24" s="367">
        <v>730007</v>
      </c>
      <c r="B24" s="13" t="s">
        <v>5</v>
      </c>
      <c r="C24" s="56" t="s">
        <v>588</v>
      </c>
      <c r="D24" s="12" t="s">
        <v>2468</v>
      </c>
      <c r="E24" s="12" t="s">
        <v>2469</v>
      </c>
      <c r="F24" s="16" t="s">
        <v>2470</v>
      </c>
      <c r="G24" s="10" t="s">
        <v>15</v>
      </c>
      <c r="H24" s="10" t="s">
        <v>95</v>
      </c>
      <c r="I24" s="16" t="s">
        <v>18</v>
      </c>
      <c r="J24" s="14">
        <v>45704</v>
      </c>
      <c r="K24" s="13" t="s">
        <v>2471</v>
      </c>
      <c r="L24" s="14">
        <f t="shared" si="4"/>
        <v>45711</v>
      </c>
      <c r="M24" s="14">
        <v>45705</v>
      </c>
      <c r="N24" s="92">
        <f t="shared" si="5"/>
        <v>-6</v>
      </c>
      <c r="O24" s="10" t="s">
        <v>2494</v>
      </c>
      <c r="P24" s="60" t="s">
        <v>14</v>
      </c>
      <c r="Q24" s="21">
        <v>45952</v>
      </c>
      <c r="R24" s="10" t="s">
        <v>4563</v>
      </c>
      <c r="S24" s="21">
        <f>Q24+7</f>
        <v>45959</v>
      </c>
      <c r="T24" s="21">
        <v>45965</v>
      </c>
      <c r="U24" s="95">
        <f>S24-T24</f>
        <v>-6</v>
      </c>
      <c r="V24" s="10" t="s">
        <v>4575</v>
      </c>
      <c r="W24" s="60" t="s">
        <v>5</v>
      </c>
      <c r="X24" s="21">
        <v>45965</v>
      </c>
      <c r="Y24" s="10" t="s">
        <v>4736</v>
      </c>
      <c r="Z24" s="21">
        <f>X24+7</f>
        <v>45972</v>
      </c>
      <c r="AA24" s="21">
        <v>45974</v>
      </c>
      <c r="AB24" s="95">
        <f>Z24-AA24</f>
        <v>-2</v>
      </c>
      <c r="AC24" s="10" t="s">
        <v>4881</v>
      </c>
      <c r="AD24" s="10"/>
      <c r="AE24" s="21"/>
      <c r="AF24" s="10"/>
      <c r="AG24" s="10"/>
      <c r="AH24" s="21"/>
      <c r="AI24" s="21"/>
      <c r="AJ24" s="10"/>
      <c r="AK24" s="10"/>
      <c r="AL24" s="17"/>
      <c r="AM24" s="11"/>
      <c r="AN24" s="11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1"/>
      <c r="BF24" s="473" t="s">
        <v>2149</v>
      </c>
    </row>
    <row r="25" spans="1:58" s="381" customFormat="1" ht="42" customHeight="1" x14ac:dyDescent="0.25">
      <c r="A25" s="367">
        <v>730007</v>
      </c>
      <c r="B25" s="56" t="s">
        <v>5</v>
      </c>
      <c r="C25" s="56" t="s">
        <v>54</v>
      </c>
      <c r="D25" s="12" t="s">
        <v>2475</v>
      </c>
      <c r="E25" s="12" t="s">
        <v>2476</v>
      </c>
      <c r="F25" s="16" t="s">
        <v>2477</v>
      </c>
      <c r="G25" s="10" t="s">
        <v>15</v>
      </c>
      <c r="H25" s="10" t="s">
        <v>95</v>
      </c>
      <c r="I25" s="60" t="s">
        <v>5</v>
      </c>
      <c r="J25" s="14">
        <v>45704</v>
      </c>
      <c r="K25" s="13" t="s">
        <v>2478</v>
      </c>
      <c r="L25" s="14">
        <f>J25+7</f>
        <v>45711</v>
      </c>
      <c r="M25" s="14">
        <v>45706</v>
      </c>
      <c r="N25" s="92">
        <f t="shared" si="5"/>
        <v>-5</v>
      </c>
      <c r="O25" s="10" t="s">
        <v>2495</v>
      </c>
      <c r="P25" s="10"/>
      <c r="Q25" s="21"/>
      <c r="R25" s="10"/>
      <c r="S25" s="10"/>
      <c r="T25" s="21"/>
      <c r="U25" s="95"/>
      <c r="V25" s="10"/>
      <c r="W25" s="10"/>
      <c r="X25" s="21"/>
      <c r="Y25" s="10"/>
      <c r="Z25" s="10"/>
      <c r="AA25" s="21"/>
      <c r="AB25" s="21"/>
      <c r="AC25" s="10"/>
      <c r="AD25" s="10"/>
      <c r="AE25" s="21"/>
      <c r="AF25" s="10"/>
      <c r="AG25" s="10"/>
      <c r="AH25" s="21"/>
      <c r="AI25" s="21"/>
      <c r="AJ25" s="10"/>
      <c r="AK25" s="10"/>
      <c r="AL25" s="17"/>
      <c r="AM25" s="11"/>
      <c r="AN25" s="11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1"/>
      <c r="BF25" s="473" t="s">
        <v>2149</v>
      </c>
    </row>
    <row r="26" spans="1:58" s="381" customFormat="1" ht="42" customHeight="1" x14ac:dyDescent="0.25">
      <c r="A26" s="367">
        <v>730007</v>
      </c>
      <c r="B26" s="11" t="s">
        <v>5</v>
      </c>
      <c r="C26" s="56" t="s">
        <v>208</v>
      </c>
      <c r="D26" s="12" t="s">
        <v>3070</v>
      </c>
      <c r="E26" s="12" t="s">
        <v>3071</v>
      </c>
      <c r="F26" s="16" t="s">
        <v>3072</v>
      </c>
      <c r="G26" s="10" t="s">
        <v>15</v>
      </c>
      <c r="H26" s="10" t="s">
        <v>95</v>
      </c>
      <c r="I26" s="16" t="s">
        <v>18</v>
      </c>
      <c r="J26" s="14">
        <v>45773</v>
      </c>
      <c r="K26" s="13" t="s">
        <v>3073</v>
      </c>
      <c r="L26" s="14">
        <f t="shared" ref="L26:L31" si="6">J26+7</f>
        <v>45780</v>
      </c>
      <c r="M26" s="14">
        <v>45778</v>
      </c>
      <c r="N26" s="92">
        <f t="shared" si="5"/>
        <v>-2</v>
      </c>
      <c r="O26" s="10" t="s">
        <v>3099</v>
      </c>
      <c r="P26" s="10" t="s">
        <v>5</v>
      </c>
      <c r="Q26" s="21">
        <v>45955</v>
      </c>
      <c r="R26" s="10" t="s">
        <v>4582</v>
      </c>
      <c r="S26" s="14">
        <f t="shared" ref="S26:S34" si="7">Q26+7</f>
        <v>45962</v>
      </c>
      <c r="T26" s="21">
        <v>45965</v>
      </c>
      <c r="U26" s="95">
        <f t="shared" ref="U26:U34" si="8">T26-S26</f>
        <v>3</v>
      </c>
      <c r="V26" s="10" t="s">
        <v>4592</v>
      </c>
      <c r="W26" s="10"/>
      <c r="X26" s="21"/>
      <c r="Y26" s="10"/>
      <c r="Z26" s="10"/>
      <c r="AA26" s="21"/>
      <c r="AB26" s="21"/>
      <c r="AC26" s="10"/>
      <c r="AD26" s="10"/>
      <c r="AE26" s="21"/>
      <c r="AF26" s="10"/>
      <c r="AG26" s="10"/>
      <c r="AH26" s="21"/>
      <c r="AI26" s="21"/>
      <c r="AJ26" s="10"/>
      <c r="AK26" s="10"/>
      <c r="AL26" s="17"/>
      <c r="AM26" s="11"/>
      <c r="AN26" s="11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1"/>
      <c r="BF26" s="473" t="s">
        <v>2149</v>
      </c>
    </row>
    <row r="27" spans="1:58" s="381" customFormat="1" ht="42" customHeight="1" x14ac:dyDescent="0.25">
      <c r="A27" s="367">
        <v>730007</v>
      </c>
      <c r="B27" s="11" t="s">
        <v>5</v>
      </c>
      <c r="C27" s="56" t="s">
        <v>208</v>
      </c>
      <c r="D27" s="12" t="s">
        <v>3626</v>
      </c>
      <c r="E27" s="12" t="s">
        <v>3627</v>
      </c>
      <c r="F27" s="16" t="s">
        <v>3628</v>
      </c>
      <c r="G27" s="10" t="s">
        <v>15</v>
      </c>
      <c r="H27" s="10" t="s">
        <v>95</v>
      </c>
      <c r="I27" s="16" t="s">
        <v>18</v>
      </c>
      <c r="J27" s="14">
        <v>45848</v>
      </c>
      <c r="K27" s="150" t="s">
        <v>3629</v>
      </c>
      <c r="L27" s="14">
        <f t="shared" si="6"/>
        <v>45855</v>
      </c>
      <c r="M27" s="14">
        <v>45854</v>
      </c>
      <c r="N27" s="92">
        <f t="shared" si="5"/>
        <v>-1</v>
      </c>
      <c r="O27" s="10" t="s">
        <v>3631</v>
      </c>
      <c r="P27" s="10" t="s">
        <v>5</v>
      </c>
      <c r="Q27" s="21">
        <v>45955</v>
      </c>
      <c r="R27" s="10" t="s">
        <v>4581</v>
      </c>
      <c r="S27" s="14">
        <f t="shared" si="7"/>
        <v>45962</v>
      </c>
      <c r="T27" s="21">
        <v>45965</v>
      </c>
      <c r="U27" s="95">
        <f t="shared" si="8"/>
        <v>3</v>
      </c>
      <c r="V27" s="10" t="s">
        <v>4593</v>
      </c>
      <c r="W27" s="10"/>
      <c r="X27" s="21"/>
      <c r="Y27" s="10"/>
      <c r="Z27" s="10"/>
      <c r="AA27" s="21"/>
      <c r="AB27" s="21"/>
      <c r="AC27" s="10"/>
      <c r="AD27" s="10"/>
      <c r="AE27" s="21"/>
      <c r="AF27" s="10"/>
      <c r="AG27" s="10"/>
      <c r="AH27" s="21"/>
      <c r="AI27" s="21"/>
      <c r="AJ27" s="10"/>
      <c r="AK27" s="10"/>
      <c r="AL27" s="17"/>
      <c r="AM27" s="11"/>
      <c r="AN27" s="11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1"/>
      <c r="BF27" s="473"/>
    </row>
    <row r="28" spans="1:58" s="381" customFormat="1" ht="42" customHeight="1" x14ac:dyDescent="0.25">
      <c r="A28" s="367">
        <v>730007</v>
      </c>
      <c r="B28" s="12" t="s">
        <v>5</v>
      </c>
      <c r="C28" s="56" t="s">
        <v>588</v>
      </c>
      <c r="D28" s="12" t="s">
        <v>4171</v>
      </c>
      <c r="E28" s="12" t="s">
        <v>4170</v>
      </c>
      <c r="F28" s="16" t="s">
        <v>4227</v>
      </c>
      <c r="G28" s="10" t="s">
        <v>15</v>
      </c>
      <c r="H28" s="10" t="s">
        <v>95</v>
      </c>
      <c r="I28" s="16" t="s">
        <v>3</v>
      </c>
      <c r="J28" s="14">
        <v>45911</v>
      </c>
      <c r="K28" s="13" t="s">
        <v>4169</v>
      </c>
      <c r="L28" s="14">
        <f t="shared" si="6"/>
        <v>45918</v>
      </c>
      <c r="M28" s="14">
        <v>45917</v>
      </c>
      <c r="N28" s="92">
        <f t="shared" si="5"/>
        <v>-1</v>
      </c>
      <c r="O28" s="10" t="s">
        <v>4174</v>
      </c>
      <c r="P28" s="16" t="s">
        <v>18</v>
      </c>
      <c r="Q28" s="21">
        <v>45925</v>
      </c>
      <c r="R28" s="116" t="s">
        <v>4300</v>
      </c>
      <c r="S28" s="14">
        <f t="shared" si="7"/>
        <v>45932</v>
      </c>
      <c r="T28" s="21">
        <v>45929</v>
      </c>
      <c r="U28" s="95">
        <f t="shared" si="8"/>
        <v>-3</v>
      </c>
      <c r="V28" s="10" t="s">
        <v>4313</v>
      </c>
      <c r="W28" s="10" t="s">
        <v>5</v>
      </c>
      <c r="X28" s="21">
        <v>46058</v>
      </c>
      <c r="Y28" s="10" t="s">
        <v>5758</v>
      </c>
      <c r="Z28" s="21">
        <f>X28+7</f>
        <v>46065</v>
      </c>
      <c r="AA28" s="21">
        <v>46069</v>
      </c>
      <c r="AB28" s="95">
        <f>Z28-AA28</f>
        <v>-4</v>
      </c>
      <c r="AC28" s="10" t="s">
        <v>5772</v>
      </c>
      <c r="AD28" s="10"/>
      <c r="AE28" s="21"/>
      <c r="AF28" s="10"/>
      <c r="AG28" s="10"/>
      <c r="AH28" s="21"/>
      <c r="AI28" s="21"/>
      <c r="AJ28" s="10"/>
      <c r="AK28" s="10"/>
      <c r="AL28" s="17"/>
      <c r="AM28" s="11"/>
      <c r="AN28" s="11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1"/>
      <c r="BF28" s="473"/>
    </row>
    <row r="29" spans="1:58" s="381" customFormat="1" ht="42" customHeight="1" x14ac:dyDescent="0.25">
      <c r="A29" s="367">
        <v>730007</v>
      </c>
      <c r="B29" s="12" t="s">
        <v>5</v>
      </c>
      <c r="C29" s="56" t="s">
        <v>208</v>
      </c>
      <c r="D29" s="12" t="s">
        <v>5557</v>
      </c>
      <c r="E29" s="12" t="s">
        <v>5556</v>
      </c>
      <c r="F29" s="16" t="s">
        <v>5551</v>
      </c>
      <c r="G29" s="10" t="s">
        <v>15</v>
      </c>
      <c r="H29" s="10" t="s">
        <v>95</v>
      </c>
      <c r="I29" s="16" t="s">
        <v>18</v>
      </c>
      <c r="J29" s="14">
        <v>46035</v>
      </c>
      <c r="K29" s="13" t="s">
        <v>5558</v>
      </c>
      <c r="L29" s="14">
        <f t="shared" si="6"/>
        <v>46042</v>
      </c>
      <c r="M29" s="14">
        <v>46048</v>
      </c>
      <c r="N29" s="92">
        <f t="shared" ref="N29:N35" si="9">M29-L29</f>
        <v>6</v>
      </c>
      <c r="O29" s="10" t="s">
        <v>5566</v>
      </c>
      <c r="P29" s="10" t="s">
        <v>5</v>
      </c>
      <c r="Q29" s="21">
        <v>46054</v>
      </c>
      <c r="R29" s="10" t="s">
        <v>5713</v>
      </c>
      <c r="S29" s="14">
        <f t="shared" si="7"/>
        <v>46061</v>
      </c>
      <c r="T29" s="21">
        <v>46062</v>
      </c>
      <c r="U29" s="95">
        <f t="shared" si="8"/>
        <v>1</v>
      </c>
      <c r="V29" s="10" t="s">
        <v>5737</v>
      </c>
      <c r="W29" s="10"/>
      <c r="X29" s="21"/>
      <c r="Y29" s="10"/>
      <c r="Z29" s="10"/>
      <c r="AA29" s="21"/>
      <c r="AB29" s="21"/>
      <c r="AC29" s="10"/>
      <c r="AD29" s="10"/>
      <c r="AE29" s="21"/>
      <c r="AF29" s="10"/>
      <c r="AG29" s="10"/>
      <c r="AH29" s="21"/>
      <c r="AI29" s="21"/>
      <c r="AJ29" s="10"/>
      <c r="AK29" s="10"/>
      <c r="AL29" s="17"/>
      <c r="AM29" s="11"/>
      <c r="AN29" s="11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1"/>
      <c r="BF29" s="473"/>
    </row>
    <row r="30" spans="1:58" s="381" customFormat="1" ht="42" customHeight="1" x14ac:dyDescent="0.25">
      <c r="A30" s="367">
        <v>730007</v>
      </c>
      <c r="B30" s="10" t="s">
        <v>5</v>
      </c>
      <c r="C30" s="56" t="s">
        <v>208</v>
      </c>
      <c r="D30" s="12" t="s">
        <v>5869</v>
      </c>
      <c r="E30" s="12" t="s">
        <v>5871</v>
      </c>
      <c r="F30" s="16" t="s">
        <v>5870</v>
      </c>
      <c r="G30" s="10" t="s">
        <v>15</v>
      </c>
      <c r="H30" s="10" t="s">
        <v>95</v>
      </c>
      <c r="I30" s="16" t="s">
        <v>18</v>
      </c>
      <c r="J30" s="14">
        <v>46070</v>
      </c>
      <c r="K30" s="13" t="s">
        <v>5872</v>
      </c>
      <c r="L30" s="14">
        <f t="shared" si="6"/>
        <v>46077</v>
      </c>
      <c r="M30" s="14">
        <v>46083</v>
      </c>
      <c r="N30" s="92">
        <f t="shared" si="9"/>
        <v>6</v>
      </c>
      <c r="O30" s="10" t="s">
        <v>5877</v>
      </c>
      <c r="P30" s="10" t="s">
        <v>5</v>
      </c>
      <c r="Q30" s="21">
        <v>46113</v>
      </c>
      <c r="R30" s="10" t="s">
        <v>6212</v>
      </c>
      <c r="S30" s="14">
        <f t="shared" si="7"/>
        <v>46120</v>
      </c>
      <c r="T30" s="21">
        <v>46114</v>
      </c>
      <c r="U30" s="95">
        <f t="shared" si="8"/>
        <v>-6</v>
      </c>
      <c r="V30" s="10" t="s">
        <v>6215</v>
      </c>
      <c r="W30" s="10"/>
      <c r="X30" s="21"/>
      <c r="Y30" s="10"/>
      <c r="Z30" s="10"/>
      <c r="AA30" s="21"/>
      <c r="AB30" s="21"/>
      <c r="AC30" s="10"/>
      <c r="AD30" s="10"/>
      <c r="AE30" s="21"/>
      <c r="AF30" s="10"/>
      <c r="AG30" s="10"/>
      <c r="AH30" s="21"/>
      <c r="AI30" s="21"/>
      <c r="AJ30" s="10"/>
      <c r="AK30" s="10"/>
      <c r="AL30" s="17"/>
      <c r="AM30" s="11"/>
      <c r="AN30" s="11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1"/>
      <c r="BF30" s="473"/>
    </row>
    <row r="31" spans="1:58" s="381" customFormat="1" ht="42" customHeight="1" x14ac:dyDescent="0.25">
      <c r="A31" s="367">
        <v>730007</v>
      </c>
      <c r="B31" s="12" t="s">
        <v>5</v>
      </c>
      <c r="C31" s="13" t="s">
        <v>208</v>
      </c>
      <c r="D31" s="12" t="s">
        <v>5924</v>
      </c>
      <c r="E31" s="12" t="s">
        <v>5926</v>
      </c>
      <c r="F31" s="16" t="s">
        <v>5925</v>
      </c>
      <c r="G31" s="10" t="s">
        <v>15</v>
      </c>
      <c r="H31" s="10" t="s">
        <v>95</v>
      </c>
      <c r="I31" s="16" t="s">
        <v>18</v>
      </c>
      <c r="J31" s="14">
        <v>46083</v>
      </c>
      <c r="K31" s="13" t="s">
        <v>5927</v>
      </c>
      <c r="L31" s="13">
        <f t="shared" si="6"/>
        <v>46090</v>
      </c>
      <c r="M31" s="14">
        <v>46092</v>
      </c>
      <c r="N31" s="92">
        <f t="shared" si="9"/>
        <v>2</v>
      </c>
      <c r="O31" s="10" t="s">
        <v>5934</v>
      </c>
      <c r="P31" s="10" t="s">
        <v>5</v>
      </c>
      <c r="Q31" s="21">
        <v>46113</v>
      </c>
      <c r="R31" s="10" t="s">
        <v>6211</v>
      </c>
      <c r="S31" s="14">
        <f t="shared" si="7"/>
        <v>46120</v>
      </c>
      <c r="T31" s="21">
        <v>46114</v>
      </c>
      <c r="U31" s="95">
        <f t="shared" si="8"/>
        <v>-6</v>
      </c>
      <c r="V31" s="10" t="s">
        <v>6216</v>
      </c>
      <c r="W31" s="10"/>
      <c r="X31" s="21"/>
      <c r="Y31" s="10"/>
      <c r="Z31" s="10"/>
      <c r="AA31" s="21"/>
      <c r="AB31" s="21"/>
      <c r="AC31" s="10"/>
      <c r="AD31" s="10"/>
      <c r="AE31" s="21"/>
      <c r="AF31" s="10"/>
      <c r="AG31" s="10"/>
      <c r="AH31" s="21"/>
      <c r="AI31" s="21"/>
      <c r="AJ31" s="10"/>
      <c r="AK31" s="10"/>
      <c r="AL31" s="17"/>
      <c r="AM31" s="11"/>
      <c r="AN31" s="11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1"/>
      <c r="BF31" s="473"/>
    </row>
    <row r="32" spans="1:58" s="381" customFormat="1" ht="42" customHeight="1" x14ac:dyDescent="0.25">
      <c r="A32" s="367">
        <v>730007</v>
      </c>
      <c r="B32" s="12" t="s">
        <v>5</v>
      </c>
      <c r="C32" s="13" t="s">
        <v>588</v>
      </c>
      <c r="D32" s="12" t="s">
        <v>5969</v>
      </c>
      <c r="E32" s="12" t="s">
        <v>5970</v>
      </c>
      <c r="F32" s="16" t="s">
        <v>5972</v>
      </c>
      <c r="G32" s="10" t="s">
        <v>15</v>
      </c>
      <c r="H32" s="10" t="s">
        <v>95</v>
      </c>
      <c r="I32" s="16" t="s">
        <v>3</v>
      </c>
      <c r="J32" s="14">
        <v>46086</v>
      </c>
      <c r="K32" s="13" t="s">
        <v>5971</v>
      </c>
      <c r="L32" s="14">
        <f>J32+7</f>
        <v>46093</v>
      </c>
      <c r="M32" s="14">
        <v>46097</v>
      </c>
      <c r="N32" s="92">
        <f t="shared" si="9"/>
        <v>4</v>
      </c>
      <c r="O32" s="10" t="s">
        <v>5984</v>
      </c>
      <c r="P32" s="10" t="s">
        <v>13</v>
      </c>
      <c r="Q32" s="21">
        <v>46104</v>
      </c>
      <c r="R32" s="10" t="s">
        <v>6104</v>
      </c>
      <c r="S32" s="14">
        <f t="shared" si="7"/>
        <v>46111</v>
      </c>
      <c r="T32" s="21">
        <v>46112</v>
      </c>
      <c r="U32" s="95">
        <f t="shared" si="8"/>
        <v>1</v>
      </c>
      <c r="V32" s="10" t="s">
        <v>6114</v>
      </c>
      <c r="W32" s="10" t="s">
        <v>5</v>
      </c>
      <c r="X32" s="21">
        <v>46113</v>
      </c>
      <c r="Y32" s="10" t="s">
        <v>6200</v>
      </c>
      <c r="Z32" s="21">
        <f>X32+7</f>
        <v>46120</v>
      </c>
      <c r="AA32" s="21">
        <v>46120</v>
      </c>
      <c r="AB32" s="95">
        <f>Z32-AA32</f>
        <v>0</v>
      </c>
      <c r="AC32" s="10" t="s">
        <v>6217</v>
      </c>
      <c r="AD32" s="10"/>
      <c r="AE32" s="21"/>
      <c r="AF32" s="10"/>
      <c r="AG32" s="10"/>
      <c r="AH32" s="21"/>
      <c r="AI32" s="21"/>
      <c r="AJ32" s="10"/>
      <c r="AK32" s="10"/>
      <c r="AL32" s="17"/>
      <c r="AM32" s="11"/>
      <c r="AN32" s="11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1"/>
      <c r="BF32" s="473"/>
    </row>
    <row r="33" spans="1:58" s="381" customFormat="1" ht="42" customHeight="1" x14ac:dyDescent="0.25">
      <c r="A33" s="367">
        <v>730007</v>
      </c>
      <c r="B33" s="16" t="s">
        <v>5</v>
      </c>
      <c r="C33" s="56" t="s">
        <v>208</v>
      </c>
      <c r="D33" s="12" t="s">
        <v>6528</v>
      </c>
      <c r="E33" s="12" t="s">
        <v>6530</v>
      </c>
      <c r="F33" s="16" t="s">
        <v>6529</v>
      </c>
      <c r="G33" s="10" t="s">
        <v>15</v>
      </c>
      <c r="H33" s="10" t="s">
        <v>95</v>
      </c>
      <c r="I33" s="16" t="s">
        <v>18</v>
      </c>
      <c r="J33" s="14">
        <v>46137</v>
      </c>
      <c r="K33" s="13" t="s">
        <v>6531</v>
      </c>
      <c r="L33" s="14">
        <f>J33+7</f>
        <v>46144</v>
      </c>
      <c r="M33" s="14">
        <v>46148</v>
      </c>
      <c r="N33" s="92">
        <f t="shared" si="9"/>
        <v>4</v>
      </c>
      <c r="O33" s="10" t="s">
        <v>6540</v>
      </c>
      <c r="P33" s="16" t="s">
        <v>5</v>
      </c>
      <c r="Q33" s="21">
        <v>46159</v>
      </c>
      <c r="R33" s="10" t="s">
        <v>6836</v>
      </c>
      <c r="S33" s="14">
        <f t="shared" si="7"/>
        <v>46166</v>
      </c>
      <c r="T33" s="21">
        <v>46174</v>
      </c>
      <c r="U33" s="95">
        <f t="shared" si="8"/>
        <v>8</v>
      </c>
      <c r="V33" s="10" t="s">
        <v>6849</v>
      </c>
      <c r="W33" s="10"/>
      <c r="X33" s="21"/>
      <c r="Y33" s="10"/>
      <c r="Z33" s="10"/>
      <c r="AA33" s="21"/>
      <c r="AB33" s="21"/>
      <c r="AC33" s="10"/>
      <c r="AD33" s="10"/>
      <c r="AE33" s="21"/>
      <c r="AF33" s="10"/>
      <c r="AG33" s="10"/>
      <c r="AH33" s="21"/>
      <c r="AI33" s="21"/>
      <c r="AJ33" s="10"/>
      <c r="AK33" s="10"/>
      <c r="AL33" s="17"/>
      <c r="AM33" s="11"/>
      <c r="AN33" s="11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1"/>
      <c r="BF33" s="473"/>
    </row>
    <row r="34" spans="1:58" s="381" customFormat="1" ht="42" customHeight="1" x14ac:dyDescent="0.25">
      <c r="A34" s="367">
        <v>730007</v>
      </c>
      <c r="B34" s="16" t="s">
        <v>5</v>
      </c>
      <c r="C34" s="56" t="s">
        <v>208</v>
      </c>
      <c r="D34" s="12" t="s">
        <v>7078</v>
      </c>
      <c r="E34" s="12" t="s">
        <v>7080</v>
      </c>
      <c r="F34" s="16" t="s">
        <v>7079</v>
      </c>
      <c r="G34" s="10" t="s">
        <v>15</v>
      </c>
      <c r="H34" s="10" t="s">
        <v>95</v>
      </c>
      <c r="I34" s="16" t="s">
        <v>18</v>
      </c>
      <c r="J34" s="14">
        <v>46197</v>
      </c>
      <c r="K34" s="13" t="s">
        <v>7081</v>
      </c>
      <c r="L34" s="14">
        <f>J34+7</f>
        <v>46204</v>
      </c>
      <c r="M34" s="14">
        <v>46196</v>
      </c>
      <c r="N34" s="92">
        <f t="shared" si="9"/>
        <v>-8</v>
      </c>
      <c r="O34" s="10" t="s">
        <v>7087</v>
      </c>
      <c r="P34" s="10" t="s">
        <v>5</v>
      </c>
      <c r="Q34" s="21">
        <v>46216</v>
      </c>
      <c r="R34" s="10" t="s">
        <v>7269</v>
      </c>
      <c r="S34" s="14">
        <f t="shared" si="7"/>
        <v>46223</v>
      </c>
      <c r="T34" s="21">
        <v>46222</v>
      </c>
      <c r="U34" s="95">
        <f t="shared" si="8"/>
        <v>-1</v>
      </c>
      <c r="V34" s="10" t="s">
        <v>7282</v>
      </c>
      <c r="W34" s="10"/>
      <c r="X34" s="21"/>
      <c r="Y34" s="10"/>
      <c r="Z34" s="10"/>
      <c r="AA34" s="21"/>
      <c r="AB34" s="21"/>
      <c r="AC34" s="10"/>
      <c r="AD34" s="10"/>
      <c r="AE34" s="21"/>
      <c r="AF34" s="10"/>
      <c r="AG34" s="10"/>
      <c r="AH34" s="21"/>
      <c r="AI34" s="21"/>
      <c r="AJ34" s="10"/>
      <c r="AK34" s="10"/>
      <c r="AL34" s="17"/>
      <c r="AM34" s="11"/>
      <c r="AN34" s="11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1"/>
      <c r="BF34" s="473"/>
    </row>
    <row r="35" spans="1:58" s="381" customFormat="1" ht="42" customHeight="1" x14ac:dyDescent="0.25">
      <c r="A35" s="367">
        <v>730007</v>
      </c>
      <c r="B35" s="16" t="s">
        <v>4</v>
      </c>
      <c r="C35" s="56" t="s">
        <v>54</v>
      </c>
      <c r="D35" s="12" t="s">
        <v>7362</v>
      </c>
      <c r="E35" s="12" t="s">
        <v>7363</v>
      </c>
      <c r="F35" s="16" t="s">
        <v>7364</v>
      </c>
      <c r="G35" s="10" t="s">
        <v>15</v>
      </c>
      <c r="H35" s="10" t="s">
        <v>95</v>
      </c>
      <c r="I35" s="16" t="s">
        <v>4</v>
      </c>
      <c r="J35" s="14">
        <v>46232</v>
      </c>
      <c r="K35" s="13" t="s">
        <v>7365</v>
      </c>
      <c r="L35" s="14"/>
      <c r="M35" s="14"/>
      <c r="N35" s="92">
        <f t="shared" si="9"/>
        <v>0</v>
      </c>
      <c r="O35" s="10" t="s">
        <v>7381</v>
      </c>
      <c r="P35" s="10"/>
      <c r="Q35" s="21"/>
      <c r="R35" s="10"/>
      <c r="S35" s="14"/>
      <c r="T35" s="21"/>
      <c r="U35" s="95"/>
      <c r="V35" s="10"/>
      <c r="W35" s="10"/>
      <c r="X35" s="21"/>
      <c r="Y35" s="10"/>
      <c r="Z35" s="10"/>
      <c r="AA35" s="21"/>
      <c r="AB35" s="21"/>
      <c r="AC35" s="10"/>
      <c r="AD35" s="10"/>
      <c r="AE35" s="21"/>
      <c r="AF35" s="10"/>
      <c r="AG35" s="10"/>
      <c r="AH35" s="21"/>
      <c r="AI35" s="21"/>
      <c r="AJ35" s="10"/>
      <c r="AK35" s="10"/>
      <c r="AL35" s="17"/>
      <c r="AM35" s="11"/>
      <c r="AN35" s="11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1"/>
      <c r="BF35" s="473"/>
    </row>
    <row r="36" spans="1:58" s="381" customFormat="1" ht="42" customHeight="1" thickBot="1" x14ac:dyDescent="0.3">
      <c r="A36" s="369"/>
      <c r="B36" s="262"/>
      <c r="C36" s="444"/>
      <c r="D36" s="370"/>
      <c r="E36" s="370"/>
      <c r="F36" s="262"/>
      <c r="G36" s="263"/>
      <c r="H36" s="263"/>
      <c r="I36" s="262"/>
      <c r="J36" s="474"/>
      <c r="K36" s="373"/>
      <c r="L36" s="474"/>
      <c r="M36" s="474"/>
      <c r="N36" s="425"/>
      <c r="O36" s="263"/>
      <c r="P36" s="263"/>
      <c r="Q36" s="374"/>
      <c r="R36" s="263"/>
      <c r="S36" s="474"/>
      <c r="T36" s="374"/>
      <c r="U36" s="375"/>
      <c r="V36" s="263"/>
      <c r="W36" s="263"/>
      <c r="X36" s="374"/>
      <c r="Y36" s="263"/>
      <c r="Z36" s="263"/>
      <c r="AA36" s="374"/>
      <c r="AB36" s="374"/>
      <c r="AC36" s="263"/>
      <c r="AD36" s="263"/>
      <c r="AE36" s="374"/>
      <c r="AF36" s="263"/>
      <c r="AG36" s="263"/>
      <c r="AH36" s="374"/>
      <c r="AI36" s="374"/>
      <c r="AJ36" s="263"/>
      <c r="AK36" s="263"/>
      <c r="AL36" s="376"/>
      <c r="AM36" s="371"/>
      <c r="AN36" s="371"/>
      <c r="AO36" s="376"/>
      <c r="AP36" s="376"/>
      <c r="AQ36" s="376"/>
      <c r="AR36" s="376"/>
      <c r="AS36" s="376"/>
      <c r="AT36" s="376"/>
      <c r="AU36" s="376"/>
      <c r="AV36" s="376"/>
      <c r="AW36" s="376"/>
      <c r="AX36" s="376"/>
      <c r="AY36" s="376"/>
      <c r="AZ36" s="376"/>
      <c r="BA36" s="376"/>
      <c r="BB36" s="376"/>
      <c r="BC36" s="376"/>
      <c r="BD36" s="376"/>
      <c r="BE36" s="371"/>
      <c r="BF36" s="475"/>
    </row>
  </sheetData>
  <autoFilter ref="A11:BF11" xr:uid="{00000000-0001-0000-0D00-000000000000}"/>
  <mergeCells count="18">
    <mergeCell ref="BF10:BF11"/>
    <mergeCell ref="AK10:AQ10"/>
    <mergeCell ref="H1:H2"/>
    <mergeCell ref="I1:I2"/>
    <mergeCell ref="AR10:AX10"/>
    <mergeCell ref="AY10:BE10"/>
    <mergeCell ref="H10:H11"/>
    <mergeCell ref="I10:O10"/>
    <mergeCell ref="P10:V10"/>
    <mergeCell ref="W10:AC10"/>
    <mergeCell ref="AD10:AJ10"/>
    <mergeCell ref="A10:A11"/>
    <mergeCell ref="G10:G11"/>
    <mergeCell ref="B10:B11"/>
    <mergeCell ref="C10:C11"/>
    <mergeCell ref="D10:D11"/>
    <mergeCell ref="E10:E11"/>
    <mergeCell ref="F10:F11"/>
  </mergeCells>
  <phoneticPr fontId="5" type="noConversion"/>
  <conditionalFormatting sqref="D11:BE11 B1:G2 V1:XFD9 B3:H4 B9:H9 B10:XFD10 A10:A11 B11 A12:XFD12 B13:XFD26 A13:A35 B27:J27 L27:XFD27 B28:XFD35 A36:XFD1048576">
    <cfRule type="cellIs" dxfId="4219" priority="60" operator="equal">
      <formula>"A - Work May Proceed"</formula>
    </cfRule>
    <cfRule type="cellIs" dxfId="4218" priority="59" operator="equal">
      <formula>"C - Revise and Resubmit - Do Not Proceed"</formula>
    </cfRule>
    <cfRule type="cellIs" dxfId="4217" priority="58" operator="equal">
      <formula>"B- Incorporate Comments - Proceed"</formula>
    </cfRule>
    <cfRule type="cellIs" dxfId="4216" priority="57" operator="equal">
      <formula>"D - Rejected"</formula>
    </cfRule>
    <cfRule type="cellIs" dxfId="4215" priority="56" operator="equal">
      <formula>"E - Review not Required - Proceed"</formula>
    </cfRule>
  </conditionalFormatting>
  <conditionalFormatting sqref="I11">
    <cfRule type="cellIs" dxfId="4214" priority="138" operator="between">
      <formula>"A - Work May Proceed"</formula>
      <formula>"A - Work May Proceed"</formula>
    </cfRule>
    <cfRule type="cellIs" dxfId="4213" priority="127" operator="equal">
      <formula>"B - Incorporate Comments - Proceed "</formula>
    </cfRule>
    <cfRule type="cellIs" dxfId="4212" priority="126" operator="equal">
      <formula>"For Information"</formula>
    </cfRule>
    <cfRule type="cellIs" dxfId="4211" priority="139" operator="between">
      <formula>"C - Revise and Resubmit - Do Not Proceed"</formula>
      <formula>"C - Revise and Resubmit - Do Not Proceed"</formula>
    </cfRule>
    <cfRule type="cellIs" dxfId="4210" priority="140" stopIfTrue="1" operator="between">
      <formula>"B - Incorporate Comments - Proceed "</formula>
      <formula>"B - Incorporate Comments - Proceed "</formula>
    </cfRule>
    <cfRule type="cellIs" dxfId="4209" priority="137" operator="between">
      <formula>"CANCELLED"</formula>
      <formula>"CANCELLED"</formula>
    </cfRule>
    <cfRule type="cellIs" dxfId="4208" priority="125" operator="equal">
      <formula>"B - Incorporate Comments - Proceed"</formula>
    </cfRule>
    <cfRule type="cellIs" dxfId="4207" priority="136" operator="between">
      <formula>"D - Rejected "</formula>
      <formula>"D - Rejected "</formula>
    </cfRule>
    <cfRule type="cellIs" dxfId="4206" priority="135" operator="between">
      <formula>"E - Review not Required - Proceed"</formula>
      <formula>"E - Review not Required - Proceed"</formula>
    </cfRule>
    <cfRule type="cellIs" dxfId="4205" priority="134" operator="between">
      <formula>"B - Incorporate Comments - Proceed"</formula>
      <formula>"B - Incorporate Comments - Proceed"</formula>
    </cfRule>
    <cfRule type="cellIs" dxfId="4204" priority="133" operator="between">
      <formula>"A - Work May Proceed"</formula>
      <formula>"A - Work May Proceed"</formula>
    </cfRule>
    <cfRule type="cellIs" dxfId="4203" priority="132" operator="between">
      <formula>"B - Incorporate Comments - Proceed"</formula>
      <formula>"B - Incorporate Comments - Proceed"</formula>
    </cfRule>
    <cfRule type="cellIs" dxfId="4202" priority="131" operator="between">
      <formula>"C - Revise and Resubmit - Do Not Proceed"</formula>
      <formula>"C - Revise and Resubmit - Do Not Proceed"</formula>
    </cfRule>
    <cfRule type="cellIs" dxfId="4201" priority="130" operator="between">
      <formula>"'D - Rejected "</formula>
      <formula>"'D - Rejected "</formula>
    </cfRule>
    <cfRule type="cellIs" dxfId="4200" priority="129" operator="between">
      <formula>"E - Review not Required - Proceed"</formula>
      <formula>"E - Review not Required - Proceed"</formula>
    </cfRule>
    <cfRule type="cellIs" dxfId="4199" priority="128" operator="equal">
      <formula>"E - Review Not Required - Proceed"</formula>
    </cfRule>
  </conditionalFormatting>
  <conditionalFormatting sqref="J5:J6 B5:I7 B8:J8">
    <cfRule type="cellIs" dxfId="4198" priority="7" operator="equal">
      <formula>"D - Rejected"</formula>
    </cfRule>
    <cfRule type="cellIs" dxfId="4197" priority="8" operator="equal">
      <formula>"B- Incorporate Comments - Proceed"</formula>
    </cfRule>
    <cfRule type="cellIs" dxfId="4196" priority="9" operator="equal">
      <formula>"C - Revise and Resubmit - Do Not Proceed"</formula>
    </cfRule>
    <cfRule type="cellIs" dxfId="4195" priority="10" stopIfTrue="1" operator="equal">
      <formula>"A - Work May Proceed"</formula>
    </cfRule>
    <cfRule type="cellIs" dxfId="4194" priority="6" operator="equal">
      <formula>"E - Review not Required - Proceed"</formula>
    </cfRule>
  </conditionalFormatting>
  <conditionalFormatting sqref="P11">
    <cfRule type="cellIs" dxfId="4193" priority="110" operator="equal">
      <formula>"For Information"</formula>
    </cfRule>
    <cfRule type="cellIs" dxfId="4192" priority="109" operator="equal">
      <formula>"B - Incorporate Comments - Proceed"</formula>
    </cfRule>
    <cfRule type="cellIs" dxfId="4191" priority="124" stopIfTrue="1" operator="between">
      <formula>"B - Incorporate Comments - Proceed "</formula>
      <formula>"B - Incorporate Comments - Proceed "</formula>
    </cfRule>
    <cfRule type="cellIs" dxfId="4190" priority="123" operator="between">
      <formula>"C - Revise and Resubmit - Do Not Proceed"</formula>
      <formula>"C - Revise and Resubmit - Do Not Proceed"</formula>
    </cfRule>
    <cfRule type="cellIs" dxfId="4189" priority="122" operator="between">
      <formula>"A - Work May Proceed"</formula>
      <formula>"A - Work May Proceed"</formula>
    </cfRule>
    <cfRule type="cellIs" dxfId="4188" priority="121" operator="between">
      <formula>"CANCELLED"</formula>
      <formula>"CANCELLED"</formula>
    </cfRule>
    <cfRule type="cellIs" dxfId="4187" priority="120" operator="between">
      <formula>"D - Rejected "</formula>
      <formula>"D - Rejected "</formula>
    </cfRule>
    <cfRule type="cellIs" dxfId="4186" priority="119" operator="between">
      <formula>"E - Review not Required - Proceed"</formula>
      <formula>"E - Review not Required - Proceed"</formula>
    </cfRule>
    <cfRule type="cellIs" dxfId="4185" priority="118" operator="between">
      <formula>"B - Incorporate Comments - Proceed"</formula>
      <formula>"B - Incorporate Comments - Proceed"</formula>
    </cfRule>
    <cfRule type="cellIs" dxfId="4184" priority="117" operator="between">
      <formula>"A - Work May Proceed"</formula>
      <formula>"A - Work May Proceed"</formula>
    </cfRule>
    <cfRule type="cellIs" dxfId="4183" priority="116" operator="between">
      <formula>"B - Incorporate Comments - Proceed"</formula>
      <formula>"B - Incorporate Comments - Proceed"</formula>
    </cfRule>
    <cfRule type="cellIs" dxfId="4182" priority="115" operator="between">
      <formula>"C - Revise and Resubmit - Do Not Proceed"</formula>
      <formula>"C - Revise and Resubmit - Do Not Proceed"</formula>
    </cfRule>
    <cfRule type="cellIs" dxfId="4181" priority="114" operator="between">
      <formula>"'D - Rejected "</formula>
      <formula>"'D - Rejected "</formula>
    </cfRule>
    <cfRule type="cellIs" dxfId="4180" priority="113" operator="between">
      <formula>"E - Review not Required - Proceed"</formula>
      <formula>"E - Review not Required - Proceed"</formula>
    </cfRule>
    <cfRule type="cellIs" dxfId="4179" priority="112" operator="equal">
      <formula>"E - Review Not Required - Proceed"</formula>
    </cfRule>
    <cfRule type="cellIs" dxfId="4178" priority="111" operator="equal">
      <formula>"B - Incorporate Comments - Proceed "</formula>
    </cfRule>
  </conditionalFormatting>
  <conditionalFormatting sqref="W11">
    <cfRule type="cellIs" dxfId="4177" priority="99" operator="between">
      <formula>"C - Revise and Resubmit - Do Not Proceed"</formula>
      <formula>"C - Revise and Resubmit - Do Not Proceed"</formula>
    </cfRule>
    <cfRule type="cellIs" dxfId="4176" priority="98" operator="between">
      <formula>"'D - Rejected "</formula>
      <formula>"'D - Rejected "</formula>
    </cfRule>
    <cfRule type="cellIs" dxfId="4175" priority="97" operator="between">
      <formula>"E - Review not Required - Proceed"</formula>
      <formula>"E - Review not Required - Proceed"</formula>
    </cfRule>
    <cfRule type="cellIs" dxfId="4174" priority="108" stopIfTrue="1" operator="between">
      <formula>"B - Incorporate Comments - Proceed "</formula>
      <formula>"B - Incorporate Comments - Proceed "</formula>
    </cfRule>
    <cfRule type="cellIs" dxfId="4173" priority="93" operator="equal">
      <formula>"B - Incorporate Comments - Proceed"</formula>
    </cfRule>
    <cfRule type="cellIs" dxfId="4172" priority="94" operator="equal">
      <formula>"For Information"</formula>
    </cfRule>
    <cfRule type="cellIs" dxfId="4171" priority="95" operator="equal">
      <formula>"B - Incorporate Comments - Proceed "</formula>
    </cfRule>
    <cfRule type="cellIs" dxfId="4170" priority="96" operator="equal">
      <formula>"E - Review Not Required - Proceed"</formula>
    </cfRule>
    <cfRule type="cellIs" dxfId="4169" priority="107" operator="between">
      <formula>"C - Revise and Resubmit - Do Not Proceed"</formula>
      <formula>"C - Revise and Resubmit - Do Not Proceed"</formula>
    </cfRule>
    <cfRule type="cellIs" dxfId="4168" priority="106" operator="between">
      <formula>"A - Work May Proceed"</formula>
      <formula>"A - Work May Proceed"</formula>
    </cfRule>
    <cfRule type="cellIs" dxfId="4167" priority="105" operator="between">
      <formula>"CANCELLED"</formula>
      <formula>"CANCELLED"</formula>
    </cfRule>
    <cfRule type="cellIs" dxfId="4166" priority="104" operator="between">
      <formula>"D - Rejected "</formula>
      <formula>"D - Rejected "</formula>
    </cfRule>
    <cfRule type="cellIs" dxfId="4165" priority="103" operator="between">
      <formula>"E - Review not Required - Proceed"</formula>
      <formula>"E - Review not Required - Proceed"</formula>
    </cfRule>
    <cfRule type="cellIs" dxfId="4164" priority="102" operator="between">
      <formula>"B - Incorporate Comments - Proceed"</formula>
      <formula>"B - Incorporate Comments - Proceed"</formula>
    </cfRule>
    <cfRule type="cellIs" dxfId="4163" priority="101" operator="between">
      <formula>"A - Work May Proceed"</formula>
      <formula>"A - Work May Proceed"</formula>
    </cfRule>
    <cfRule type="cellIs" dxfId="4162" priority="100" operator="between">
      <formula>"B - Incorporate Comments - Proceed"</formula>
      <formula>"B - Incorporate Comments - Proceed"</formula>
    </cfRule>
  </conditionalFormatting>
  <conditionalFormatting sqref="AD11">
    <cfRule type="cellIs" dxfId="4161" priority="85" operator="between">
      <formula>"A - Work May Proceed"</formula>
      <formula>"A - Work May Proceed"</formula>
    </cfRule>
    <cfRule type="cellIs" dxfId="4160" priority="86" operator="between">
      <formula>"B - Incorporate Comments - Proceed"</formula>
      <formula>"B - Incorporate Comments - Proceed"</formula>
    </cfRule>
    <cfRule type="cellIs" dxfId="4159" priority="87" operator="between">
      <formula>"E - Review not Required - Proceed"</formula>
      <formula>"E - Review not Required - Proceed"</formula>
    </cfRule>
    <cfRule type="cellIs" dxfId="4158" priority="88" operator="between">
      <formula>"D - Rejected "</formula>
      <formula>"D - Rejected "</formula>
    </cfRule>
    <cfRule type="cellIs" dxfId="4157" priority="89" operator="between">
      <formula>"CANCELLED"</formula>
      <formula>"CANCELLED"</formula>
    </cfRule>
    <cfRule type="cellIs" dxfId="4156" priority="90" operator="between">
      <formula>"A - Work May Proceed"</formula>
      <formula>"A - Work May Proceed"</formula>
    </cfRule>
    <cfRule type="cellIs" dxfId="4155" priority="91" operator="between">
      <formula>"C - Revise and Resubmit - Do Not Proceed"</formula>
      <formula>"C - Revise and Resubmit - Do Not Proceed"</formula>
    </cfRule>
    <cfRule type="cellIs" dxfId="4154" priority="92" stopIfTrue="1" operator="between">
      <formula>"B - Incorporate Comments - Proceed "</formula>
      <formula>"B - Incorporate Comments - Proceed "</formula>
    </cfRule>
    <cfRule type="cellIs" dxfId="4153" priority="77" operator="equal">
      <formula>"B - Incorporate Comments - Proceed"</formula>
    </cfRule>
    <cfRule type="cellIs" dxfId="4152" priority="78" operator="equal">
      <formula>"For Information"</formula>
    </cfRule>
    <cfRule type="cellIs" dxfId="4151" priority="79" operator="equal">
      <formula>"B - Incorporate Comments - Proceed "</formula>
    </cfRule>
    <cfRule type="cellIs" dxfId="4150" priority="80" operator="equal">
      <formula>"E - Review Not Required - Proceed"</formula>
    </cfRule>
    <cfRule type="cellIs" dxfId="4149" priority="81" operator="between">
      <formula>"E - Review not Required - Proceed"</formula>
      <formula>"E - Review not Required - Proceed"</formula>
    </cfRule>
    <cfRule type="cellIs" dxfId="4148" priority="82" operator="between">
      <formula>"'D - Rejected "</formula>
      <formula>"'D - Rejected "</formula>
    </cfRule>
    <cfRule type="cellIs" dxfId="4147" priority="83" operator="between">
      <formula>"C - Revise and Resubmit - Do Not Proceed"</formula>
      <formula>"C - Revise and Resubmit - Do Not Proceed"</formula>
    </cfRule>
    <cfRule type="cellIs" dxfId="4146" priority="84" operator="between">
      <formula>"B - Incorporate Comments - Proceed"</formula>
      <formula>"B - Incorporate Comments - Proceed"</formula>
    </cfRule>
  </conditionalFormatting>
  <conditionalFormatting sqref="AK11">
    <cfRule type="cellIs" dxfId="4145" priority="76" stopIfTrue="1" operator="between">
      <formula>"B - Incorporate Comments - Proceed "</formula>
      <formula>"B - Incorporate Comments - Proceed "</formula>
    </cfRule>
    <cfRule type="cellIs" dxfId="4144" priority="67" operator="between">
      <formula>"C - Revise and Resubmit - Do Not Proceed"</formula>
      <formula>"C - Revise and Resubmit - Do Not Proceed"</formula>
    </cfRule>
    <cfRule type="cellIs" dxfId="4143" priority="66" operator="between">
      <formula>"'D - Rejected "</formula>
      <formula>"'D - Rejected "</formula>
    </cfRule>
    <cfRule type="cellIs" dxfId="4142" priority="65" operator="between">
      <formula>"E - Review not Required - Proceed"</formula>
      <formula>"E - Review not Required - Proceed"</formula>
    </cfRule>
    <cfRule type="cellIs" dxfId="4141" priority="64" operator="equal">
      <formula>"E - Review Not Required - Proceed"</formula>
    </cfRule>
    <cfRule type="cellIs" dxfId="4140" priority="63" operator="equal">
      <formula>"B - Incorporate Comments - Proceed "</formula>
    </cfRule>
    <cfRule type="cellIs" dxfId="4139" priority="62" operator="equal">
      <formula>"For Information"</formula>
    </cfRule>
    <cfRule type="cellIs" dxfId="4138" priority="69" operator="between">
      <formula>"A - Work May Proceed"</formula>
      <formula>"A - Work May Proceed"</formula>
    </cfRule>
    <cfRule type="cellIs" dxfId="4137" priority="75" operator="between">
      <formula>"C - Revise and Resubmit - Do Not Proceed"</formula>
      <formula>"C - Revise and Resubmit - Do Not Proceed"</formula>
    </cfRule>
    <cfRule type="cellIs" dxfId="4136" priority="74" operator="between">
      <formula>"A - Work May Proceed"</formula>
      <formula>"A - Work May Proceed"</formula>
    </cfRule>
    <cfRule type="cellIs" dxfId="4135" priority="73" operator="between">
      <formula>"CANCELLED"</formula>
      <formula>"CANCELLED"</formula>
    </cfRule>
    <cfRule type="cellIs" dxfId="4134" priority="72" operator="between">
      <formula>"D - Rejected "</formula>
      <formula>"D - Rejected "</formula>
    </cfRule>
    <cfRule type="cellIs" dxfId="4133" priority="71" operator="between">
      <formula>"E - Review not Required - Proceed"</formula>
      <formula>"E - Review not Required - Proceed"</formula>
    </cfRule>
    <cfRule type="cellIs" dxfId="4132" priority="70" operator="between">
      <formula>"B - Incorporate Comments - Proceed"</formula>
      <formula>"B - Incorporate Comments - Proceed"</formula>
    </cfRule>
    <cfRule type="cellIs" dxfId="4131" priority="61" operator="equal">
      <formula>"B - Incorporate Comments - Proceed"</formula>
    </cfRule>
    <cfRule type="cellIs" dxfId="4130" priority="68" operator="between">
      <formula>"B - Incorporate Comments - Proceed"</formula>
      <formula>"B - Incorporate Comments - Proceed"</formula>
    </cfRule>
  </conditionalFormatting>
  <conditionalFormatting sqref="AR11">
    <cfRule type="cellIs" dxfId="4129" priority="17" operator="equal">
      <formula>"D - Rejected"</formula>
    </cfRule>
    <cfRule type="cellIs" dxfId="4128" priority="18" operator="equal">
      <formula>"B - Incorporate Comments - Proceed"</formula>
    </cfRule>
    <cfRule type="cellIs" dxfId="4127" priority="19" operator="equal">
      <formula>"C - Revise and Resubmit - Do Not Proceed"</formula>
    </cfRule>
    <cfRule type="cellIs" dxfId="4126" priority="20" operator="equal">
      <formula>"A - Work May Proceed"</formula>
    </cfRule>
    <cfRule type="cellIs" dxfId="4125" priority="21" operator="equal">
      <formula>"For Information"</formula>
    </cfRule>
    <cfRule type="cellIs" dxfId="4124" priority="22" operator="equal">
      <formula>"B - Incorporate Comments - Proceed "</formula>
    </cfRule>
    <cfRule type="cellIs" dxfId="4123" priority="16" operator="equal">
      <formula>"E - Review not Required - Proceed"</formula>
    </cfRule>
    <cfRule type="cellIs" dxfId="4122" priority="29" operator="between">
      <formula>"B - Incorporate Comments - Proceed"</formula>
      <formula>"B - Incorporate Comments - Proceed"</formula>
    </cfRule>
    <cfRule type="cellIs" dxfId="4121" priority="28" operator="between">
      <formula>"A - Work May Proceed"</formula>
      <formula>"A - Work May Proceed"</formula>
    </cfRule>
    <cfRule type="cellIs" dxfId="4120" priority="26" operator="between">
      <formula>"C - Revise and Resubmit - Do Not Proceed"</formula>
      <formula>"C - Revise and Resubmit - Do Not Proceed"</formula>
    </cfRule>
    <cfRule type="cellIs" dxfId="4119" priority="25" operator="between">
      <formula>"'D - Rejected "</formula>
      <formula>"'D - Rejected "</formula>
    </cfRule>
    <cfRule type="cellIs" dxfId="4118" priority="24" operator="between">
      <formula>"E - Review not Required - Proceed"</formula>
      <formula>"E - Review not Required - Proceed"</formula>
    </cfRule>
    <cfRule type="cellIs" dxfId="4117" priority="23" operator="equal">
      <formula>"E - Review Not Required - Proceed"</formula>
    </cfRule>
    <cfRule type="cellIs" dxfId="4116" priority="27" operator="between">
      <formula>"B - Incorporate Comments - Proceed"</formula>
      <formula>"B - Incorporate Comments - Proceed"</formula>
    </cfRule>
    <cfRule type="cellIs" dxfId="4115" priority="31" operator="between">
      <formula>"D - Rejected "</formula>
      <formula>"D - Rejected "</formula>
    </cfRule>
    <cfRule type="cellIs" dxfId="4114" priority="35" stopIfTrue="1" operator="between">
      <formula>"B - Incorporate Comments - Proceed "</formula>
      <formula>"B - Incorporate Comments - Proceed "</formula>
    </cfRule>
    <cfRule type="cellIs" dxfId="4113" priority="34" operator="between">
      <formula>"C - Revise and Resubmit - Do Not Proceed"</formula>
      <formula>"C - Revise and Resubmit - Do Not Proceed"</formula>
    </cfRule>
    <cfRule type="cellIs" dxfId="4112" priority="33" operator="between">
      <formula>"A - Work May Proceed"</formula>
      <formula>"A - Work May Proceed"</formula>
    </cfRule>
    <cfRule type="cellIs" dxfId="4111" priority="32" operator="between">
      <formula>"CANCELLED"</formula>
      <formula>"CANCELLED"</formula>
    </cfRule>
    <cfRule type="cellIs" dxfId="4110" priority="30" operator="between">
      <formula>"E - Review not Required - Proceed"</formula>
      <formula>"E - Review not Required - Proceed"</formula>
    </cfRule>
  </conditionalFormatting>
  <conditionalFormatting sqref="AY11">
    <cfRule type="cellIs" dxfId="4109" priority="55" stopIfTrue="1" operator="between">
      <formula>"B - Incorporate Comments - Proceed "</formula>
      <formula>"B - Incorporate Comments - Proceed "</formula>
    </cfRule>
    <cfRule type="cellIs" dxfId="4108" priority="54" operator="between">
      <formula>"C - Revise and Resubmit - Do Not Proceed"</formula>
      <formula>"C - Revise and Resubmit - Do Not Proceed"</formula>
    </cfRule>
    <cfRule type="cellIs" dxfId="4107" priority="53" operator="between">
      <formula>"A - Work May Proceed"</formula>
      <formula>"A - Work May Proceed"</formula>
    </cfRule>
    <cfRule type="cellIs" dxfId="4106" priority="52" operator="between">
      <formula>"CANCELLED"</formula>
      <formula>"CANCELLED"</formula>
    </cfRule>
    <cfRule type="cellIs" dxfId="4105" priority="51" operator="between">
      <formula>"D - Rejected "</formula>
      <formula>"D - Rejected "</formula>
    </cfRule>
    <cfRule type="cellIs" dxfId="4104" priority="48" operator="between">
      <formula>"A - Work May Proceed"</formula>
      <formula>"A - Work May Proceed"</formula>
    </cfRule>
    <cfRule type="cellIs" dxfId="4103" priority="37" operator="equal">
      <formula>"D - Rejected"</formula>
    </cfRule>
    <cfRule type="cellIs" dxfId="4102" priority="36" operator="equal">
      <formula>"E - Review not Required - Proceed"</formula>
    </cfRule>
    <cfRule type="cellIs" dxfId="4101" priority="47" operator="between">
      <formula>"B - Incorporate Comments - Proceed"</formula>
      <formula>"B - Incorporate Comments - Proceed"</formula>
    </cfRule>
    <cfRule type="cellIs" dxfId="4100" priority="46" operator="between">
      <formula>"C - Revise and Resubmit - Do Not Proceed"</formula>
      <formula>"C - Revise and Resubmit - Do Not Proceed"</formula>
    </cfRule>
    <cfRule type="cellIs" dxfId="4099" priority="45" operator="between">
      <formula>"'D - Rejected "</formula>
      <formula>"'D - Rejected "</formula>
    </cfRule>
    <cfRule type="cellIs" dxfId="4098" priority="44" operator="between">
      <formula>"E - Review not Required - Proceed"</formula>
      <formula>"E - Review not Required - Proceed"</formula>
    </cfRule>
    <cfRule type="cellIs" dxfId="4097" priority="50" operator="between">
      <formula>"E - Review not Required - Proceed"</formula>
      <formula>"E - Review not Required - Proceed"</formula>
    </cfRule>
    <cfRule type="cellIs" dxfId="4096" priority="43" operator="equal">
      <formula>"E - Review Not Required - Proceed"</formula>
    </cfRule>
    <cfRule type="cellIs" dxfId="4095" priority="42" operator="equal">
      <formula>"B - Incorporate Comments - Proceed "</formula>
    </cfRule>
    <cfRule type="cellIs" dxfId="4094" priority="41" operator="equal">
      <formula>"For Information"</formula>
    </cfRule>
    <cfRule type="cellIs" dxfId="4093" priority="40" operator="equal">
      <formula>"A - Work May Proceed"</formula>
    </cfRule>
    <cfRule type="cellIs" dxfId="4092" priority="49" operator="between">
      <formula>"B - Incorporate Comments - Proceed"</formula>
      <formula>"B - Incorporate Comments - Proceed"</formula>
    </cfRule>
    <cfRule type="cellIs" dxfId="4091" priority="39" operator="equal">
      <formula>"C - Revise and Resubmit - Do Not Proceed"</formula>
    </cfRule>
    <cfRule type="cellIs" dxfId="4090" priority="38" operator="equal"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theme="5"/>
  </sheetPr>
  <dimension ref="A1:BF51"/>
  <sheetViews>
    <sheetView zoomScale="55" zoomScaleNormal="55" zoomScaleSheetLayoutView="70" workbookViewId="0">
      <pane ySplit="11" topLeftCell="A39" activePane="bottomLeft" state="frozen"/>
      <selection activeCell="A14" sqref="A14"/>
      <selection pane="bottomLeft" sqref="A1:A1048576"/>
    </sheetView>
  </sheetViews>
  <sheetFormatPr defaultColWidth="9.140625" defaultRowHeight="15" x14ac:dyDescent="0.25"/>
  <cols>
    <col min="1" max="1" width="22.710937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3" width="30.140625" style="471" customWidth="1"/>
    <col min="14" max="14" width="22" style="396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0.140625" style="398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50.7109375" style="44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 s="111"/>
      <c r="O1"/>
      <c r="P1"/>
      <c r="Q1"/>
      <c r="R1"/>
      <c r="S1"/>
      <c r="T1"/>
      <c r="U1" s="111"/>
      <c r="V1" s="7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2"/>
    </row>
    <row r="2" spans="1:58" s="379" customFormat="1" ht="24" customHeight="1" x14ac:dyDescent="0.35">
      <c r="A2" s="8"/>
      <c r="B2" s="25" t="s">
        <v>28</v>
      </c>
      <c r="C2" s="26" t="s">
        <v>16</v>
      </c>
      <c r="D2" s="26"/>
      <c r="E2" s="26"/>
      <c r="F2" s="27"/>
      <c r="G2" s="8"/>
      <c r="H2" s="548"/>
      <c r="I2" s="558"/>
      <c r="J2"/>
      <c r="K2"/>
      <c r="L2"/>
      <c r="M2"/>
      <c r="N2" s="111"/>
      <c r="O2"/>
      <c r="P2"/>
      <c r="Q2"/>
      <c r="R2"/>
      <c r="S2"/>
      <c r="T2"/>
      <c r="U2" s="111"/>
      <c r="V2" s="7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2"/>
    </row>
    <row r="3" spans="1:58" s="379" customFormat="1" ht="24" customHeight="1" x14ac:dyDescent="0.35">
      <c r="A3" s="8"/>
      <c r="B3" s="25" t="s">
        <v>507</v>
      </c>
      <c r="C3" s="49" t="s">
        <v>132</v>
      </c>
      <c r="D3" s="26"/>
      <c r="E3" s="26"/>
      <c r="F3" s="27"/>
      <c r="G3" s="8"/>
      <c r="H3" s="8"/>
      <c r="I3"/>
      <c r="J3"/>
      <c r="K3"/>
      <c r="L3"/>
      <c r="M3"/>
      <c r="N3" s="111"/>
      <c r="O3"/>
      <c r="P3"/>
      <c r="Q3"/>
      <c r="R3"/>
      <c r="S3"/>
      <c r="T3"/>
      <c r="U3" s="111"/>
      <c r="V3" s="7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2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 s="111"/>
      <c r="O4"/>
      <c r="P4"/>
      <c r="Q4"/>
      <c r="R4"/>
      <c r="S4"/>
      <c r="T4"/>
      <c r="U4" s="111"/>
      <c r="V4" s="7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2"/>
    </row>
    <row r="5" spans="1:58" s="379" customFormat="1" ht="29.25" customHeight="1" x14ac:dyDescent="0.35">
      <c r="A5" s="8"/>
      <c r="B5" s="84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 s="111"/>
      <c r="O5"/>
      <c r="P5"/>
      <c r="Q5"/>
      <c r="R5"/>
      <c r="S5"/>
      <c r="T5"/>
      <c r="U5" s="111"/>
      <c r="V5" s="7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2"/>
    </row>
    <row r="6" spans="1:58" s="379" customFormat="1" ht="24" customHeight="1" x14ac:dyDescent="0.35">
      <c r="A6" s="8"/>
      <c r="B6" s="85">
        <f>COUNTIF(B11:B51,"A - Work May Proceed")</f>
        <v>32</v>
      </c>
      <c r="C6" s="65">
        <f>COUNTIF(B11:B51,"B- Incorporate Comments - Proceed")</f>
        <v>2</v>
      </c>
      <c r="D6" s="65">
        <f>COUNTIF(B11:B51,"C - Revise and Resubmit - Do Not Proceed")</f>
        <v>0</v>
      </c>
      <c r="E6" s="65">
        <f>COUNTIF(B11:B51,"D - Rejected")</f>
        <v>0</v>
      </c>
      <c r="F6" s="65">
        <f>COUNTIF(B11:B51,"E - Review not Required - Proceed")</f>
        <v>1</v>
      </c>
      <c r="G6" s="66">
        <f>COUNTIF(B11:B51,"UR")</f>
        <v>0</v>
      </c>
      <c r="H6" s="66">
        <f>COUNTIF(B11:B51,"FA")</f>
        <v>0</v>
      </c>
      <c r="I6" s="66">
        <f>COUNTIF(B11:B51,"Terminated")</f>
        <v>0</v>
      </c>
      <c r="J6" s="66">
        <f>COUNTIF(B11:B51,"Cancelled")</f>
        <v>4</v>
      </c>
      <c r="K6"/>
      <c r="L6"/>
      <c r="M6"/>
      <c r="N6" s="111"/>
      <c r="O6"/>
      <c r="P6"/>
      <c r="Q6"/>
      <c r="R6"/>
      <c r="S6"/>
      <c r="T6"/>
      <c r="U6" s="111"/>
      <c r="V6" s="7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2"/>
    </row>
    <row r="7" spans="1:58" s="379" customFormat="1" ht="24" customHeight="1" x14ac:dyDescent="0.35">
      <c r="A7" s="8"/>
      <c r="B7" s="86"/>
      <c r="C7" s="68"/>
      <c r="D7" s="69"/>
      <c r="E7" s="70"/>
      <c r="F7" s="70"/>
      <c r="G7" s="71"/>
      <c r="H7" s="70"/>
      <c r="I7" s="7"/>
      <c r="J7"/>
      <c r="K7"/>
      <c r="L7"/>
      <c r="M7"/>
      <c r="N7" s="111"/>
      <c r="O7"/>
      <c r="P7"/>
      <c r="Q7"/>
      <c r="R7"/>
      <c r="S7"/>
      <c r="T7"/>
      <c r="U7" s="111"/>
      <c r="V7" s="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2"/>
    </row>
    <row r="8" spans="1:58" s="379" customFormat="1" ht="24" customHeight="1" x14ac:dyDescent="0.35">
      <c r="A8" s="8"/>
      <c r="B8" s="87" t="s">
        <v>509</v>
      </c>
      <c r="C8" s="73">
        <f>SUM(B6:J6)</f>
        <v>39</v>
      </c>
      <c r="D8" s="69"/>
      <c r="E8" s="70"/>
      <c r="F8" s="70"/>
      <c r="G8" s="74"/>
      <c r="H8" s="75"/>
      <c r="I8" s="76"/>
      <c r="J8" s="75"/>
      <c r="K8"/>
      <c r="L8"/>
      <c r="M8"/>
      <c r="N8" s="111"/>
      <c r="O8"/>
      <c r="P8"/>
      <c r="Q8"/>
      <c r="R8"/>
      <c r="S8"/>
      <c r="T8"/>
      <c r="U8" s="111"/>
      <c r="V8" s="7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2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 s="111"/>
      <c r="O9"/>
      <c r="P9"/>
      <c r="Q9"/>
      <c r="R9"/>
      <c r="S9"/>
      <c r="T9"/>
      <c r="U9" s="111"/>
      <c r="V9" s="7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2"/>
    </row>
    <row r="10" spans="1:58" s="405" customFormat="1" ht="36.75" customHeight="1" x14ac:dyDescent="0.2">
      <c r="A10" s="550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51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112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113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12" t="s">
        <v>5</v>
      </c>
      <c r="C12" s="56" t="s">
        <v>208</v>
      </c>
      <c r="D12" s="12" t="s">
        <v>130</v>
      </c>
      <c r="E12" s="12" t="s">
        <v>129</v>
      </c>
      <c r="F12" s="16" t="s">
        <v>131</v>
      </c>
      <c r="G12" s="10" t="s">
        <v>15</v>
      </c>
      <c r="H12" s="10" t="s">
        <v>132</v>
      </c>
      <c r="I12" s="16" t="s">
        <v>18</v>
      </c>
      <c r="J12" s="14">
        <v>45556</v>
      </c>
      <c r="K12" s="12" t="s">
        <v>133</v>
      </c>
      <c r="L12" s="20">
        <f>J12+7</f>
        <v>45563</v>
      </c>
      <c r="M12" s="14">
        <v>45565</v>
      </c>
      <c r="N12" s="92">
        <f>M12-L12</f>
        <v>2</v>
      </c>
      <c r="O12" s="12" t="s">
        <v>262</v>
      </c>
      <c r="P12" s="16" t="s">
        <v>5</v>
      </c>
      <c r="Q12" s="20">
        <v>46005</v>
      </c>
      <c r="R12" s="12" t="s">
        <v>5236</v>
      </c>
      <c r="S12" s="21">
        <f t="shared" ref="S12:S17" si="0">Q12+7</f>
        <v>46012</v>
      </c>
      <c r="T12" s="20">
        <v>46015</v>
      </c>
      <c r="U12" s="95">
        <f t="shared" ref="U12:U17" si="1">T12-S12</f>
        <v>3</v>
      </c>
      <c r="V12" s="12" t="s">
        <v>5250</v>
      </c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259"/>
    </row>
    <row r="13" spans="1:58" s="381" customFormat="1" ht="42" customHeight="1" x14ac:dyDescent="0.25">
      <c r="A13" s="367">
        <v>730007</v>
      </c>
      <c r="B13" s="12" t="s">
        <v>5</v>
      </c>
      <c r="C13" s="56" t="s">
        <v>208</v>
      </c>
      <c r="D13" s="12" t="s">
        <v>134</v>
      </c>
      <c r="E13" s="12" t="s">
        <v>136</v>
      </c>
      <c r="F13" s="16" t="s">
        <v>137</v>
      </c>
      <c r="G13" s="10" t="s">
        <v>15</v>
      </c>
      <c r="H13" s="10" t="s">
        <v>132</v>
      </c>
      <c r="I13" s="16" t="s">
        <v>18</v>
      </c>
      <c r="J13" s="14">
        <v>45556</v>
      </c>
      <c r="K13" s="12" t="s">
        <v>138</v>
      </c>
      <c r="L13" s="20">
        <f t="shared" ref="L13:L38" si="2">J13+7</f>
        <v>45563</v>
      </c>
      <c r="M13" s="14">
        <v>45565</v>
      </c>
      <c r="N13" s="92">
        <f t="shared" ref="N13:N30" si="3">M13-L13</f>
        <v>2</v>
      </c>
      <c r="O13" s="12" t="s">
        <v>270</v>
      </c>
      <c r="P13" s="16" t="s">
        <v>5</v>
      </c>
      <c r="Q13" s="20">
        <v>46042</v>
      </c>
      <c r="R13" s="12" t="s">
        <v>5599</v>
      </c>
      <c r="S13" s="21">
        <f t="shared" si="0"/>
        <v>46049</v>
      </c>
      <c r="T13" s="20">
        <v>46050</v>
      </c>
      <c r="U13" s="95">
        <f t="shared" si="1"/>
        <v>1</v>
      </c>
      <c r="V13" s="12" t="s">
        <v>5632</v>
      </c>
      <c r="W13" s="12"/>
      <c r="X13" s="20"/>
      <c r="Y13" s="12"/>
      <c r="Z13" s="12"/>
      <c r="AA13" s="20"/>
      <c r="AB13" s="20"/>
      <c r="AC13" s="12"/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259"/>
    </row>
    <row r="14" spans="1:58" s="381" customFormat="1" ht="42" customHeight="1" x14ac:dyDescent="0.25">
      <c r="A14" s="367">
        <v>730007</v>
      </c>
      <c r="B14" s="12" t="s">
        <v>5</v>
      </c>
      <c r="C14" s="56" t="s">
        <v>208</v>
      </c>
      <c r="D14" s="12" t="s">
        <v>135</v>
      </c>
      <c r="E14" s="12" t="s">
        <v>139</v>
      </c>
      <c r="F14" s="16" t="s">
        <v>140</v>
      </c>
      <c r="G14" s="10" t="s">
        <v>15</v>
      </c>
      <c r="H14" s="10" t="s">
        <v>132</v>
      </c>
      <c r="I14" s="16" t="s">
        <v>18</v>
      </c>
      <c r="J14" s="14">
        <v>45556</v>
      </c>
      <c r="K14" s="12" t="s">
        <v>141</v>
      </c>
      <c r="L14" s="20">
        <f t="shared" si="2"/>
        <v>45563</v>
      </c>
      <c r="M14" s="14">
        <v>45565</v>
      </c>
      <c r="N14" s="92">
        <f t="shared" si="3"/>
        <v>2</v>
      </c>
      <c r="O14" s="12" t="s">
        <v>265</v>
      </c>
      <c r="P14" s="16" t="s">
        <v>5</v>
      </c>
      <c r="Q14" s="20">
        <v>45964</v>
      </c>
      <c r="R14" s="12" t="s">
        <v>4707</v>
      </c>
      <c r="S14" s="21">
        <f t="shared" si="0"/>
        <v>45971</v>
      </c>
      <c r="T14" s="20">
        <v>45971</v>
      </c>
      <c r="U14" s="95">
        <f t="shared" si="1"/>
        <v>0</v>
      </c>
      <c r="V14" s="12" t="s">
        <v>4734</v>
      </c>
      <c r="W14" s="12"/>
      <c r="X14" s="20"/>
      <c r="Y14" s="12"/>
      <c r="Z14" s="12"/>
      <c r="AA14" s="20"/>
      <c r="AB14" s="20"/>
      <c r="AC14" s="12"/>
      <c r="AD14" s="12"/>
      <c r="AE14" s="20"/>
      <c r="AF14" s="12"/>
      <c r="AG14" s="12"/>
      <c r="AH14" s="20"/>
      <c r="AI14" s="20"/>
      <c r="AJ14" s="12"/>
      <c r="AK14" s="10"/>
      <c r="AL14" s="14"/>
      <c r="AM14" s="12"/>
      <c r="AN14" s="12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/>
      <c r="BF14" s="259"/>
    </row>
    <row r="15" spans="1:58" s="381" customFormat="1" ht="42" customHeight="1" x14ac:dyDescent="0.25">
      <c r="A15" s="367">
        <v>730007</v>
      </c>
      <c r="B15" s="12" t="s">
        <v>5</v>
      </c>
      <c r="C15" s="56" t="s">
        <v>208</v>
      </c>
      <c r="D15" s="12" t="s">
        <v>156</v>
      </c>
      <c r="E15" s="12" t="s">
        <v>157</v>
      </c>
      <c r="F15" s="16" t="s">
        <v>158</v>
      </c>
      <c r="G15" s="10" t="s">
        <v>15</v>
      </c>
      <c r="H15" s="10" t="s">
        <v>132</v>
      </c>
      <c r="I15" s="16" t="s">
        <v>18</v>
      </c>
      <c r="J15" s="14">
        <v>45557</v>
      </c>
      <c r="K15" s="12" t="s">
        <v>159</v>
      </c>
      <c r="L15" s="20">
        <f t="shared" si="2"/>
        <v>45564</v>
      </c>
      <c r="M15" s="14">
        <v>45566</v>
      </c>
      <c r="N15" s="92">
        <f t="shared" si="3"/>
        <v>2</v>
      </c>
      <c r="O15" s="12" t="s">
        <v>272</v>
      </c>
      <c r="P15" s="16" t="s">
        <v>5</v>
      </c>
      <c r="Q15" s="20">
        <v>45969</v>
      </c>
      <c r="R15" s="12" t="s">
        <v>4785</v>
      </c>
      <c r="S15" s="21">
        <f t="shared" si="0"/>
        <v>45976</v>
      </c>
      <c r="T15" s="20">
        <v>45980</v>
      </c>
      <c r="U15" s="95">
        <f t="shared" si="1"/>
        <v>4</v>
      </c>
      <c r="V15" s="12" t="s">
        <v>4830</v>
      </c>
      <c r="W15" s="12"/>
      <c r="X15" s="20"/>
      <c r="Y15" s="12"/>
      <c r="Z15" s="12"/>
      <c r="AA15" s="20"/>
      <c r="AB15" s="20"/>
      <c r="AC15" s="12"/>
      <c r="AD15" s="12"/>
      <c r="AE15" s="20"/>
      <c r="AF15" s="12"/>
      <c r="AG15" s="12"/>
      <c r="AH15" s="20"/>
      <c r="AI15" s="20"/>
      <c r="AJ15" s="12"/>
      <c r="AK15" s="10"/>
      <c r="AL15" s="14"/>
      <c r="AM15" s="12"/>
      <c r="AN15" s="12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2"/>
      <c r="BF15" s="259"/>
    </row>
    <row r="16" spans="1:58" s="381" customFormat="1" ht="42" customHeight="1" x14ac:dyDescent="0.25">
      <c r="A16" s="367">
        <v>730007</v>
      </c>
      <c r="B16" s="12" t="s">
        <v>5</v>
      </c>
      <c r="C16" s="56" t="s">
        <v>208</v>
      </c>
      <c r="D16" s="12" t="s">
        <v>241</v>
      </c>
      <c r="E16" s="12" t="s">
        <v>242</v>
      </c>
      <c r="F16" s="16" t="s">
        <v>243</v>
      </c>
      <c r="G16" s="10" t="s">
        <v>15</v>
      </c>
      <c r="H16" s="10" t="s">
        <v>132</v>
      </c>
      <c r="I16" s="16" t="s">
        <v>18</v>
      </c>
      <c r="J16" s="14">
        <v>45565</v>
      </c>
      <c r="K16" s="12" t="s">
        <v>249</v>
      </c>
      <c r="L16" s="20">
        <f t="shared" si="2"/>
        <v>45572</v>
      </c>
      <c r="M16" s="14">
        <v>45568</v>
      </c>
      <c r="N16" s="92">
        <f t="shared" si="3"/>
        <v>-4</v>
      </c>
      <c r="O16" s="12" t="s">
        <v>258</v>
      </c>
      <c r="P16" s="16" t="s">
        <v>5</v>
      </c>
      <c r="Q16" s="20">
        <v>46054</v>
      </c>
      <c r="R16" s="12" t="s">
        <v>5714</v>
      </c>
      <c r="S16" s="21">
        <f t="shared" si="0"/>
        <v>46061</v>
      </c>
      <c r="T16" s="20">
        <v>46062</v>
      </c>
      <c r="U16" s="95">
        <f t="shared" si="1"/>
        <v>1</v>
      </c>
      <c r="V16" s="12" t="s">
        <v>5738</v>
      </c>
      <c r="W16" s="12"/>
      <c r="X16" s="20"/>
      <c r="Y16" s="12"/>
      <c r="Z16" s="12"/>
      <c r="AA16" s="20"/>
      <c r="AB16" s="20"/>
      <c r="AC16" s="12"/>
      <c r="AD16" s="12"/>
      <c r="AE16" s="20"/>
      <c r="AF16" s="12"/>
      <c r="AG16" s="12"/>
      <c r="AH16" s="20"/>
      <c r="AI16" s="20"/>
      <c r="AJ16" s="12"/>
      <c r="AK16" s="10"/>
      <c r="AL16" s="14"/>
      <c r="AM16" s="12"/>
      <c r="AN16" s="12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2"/>
      <c r="BF16" s="259"/>
    </row>
    <row r="17" spans="1:58" s="381" customFormat="1" ht="42" customHeight="1" x14ac:dyDescent="0.25">
      <c r="A17" s="367">
        <v>730007</v>
      </c>
      <c r="B17" s="57" t="s">
        <v>508</v>
      </c>
      <c r="C17" s="56" t="s">
        <v>627</v>
      </c>
      <c r="D17" s="12" t="s">
        <v>472</v>
      </c>
      <c r="E17" s="12" t="s">
        <v>473</v>
      </c>
      <c r="F17" s="16" t="s">
        <v>474</v>
      </c>
      <c r="G17" s="10" t="s">
        <v>15</v>
      </c>
      <c r="H17" s="10" t="s">
        <v>132</v>
      </c>
      <c r="I17" s="16" t="s">
        <v>3</v>
      </c>
      <c r="J17" s="14">
        <v>45586</v>
      </c>
      <c r="K17" s="13" t="s">
        <v>475</v>
      </c>
      <c r="L17" s="20">
        <f t="shared" si="2"/>
        <v>45593</v>
      </c>
      <c r="M17" s="14">
        <v>45594</v>
      </c>
      <c r="N17" s="92">
        <f t="shared" si="3"/>
        <v>1</v>
      </c>
      <c r="O17" s="10" t="s">
        <v>488</v>
      </c>
      <c r="P17" s="12" t="s">
        <v>18</v>
      </c>
      <c r="Q17" s="21">
        <v>45617</v>
      </c>
      <c r="R17" s="10" t="s">
        <v>999</v>
      </c>
      <c r="S17" s="21">
        <f t="shared" si="0"/>
        <v>45624</v>
      </c>
      <c r="T17" s="21">
        <v>45624</v>
      </c>
      <c r="U17" s="95">
        <f t="shared" si="1"/>
        <v>0</v>
      </c>
      <c r="V17" s="10" t="s">
        <v>1001</v>
      </c>
      <c r="W17" s="9" t="s">
        <v>508</v>
      </c>
      <c r="X17" s="21">
        <v>46153</v>
      </c>
      <c r="Y17" s="10" t="s">
        <v>6727</v>
      </c>
      <c r="Z17" s="21" t="s">
        <v>626</v>
      </c>
      <c r="AA17" s="21" t="s">
        <v>626</v>
      </c>
      <c r="AB17" s="21" t="s">
        <v>626</v>
      </c>
      <c r="AC17" s="21" t="s">
        <v>626</v>
      </c>
      <c r="AD17" s="10"/>
      <c r="AE17" s="21"/>
      <c r="AF17" s="10"/>
      <c r="AG17" s="10"/>
      <c r="AH17" s="21"/>
      <c r="AI17" s="21"/>
      <c r="AJ17" s="10"/>
      <c r="AK17" s="10"/>
      <c r="AL17" s="17"/>
      <c r="AM17" s="11"/>
      <c r="AN17" s="11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1"/>
      <c r="BF17" s="259"/>
    </row>
    <row r="18" spans="1:58" s="381" customFormat="1" ht="42" customHeight="1" x14ac:dyDescent="0.25">
      <c r="A18" s="367">
        <v>730007</v>
      </c>
      <c r="B18" s="57" t="s">
        <v>508</v>
      </c>
      <c r="C18" s="56" t="s">
        <v>627</v>
      </c>
      <c r="D18" s="12" t="s">
        <v>521</v>
      </c>
      <c r="E18" s="12" t="s">
        <v>522</v>
      </c>
      <c r="F18" s="16" t="s">
        <v>523</v>
      </c>
      <c r="G18" s="10" t="s">
        <v>15</v>
      </c>
      <c r="H18" s="10" t="s">
        <v>132</v>
      </c>
      <c r="I18" s="16" t="s">
        <v>18</v>
      </c>
      <c r="J18" s="14">
        <v>45589</v>
      </c>
      <c r="K18" s="13" t="s">
        <v>524</v>
      </c>
      <c r="L18" s="20">
        <f t="shared" si="2"/>
        <v>45596</v>
      </c>
      <c r="M18" s="14">
        <v>45595</v>
      </c>
      <c r="N18" s="92">
        <f t="shared" si="3"/>
        <v>-1</v>
      </c>
      <c r="O18" s="10" t="s">
        <v>545</v>
      </c>
      <c r="P18" s="9" t="s">
        <v>508</v>
      </c>
      <c r="Q18" s="21">
        <v>46061</v>
      </c>
      <c r="R18" s="10" t="s">
        <v>5796</v>
      </c>
      <c r="S18" s="10" t="s">
        <v>626</v>
      </c>
      <c r="T18" s="21" t="s">
        <v>626</v>
      </c>
      <c r="U18" s="95" t="s">
        <v>626</v>
      </c>
      <c r="V18" s="10" t="s">
        <v>626</v>
      </c>
      <c r="W18" s="10"/>
      <c r="X18" s="21"/>
      <c r="Y18" s="10"/>
      <c r="Z18" s="10"/>
      <c r="AA18" s="21"/>
      <c r="AB18" s="21"/>
      <c r="AC18" s="10"/>
      <c r="AD18" s="10"/>
      <c r="AE18" s="21"/>
      <c r="AF18" s="10"/>
      <c r="AG18" s="10"/>
      <c r="AH18" s="21"/>
      <c r="AI18" s="21"/>
      <c r="AJ18" s="10"/>
      <c r="AK18" s="10"/>
      <c r="AL18" s="17"/>
      <c r="AM18" s="11"/>
      <c r="AN18" s="11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1"/>
      <c r="BF18" s="259"/>
    </row>
    <row r="19" spans="1:58" s="381" customFormat="1" ht="42" customHeight="1" x14ac:dyDescent="0.25">
      <c r="A19" s="367">
        <v>730007</v>
      </c>
      <c r="B19" s="12" t="s">
        <v>5</v>
      </c>
      <c r="C19" s="56" t="s">
        <v>208</v>
      </c>
      <c r="D19" s="12" t="s">
        <v>553</v>
      </c>
      <c r="E19" s="12" t="s">
        <v>554</v>
      </c>
      <c r="F19" s="16" t="s">
        <v>555</v>
      </c>
      <c r="G19" s="10" t="s">
        <v>15</v>
      </c>
      <c r="H19" s="10" t="s">
        <v>132</v>
      </c>
      <c r="I19" s="16" t="s">
        <v>18</v>
      </c>
      <c r="J19" s="14">
        <v>45591</v>
      </c>
      <c r="K19" s="13" t="s">
        <v>566</v>
      </c>
      <c r="L19" s="20">
        <f t="shared" si="2"/>
        <v>45598</v>
      </c>
      <c r="M19" s="14">
        <v>45594</v>
      </c>
      <c r="N19" s="92">
        <f t="shared" si="3"/>
        <v>-4</v>
      </c>
      <c r="O19" s="10" t="s">
        <v>565</v>
      </c>
      <c r="P19" s="11" t="s">
        <v>5</v>
      </c>
      <c r="Q19" s="21">
        <v>45969</v>
      </c>
      <c r="R19" s="10" t="s">
        <v>4783</v>
      </c>
      <c r="S19" s="21">
        <f>Q19+7</f>
        <v>45976</v>
      </c>
      <c r="T19" s="20">
        <v>45980</v>
      </c>
      <c r="U19" s="95">
        <f>T19-S19</f>
        <v>4</v>
      </c>
      <c r="V19" s="10" t="s">
        <v>4828</v>
      </c>
      <c r="W19" s="10"/>
      <c r="X19" s="21"/>
      <c r="Y19" s="10"/>
      <c r="Z19" s="10"/>
      <c r="AA19" s="21"/>
      <c r="AB19" s="21"/>
      <c r="AC19" s="10"/>
      <c r="AD19" s="10"/>
      <c r="AE19" s="21"/>
      <c r="AF19" s="10"/>
      <c r="AG19" s="10"/>
      <c r="AH19" s="21"/>
      <c r="AI19" s="21"/>
      <c r="AJ19" s="10"/>
      <c r="AK19" s="10"/>
      <c r="AL19" s="17"/>
      <c r="AM19" s="11"/>
      <c r="AN19" s="11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1"/>
      <c r="BF19" s="259"/>
    </row>
    <row r="20" spans="1:58" s="381" customFormat="1" ht="42" customHeight="1" x14ac:dyDescent="0.25">
      <c r="A20" s="367">
        <v>730007</v>
      </c>
      <c r="B20" s="12" t="s">
        <v>5</v>
      </c>
      <c r="C20" s="56" t="s">
        <v>208</v>
      </c>
      <c r="D20" s="12" t="s">
        <v>573</v>
      </c>
      <c r="E20" s="12" t="s">
        <v>572</v>
      </c>
      <c r="F20" s="16" t="s">
        <v>574</v>
      </c>
      <c r="G20" s="10" t="s">
        <v>15</v>
      </c>
      <c r="H20" s="10" t="s">
        <v>132</v>
      </c>
      <c r="I20" s="16" t="s">
        <v>18</v>
      </c>
      <c r="J20" s="14">
        <v>45592</v>
      </c>
      <c r="K20" s="13" t="s">
        <v>575</v>
      </c>
      <c r="L20" s="20">
        <f t="shared" si="2"/>
        <v>45599</v>
      </c>
      <c r="M20" s="14">
        <v>45595</v>
      </c>
      <c r="N20" s="92">
        <f t="shared" si="3"/>
        <v>-4</v>
      </c>
      <c r="O20" s="10" t="s">
        <v>578</v>
      </c>
      <c r="P20" s="16" t="s">
        <v>5</v>
      </c>
      <c r="Q20" s="21">
        <v>46025</v>
      </c>
      <c r="R20" s="10" t="s">
        <v>5448</v>
      </c>
      <c r="S20" s="21">
        <f>Q20+7</f>
        <v>46032</v>
      </c>
      <c r="T20" s="21">
        <v>46033</v>
      </c>
      <c r="U20" s="95">
        <f>T20-S20</f>
        <v>1</v>
      </c>
      <c r="V20" s="10" t="s">
        <v>5454</v>
      </c>
      <c r="W20" s="10"/>
      <c r="X20" s="21"/>
      <c r="Y20" s="10"/>
      <c r="Z20" s="10"/>
      <c r="AA20" s="21"/>
      <c r="AB20" s="21"/>
      <c r="AC20" s="10"/>
      <c r="AD20" s="10"/>
      <c r="AE20" s="21"/>
      <c r="AF20" s="10"/>
      <c r="AG20" s="10"/>
      <c r="AH20" s="21"/>
      <c r="AI20" s="21"/>
      <c r="AJ20" s="10"/>
      <c r="AK20" s="10"/>
      <c r="AL20" s="17"/>
      <c r="AM20" s="11"/>
      <c r="AN20" s="11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1"/>
      <c r="BF20" s="259"/>
    </row>
    <row r="21" spans="1:58" s="381" customFormat="1" ht="42" customHeight="1" x14ac:dyDescent="0.25">
      <c r="A21" s="367">
        <v>730007</v>
      </c>
      <c r="B21" s="12" t="s">
        <v>5</v>
      </c>
      <c r="C21" s="56" t="s">
        <v>208</v>
      </c>
      <c r="D21" s="12" t="s">
        <v>579</v>
      </c>
      <c r="E21" s="12" t="s">
        <v>580</v>
      </c>
      <c r="F21" s="16" t="s">
        <v>581</v>
      </c>
      <c r="G21" s="10" t="s">
        <v>15</v>
      </c>
      <c r="H21" s="10" t="s">
        <v>132</v>
      </c>
      <c r="I21" s="16" t="s">
        <v>18</v>
      </c>
      <c r="J21" s="14">
        <v>45593</v>
      </c>
      <c r="K21" s="13" t="s">
        <v>582</v>
      </c>
      <c r="L21" s="20">
        <f t="shared" si="2"/>
        <v>45600</v>
      </c>
      <c r="M21" s="14">
        <v>45599</v>
      </c>
      <c r="N21" s="92">
        <f t="shared" si="3"/>
        <v>-1</v>
      </c>
      <c r="O21" s="10" t="s">
        <v>598</v>
      </c>
      <c r="P21" s="10" t="s">
        <v>5</v>
      </c>
      <c r="Q21" s="21">
        <v>46054</v>
      </c>
      <c r="R21" s="10" t="s">
        <v>5715</v>
      </c>
      <c r="S21" s="21">
        <f>Q21+7</f>
        <v>46061</v>
      </c>
      <c r="T21" s="21">
        <v>46062</v>
      </c>
      <c r="U21" s="95">
        <f>T21-S21</f>
        <v>1</v>
      </c>
      <c r="V21" s="10" t="s">
        <v>5739</v>
      </c>
      <c r="W21" s="10"/>
      <c r="X21" s="21"/>
      <c r="Y21" s="10"/>
      <c r="Z21" s="10"/>
      <c r="AA21" s="21"/>
      <c r="AB21" s="21"/>
      <c r="AC21" s="10"/>
      <c r="AD21" s="10"/>
      <c r="AE21" s="21"/>
      <c r="AF21" s="10"/>
      <c r="AG21" s="10"/>
      <c r="AH21" s="21"/>
      <c r="AI21" s="21"/>
      <c r="AJ21" s="10"/>
      <c r="AK21" s="10"/>
      <c r="AL21" s="17"/>
      <c r="AM21" s="11"/>
      <c r="AN21" s="11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1"/>
      <c r="BF21" s="259"/>
    </row>
    <row r="22" spans="1:58" s="381" customFormat="1" ht="42" customHeight="1" x14ac:dyDescent="0.25">
      <c r="A22" s="367">
        <v>730007</v>
      </c>
      <c r="B22" s="13" t="s">
        <v>5</v>
      </c>
      <c r="C22" s="56" t="s">
        <v>208</v>
      </c>
      <c r="D22" s="12" t="s">
        <v>599</v>
      </c>
      <c r="E22" s="12" t="s">
        <v>600</v>
      </c>
      <c r="F22" s="16" t="s">
        <v>601</v>
      </c>
      <c r="G22" s="10" t="s">
        <v>15</v>
      </c>
      <c r="H22" s="10" t="s">
        <v>132</v>
      </c>
      <c r="I22" s="16" t="s">
        <v>3</v>
      </c>
      <c r="J22" s="14">
        <v>45594</v>
      </c>
      <c r="K22" s="13" t="s">
        <v>602</v>
      </c>
      <c r="L22" s="20">
        <f t="shared" si="2"/>
        <v>45601</v>
      </c>
      <c r="M22" s="14">
        <v>45599</v>
      </c>
      <c r="N22" s="92">
        <f t="shared" si="3"/>
        <v>-2</v>
      </c>
      <c r="O22" s="10" t="s">
        <v>612</v>
      </c>
      <c r="P22" s="60" t="s">
        <v>5</v>
      </c>
      <c r="Q22" s="21">
        <v>45601</v>
      </c>
      <c r="R22" s="10" t="s">
        <v>718</v>
      </c>
      <c r="S22" s="21">
        <f>Q22+7</f>
        <v>45608</v>
      </c>
      <c r="T22" s="21">
        <v>45607</v>
      </c>
      <c r="U22" s="95">
        <f>T22-S22</f>
        <v>-1</v>
      </c>
      <c r="V22" s="10" t="s">
        <v>721</v>
      </c>
      <c r="W22" s="10"/>
      <c r="X22" s="21"/>
      <c r="Y22" s="10"/>
      <c r="Z22" s="10"/>
      <c r="AA22" s="21"/>
      <c r="AB22" s="21"/>
      <c r="AC22" s="10"/>
      <c r="AD22" s="10"/>
      <c r="AE22" s="21"/>
      <c r="AF22" s="10"/>
      <c r="AG22" s="10"/>
      <c r="AH22" s="21"/>
      <c r="AI22" s="21"/>
      <c r="AJ22" s="10"/>
      <c r="AK22" s="10"/>
      <c r="AL22" s="17"/>
      <c r="AM22" s="11"/>
      <c r="AN22" s="11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1"/>
      <c r="BF22" s="259"/>
    </row>
    <row r="23" spans="1:58" s="381" customFormat="1" ht="42" customHeight="1" x14ac:dyDescent="0.25">
      <c r="A23" s="367">
        <v>730007</v>
      </c>
      <c r="B23" s="57" t="s">
        <v>508</v>
      </c>
      <c r="C23" s="13" t="s">
        <v>627</v>
      </c>
      <c r="D23" s="12" t="s">
        <v>646</v>
      </c>
      <c r="E23" s="12" t="s">
        <v>656</v>
      </c>
      <c r="F23" s="10" t="s">
        <v>647</v>
      </c>
      <c r="G23" s="10" t="s">
        <v>15</v>
      </c>
      <c r="H23" s="10" t="s">
        <v>132</v>
      </c>
      <c r="I23" s="10" t="s">
        <v>3</v>
      </c>
      <c r="J23" s="14">
        <v>45598</v>
      </c>
      <c r="K23" s="13" t="s">
        <v>671</v>
      </c>
      <c r="L23" s="20">
        <f t="shared" si="2"/>
        <v>45605</v>
      </c>
      <c r="M23" s="14">
        <v>45605</v>
      </c>
      <c r="N23" s="92">
        <f t="shared" si="3"/>
        <v>0</v>
      </c>
      <c r="O23" s="10" t="s">
        <v>675</v>
      </c>
      <c r="P23" s="9" t="s">
        <v>508</v>
      </c>
      <c r="Q23" s="21">
        <v>45649</v>
      </c>
      <c r="R23" s="10" t="s">
        <v>1610</v>
      </c>
      <c r="S23" s="10" t="s">
        <v>626</v>
      </c>
      <c r="T23" s="21" t="s">
        <v>626</v>
      </c>
      <c r="U23" s="95" t="s">
        <v>626</v>
      </c>
      <c r="V23" s="10" t="s">
        <v>626</v>
      </c>
      <c r="W23" s="10"/>
      <c r="X23" s="21"/>
      <c r="Y23" s="10"/>
      <c r="Z23" s="10"/>
      <c r="AA23" s="21"/>
      <c r="AB23" s="21"/>
      <c r="AC23" s="10"/>
      <c r="AD23" s="10"/>
      <c r="AE23" s="21"/>
      <c r="AF23" s="10"/>
      <c r="AG23" s="10"/>
      <c r="AH23" s="21"/>
      <c r="AI23" s="21"/>
      <c r="AJ23" s="10"/>
      <c r="AK23" s="10"/>
      <c r="AL23" s="20"/>
      <c r="AM23" s="12"/>
      <c r="AN23" s="12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12"/>
      <c r="BF23" s="259"/>
    </row>
    <row r="24" spans="1:58" s="381" customFormat="1" ht="42" customHeight="1" x14ac:dyDescent="0.25">
      <c r="A24" s="367">
        <v>730007</v>
      </c>
      <c r="B24" s="12" t="s">
        <v>5</v>
      </c>
      <c r="C24" s="56" t="s">
        <v>208</v>
      </c>
      <c r="D24" s="12" t="s">
        <v>668</v>
      </c>
      <c r="E24" s="12" t="s">
        <v>669</v>
      </c>
      <c r="F24" s="16" t="s">
        <v>670</v>
      </c>
      <c r="G24" s="10" t="s">
        <v>15</v>
      </c>
      <c r="H24" s="10" t="s">
        <v>132</v>
      </c>
      <c r="I24" s="16" t="s">
        <v>18</v>
      </c>
      <c r="J24" s="14">
        <v>45599</v>
      </c>
      <c r="K24" s="13" t="s">
        <v>672</v>
      </c>
      <c r="L24" s="20">
        <f t="shared" si="2"/>
        <v>45606</v>
      </c>
      <c r="M24" s="14">
        <v>45607</v>
      </c>
      <c r="N24" s="92">
        <f t="shared" si="3"/>
        <v>1</v>
      </c>
      <c r="O24" s="10" t="s">
        <v>690</v>
      </c>
      <c r="P24" s="11" t="s">
        <v>5</v>
      </c>
      <c r="Q24" s="21">
        <v>45969</v>
      </c>
      <c r="R24" s="10" t="s">
        <v>4784</v>
      </c>
      <c r="S24" s="21">
        <f>Q24+7</f>
        <v>45976</v>
      </c>
      <c r="T24" s="20">
        <v>45984</v>
      </c>
      <c r="U24" s="95">
        <f>T24-S24</f>
        <v>8</v>
      </c>
      <c r="V24" s="10" t="s">
        <v>4829</v>
      </c>
      <c r="W24" s="10"/>
      <c r="X24" s="21"/>
      <c r="Y24" s="10"/>
      <c r="Z24" s="10"/>
      <c r="AA24" s="21"/>
      <c r="AB24" s="21"/>
      <c r="AC24" s="10"/>
      <c r="AD24" s="10"/>
      <c r="AE24" s="21"/>
      <c r="AF24" s="10"/>
      <c r="AG24" s="10"/>
      <c r="AH24" s="21"/>
      <c r="AI24" s="21"/>
      <c r="AJ24" s="10"/>
      <c r="AK24" s="10"/>
      <c r="AL24" s="17"/>
      <c r="AM24" s="11"/>
      <c r="AN24" s="11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1"/>
      <c r="BF24" s="259"/>
    </row>
    <row r="25" spans="1:58" s="381" customFormat="1" ht="42" customHeight="1" x14ac:dyDescent="0.25">
      <c r="A25" s="367">
        <v>730007</v>
      </c>
      <c r="B25" s="12" t="s">
        <v>5</v>
      </c>
      <c r="C25" s="56" t="s">
        <v>208</v>
      </c>
      <c r="D25" s="12" t="s">
        <v>733</v>
      </c>
      <c r="E25" s="12" t="s">
        <v>734</v>
      </c>
      <c r="F25" s="16" t="s">
        <v>735</v>
      </c>
      <c r="G25" s="10" t="s">
        <v>15</v>
      </c>
      <c r="H25" s="10" t="s">
        <v>132</v>
      </c>
      <c r="I25" s="16" t="s">
        <v>18</v>
      </c>
      <c r="J25" s="14">
        <v>45602</v>
      </c>
      <c r="K25" s="13" t="s">
        <v>736</v>
      </c>
      <c r="L25" s="20">
        <f t="shared" si="2"/>
        <v>45609</v>
      </c>
      <c r="M25" s="14">
        <v>45609</v>
      </c>
      <c r="N25" s="92">
        <f t="shared" si="3"/>
        <v>0</v>
      </c>
      <c r="O25" s="10" t="s">
        <v>777</v>
      </c>
      <c r="P25" s="16" t="s">
        <v>5</v>
      </c>
      <c r="Q25" s="21">
        <v>46004</v>
      </c>
      <c r="R25" s="10" t="s">
        <v>5198</v>
      </c>
      <c r="S25" s="21">
        <f>Q25+7</f>
        <v>46011</v>
      </c>
      <c r="T25" s="21">
        <v>46015</v>
      </c>
      <c r="U25" s="95">
        <f>T25-S25</f>
        <v>4</v>
      </c>
      <c r="V25" s="10" t="s">
        <v>5224</v>
      </c>
      <c r="W25" s="10"/>
      <c r="X25" s="21"/>
      <c r="Y25" s="10"/>
      <c r="Z25" s="10"/>
      <c r="AA25" s="21"/>
      <c r="AB25" s="21"/>
      <c r="AC25" s="10"/>
      <c r="AD25" s="10"/>
      <c r="AE25" s="21"/>
      <c r="AF25" s="10"/>
      <c r="AG25" s="10"/>
      <c r="AH25" s="21"/>
      <c r="AI25" s="21"/>
      <c r="AJ25" s="10"/>
      <c r="AK25" s="10"/>
      <c r="AL25" s="17"/>
      <c r="AM25" s="11"/>
      <c r="AN25" s="11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1"/>
      <c r="BF25" s="259"/>
    </row>
    <row r="26" spans="1:58" s="381" customFormat="1" ht="42" customHeight="1" x14ac:dyDescent="0.25">
      <c r="A26" s="367">
        <v>730007</v>
      </c>
      <c r="B26" s="12" t="s">
        <v>5</v>
      </c>
      <c r="C26" s="56" t="s">
        <v>208</v>
      </c>
      <c r="D26" s="12" t="s">
        <v>739</v>
      </c>
      <c r="E26" s="12" t="s">
        <v>740</v>
      </c>
      <c r="F26" s="16" t="s">
        <v>741</v>
      </c>
      <c r="G26" s="10" t="s">
        <v>15</v>
      </c>
      <c r="H26" s="10" t="s">
        <v>132</v>
      </c>
      <c r="I26" s="16" t="s">
        <v>18</v>
      </c>
      <c r="J26" s="14">
        <v>45603</v>
      </c>
      <c r="K26" s="13" t="s">
        <v>742</v>
      </c>
      <c r="L26" s="20">
        <f t="shared" si="2"/>
        <v>45610</v>
      </c>
      <c r="M26" s="14">
        <v>45609</v>
      </c>
      <c r="N26" s="92">
        <f t="shared" si="3"/>
        <v>-1</v>
      </c>
      <c r="O26" s="10" t="s">
        <v>778</v>
      </c>
      <c r="P26" s="16" t="s">
        <v>5</v>
      </c>
      <c r="Q26" s="21">
        <v>46004</v>
      </c>
      <c r="R26" s="10" t="s">
        <v>5199</v>
      </c>
      <c r="S26" s="21">
        <f>Q26+7</f>
        <v>46011</v>
      </c>
      <c r="T26" s="21">
        <v>46015</v>
      </c>
      <c r="U26" s="95">
        <f>T26-S26</f>
        <v>4</v>
      </c>
      <c r="V26" s="10" t="s">
        <v>5225</v>
      </c>
      <c r="W26" s="10"/>
      <c r="X26" s="21"/>
      <c r="Y26" s="10"/>
      <c r="Z26" s="10"/>
      <c r="AA26" s="21"/>
      <c r="AB26" s="21"/>
      <c r="AC26" s="10"/>
      <c r="AD26" s="10"/>
      <c r="AE26" s="21"/>
      <c r="AF26" s="10"/>
      <c r="AG26" s="10"/>
      <c r="AH26" s="21"/>
      <c r="AI26" s="21"/>
      <c r="AJ26" s="10"/>
      <c r="AK26" s="10"/>
      <c r="AL26" s="17"/>
      <c r="AM26" s="11"/>
      <c r="AN26" s="11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1"/>
      <c r="BF26" s="259"/>
    </row>
    <row r="27" spans="1:58" s="381" customFormat="1" ht="42" customHeight="1" x14ac:dyDescent="0.25">
      <c r="A27" s="367">
        <v>730007</v>
      </c>
      <c r="B27" s="12" t="s">
        <v>5</v>
      </c>
      <c r="C27" s="56" t="s">
        <v>208</v>
      </c>
      <c r="D27" s="12" t="s">
        <v>838</v>
      </c>
      <c r="E27" s="12" t="s">
        <v>839</v>
      </c>
      <c r="F27" s="16" t="s">
        <v>840</v>
      </c>
      <c r="G27" s="10" t="s">
        <v>15</v>
      </c>
      <c r="H27" s="10" t="s">
        <v>132</v>
      </c>
      <c r="I27" s="16" t="s">
        <v>18</v>
      </c>
      <c r="J27" s="14">
        <v>45607</v>
      </c>
      <c r="K27" s="13" t="s">
        <v>844</v>
      </c>
      <c r="L27" s="20">
        <f t="shared" si="2"/>
        <v>45614</v>
      </c>
      <c r="M27" s="14">
        <v>45615</v>
      </c>
      <c r="N27" s="92">
        <f t="shared" si="3"/>
        <v>1</v>
      </c>
      <c r="O27" s="10" t="s">
        <v>883</v>
      </c>
      <c r="P27" s="10" t="s">
        <v>5</v>
      </c>
      <c r="Q27" s="21">
        <v>46040</v>
      </c>
      <c r="R27" s="10" t="s">
        <v>5589</v>
      </c>
      <c r="S27" s="21">
        <f>Q27+7</f>
        <v>46047</v>
      </c>
      <c r="T27" s="21">
        <v>46051</v>
      </c>
      <c r="U27" s="95">
        <f>T27-S27</f>
        <v>4</v>
      </c>
      <c r="V27" s="10" t="s">
        <v>5594</v>
      </c>
      <c r="W27" s="10"/>
      <c r="X27" s="21"/>
      <c r="Y27" s="10"/>
      <c r="Z27" s="10"/>
      <c r="AA27" s="21"/>
      <c r="AB27" s="21"/>
      <c r="AC27" s="10"/>
      <c r="AD27" s="10"/>
      <c r="AE27" s="21"/>
      <c r="AF27" s="10"/>
      <c r="AG27" s="10"/>
      <c r="AH27" s="21"/>
      <c r="AI27" s="21"/>
      <c r="AJ27" s="10"/>
      <c r="AK27" s="10"/>
      <c r="AL27" s="17"/>
      <c r="AM27" s="11"/>
      <c r="AN27" s="11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1"/>
      <c r="BF27" s="259"/>
    </row>
    <row r="28" spans="1:58" s="381" customFormat="1" ht="42" customHeight="1" x14ac:dyDescent="0.25">
      <c r="A28" s="367">
        <v>730007</v>
      </c>
      <c r="B28" s="12" t="s">
        <v>5</v>
      </c>
      <c r="C28" s="56" t="s">
        <v>54</v>
      </c>
      <c r="D28" s="12" t="s">
        <v>871</v>
      </c>
      <c r="E28" s="12" t="s">
        <v>872</v>
      </c>
      <c r="F28" s="16" t="s">
        <v>873</v>
      </c>
      <c r="G28" s="10" t="s">
        <v>15</v>
      </c>
      <c r="H28" s="10" t="s">
        <v>132</v>
      </c>
      <c r="I28" s="60" t="s">
        <v>5</v>
      </c>
      <c r="J28" s="14">
        <v>45608</v>
      </c>
      <c r="K28" s="13" t="s">
        <v>876</v>
      </c>
      <c r="L28" s="20">
        <f t="shared" si="2"/>
        <v>45615</v>
      </c>
      <c r="M28" s="14">
        <v>45617</v>
      </c>
      <c r="N28" s="92">
        <f t="shared" si="3"/>
        <v>2</v>
      </c>
      <c r="O28" s="10" t="s">
        <v>892</v>
      </c>
      <c r="P28" s="9"/>
      <c r="Q28" s="21"/>
      <c r="R28" s="10"/>
      <c r="S28" s="10"/>
      <c r="T28" s="21"/>
      <c r="U28" s="95"/>
      <c r="V28" s="10"/>
      <c r="W28" s="10"/>
      <c r="X28" s="21"/>
      <c r="Y28" s="10"/>
      <c r="Z28" s="10"/>
      <c r="AA28" s="21"/>
      <c r="AB28" s="21"/>
      <c r="AC28" s="10"/>
      <c r="AD28" s="10"/>
      <c r="AE28" s="21"/>
      <c r="AF28" s="10"/>
      <c r="AG28" s="10"/>
      <c r="AH28" s="21"/>
      <c r="AI28" s="21"/>
      <c r="AJ28" s="10"/>
      <c r="AK28" s="10"/>
      <c r="AL28" s="17"/>
      <c r="AM28" s="11"/>
      <c r="AN28" s="11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1"/>
      <c r="BF28" s="259"/>
    </row>
    <row r="29" spans="1:58" s="381" customFormat="1" ht="42" customHeight="1" x14ac:dyDescent="0.25">
      <c r="A29" s="367">
        <v>730007</v>
      </c>
      <c r="B29" s="12" t="s">
        <v>5</v>
      </c>
      <c r="C29" s="56" t="s">
        <v>208</v>
      </c>
      <c r="D29" s="12" t="s">
        <v>941</v>
      </c>
      <c r="E29" s="12" t="s">
        <v>942</v>
      </c>
      <c r="F29" s="16" t="s">
        <v>943</v>
      </c>
      <c r="G29" s="10" t="s">
        <v>15</v>
      </c>
      <c r="H29" s="10" t="s">
        <v>132</v>
      </c>
      <c r="I29" s="16" t="s">
        <v>18</v>
      </c>
      <c r="J29" s="14">
        <v>45613</v>
      </c>
      <c r="K29" s="13" t="s">
        <v>944</v>
      </c>
      <c r="L29" s="20">
        <f t="shared" si="2"/>
        <v>45620</v>
      </c>
      <c r="M29" s="14">
        <v>45616</v>
      </c>
      <c r="N29" s="92">
        <f t="shared" si="3"/>
        <v>-4</v>
      </c>
      <c r="O29" s="10" t="s">
        <v>945</v>
      </c>
      <c r="P29" s="16" t="s">
        <v>5</v>
      </c>
      <c r="Q29" s="21">
        <v>45969</v>
      </c>
      <c r="R29" s="10" t="s">
        <v>4787</v>
      </c>
      <c r="S29" s="21">
        <f t="shared" ref="S29:S36" si="4">Q29+7</f>
        <v>45976</v>
      </c>
      <c r="T29" s="20">
        <v>45984</v>
      </c>
      <c r="U29" s="95">
        <f t="shared" ref="U29:U36" si="5">T29-S29</f>
        <v>8</v>
      </c>
      <c r="V29" s="10" t="s">
        <v>4832</v>
      </c>
      <c r="W29" s="10"/>
      <c r="X29" s="21"/>
      <c r="Y29" s="10"/>
      <c r="Z29" s="10"/>
      <c r="AA29" s="21"/>
      <c r="AB29" s="21"/>
      <c r="AC29" s="10"/>
      <c r="AD29" s="10"/>
      <c r="AE29" s="21"/>
      <c r="AF29" s="10"/>
      <c r="AG29" s="10"/>
      <c r="AH29" s="21"/>
      <c r="AI29" s="21"/>
      <c r="AJ29" s="10"/>
      <c r="AK29" s="10"/>
      <c r="AL29" s="17"/>
      <c r="AM29" s="11"/>
      <c r="AN29" s="11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1"/>
      <c r="BF29" s="259"/>
    </row>
    <row r="30" spans="1:58" s="381" customFormat="1" ht="42" customHeight="1" x14ac:dyDescent="0.25">
      <c r="A30" s="367">
        <v>730007</v>
      </c>
      <c r="B30" s="12" t="s">
        <v>5</v>
      </c>
      <c r="C30" s="56" t="s">
        <v>208</v>
      </c>
      <c r="D30" s="12" t="s">
        <v>946</v>
      </c>
      <c r="E30" s="12" t="s">
        <v>947</v>
      </c>
      <c r="F30" s="16" t="s">
        <v>948</v>
      </c>
      <c r="G30" s="10" t="s">
        <v>15</v>
      </c>
      <c r="H30" s="10" t="s">
        <v>132</v>
      </c>
      <c r="I30" s="16" t="s">
        <v>18</v>
      </c>
      <c r="J30" s="14">
        <v>45613</v>
      </c>
      <c r="K30" s="13" t="s">
        <v>949</v>
      </c>
      <c r="L30" s="20">
        <f t="shared" si="2"/>
        <v>45620</v>
      </c>
      <c r="M30" s="14">
        <v>45619</v>
      </c>
      <c r="N30" s="92">
        <f t="shared" si="3"/>
        <v>-1</v>
      </c>
      <c r="O30" s="10" t="s">
        <v>960</v>
      </c>
      <c r="P30" s="16" t="s">
        <v>5</v>
      </c>
      <c r="Q30" s="21">
        <v>45969</v>
      </c>
      <c r="R30" s="10" t="s">
        <v>4786</v>
      </c>
      <c r="S30" s="21">
        <f t="shared" si="4"/>
        <v>45976</v>
      </c>
      <c r="T30" s="20">
        <v>45984</v>
      </c>
      <c r="U30" s="95">
        <f t="shared" si="5"/>
        <v>8</v>
      </c>
      <c r="V30" s="10" t="s">
        <v>4831</v>
      </c>
      <c r="W30" s="10"/>
      <c r="X30" s="21"/>
      <c r="Y30" s="10"/>
      <c r="Z30" s="10"/>
      <c r="AA30" s="21"/>
      <c r="AB30" s="21"/>
      <c r="AC30" s="10"/>
      <c r="AD30" s="10"/>
      <c r="AE30" s="21"/>
      <c r="AF30" s="10"/>
      <c r="AG30" s="10"/>
      <c r="AH30" s="21"/>
      <c r="AI30" s="21"/>
      <c r="AJ30" s="10"/>
      <c r="AK30" s="10"/>
      <c r="AL30" s="17"/>
      <c r="AM30" s="11"/>
      <c r="AN30" s="11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1"/>
      <c r="BF30" s="259"/>
    </row>
    <row r="31" spans="1:58" s="381" customFormat="1" ht="42" customHeight="1" x14ac:dyDescent="0.25">
      <c r="A31" s="367">
        <v>730007</v>
      </c>
      <c r="B31" s="12" t="s">
        <v>5</v>
      </c>
      <c r="C31" s="56" t="s">
        <v>208</v>
      </c>
      <c r="D31" s="12" t="s">
        <v>953</v>
      </c>
      <c r="E31" s="12" t="s">
        <v>954</v>
      </c>
      <c r="F31" s="16" t="s">
        <v>955</v>
      </c>
      <c r="G31" s="10" t="s">
        <v>15</v>
      </c>
      <c r="H31" s="10" t="s">
        <v>132</v>
      </c>
      <c r="I31" s="16" t="s">
        <v>18</v>
      </c>
      <c r="J31" s="14">
        <v>45613</v>
      </c>
      <c r="K31" s="13" t="s">
        <v>956</v>
      </c>
      <c r="L31" s="20">
        <f t="shared" si="2"/>
        <v>45620</v>
      </c>
      <c r="M31" s="14">
        <v>45619</v>
      </c>
      <c r="N31" s="92">
        <f t="shared" ref="N31:N39" si="6">M31-L31</f>
        <v>-1</v>
      </c>
      <c r="O31" s="10" t="s">
        <v>961</v>
      </c>
      <c r="P31" s="10" t="s">
        <v>5</v>
      </c>
      <c r="Q31" s="21">
        <v>46005</v>
      </c>
      <c r="R31" s="10" t="s">
        <v>5206</v>
      </c>
      <c r="S31" s="21">
        <f t="shared" si="4"/>
        <v>46012</v>
      </c>
      <c r="T31" s="20">
        <v>46015</v>
      </c>
      <c r="U31" s="95">
        <f t="shared" si="5"/>
        <v>3</v>
      </c>
      <c r="V31" s="10" t="s">
        <v>5226</v>
      </c>
      <c r="W31" s="10"/>
      <c r="X31" s="21"/>
      <c r="Y31" s="10"/>
      <c r="Z31" s="10"/>
      <c r="AA31" s="21"/>
      <c r="AB31" s="21"/>
      <c r="AC31" s="10"/>
      <c r="AD31" s="10"/>
      <c r="AE31" s="21"/>
      <c r="AF31" s="10"/>
      <c r="AG31" s="10"/>
      <c r="AH31" s="21"/>
      <c r="AI31" s="21"/>
      <c r="AJ31" s="10"/>
      <c r="AK31" s="10"/>
      <c r="AL31" s="17"/>
      <c r="AM31" s="11"/>
      <c r="AN31" s="11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1"/>
      <c r="BF31" s="259"/>
    </row>
    <row r="32" spans="1:58" s="381" customFormat="1" ht="42" customHeight="1" x14ac:dyDescent="0.25">
      <c r="A32" s="367">
        <v>730007</v>
      </c>
      <c r="B32" s="12" t="s">
        <v>18</v>
      </c>
      <c r="C32" s="56" t="s">
        <v>208</v>
      </c>
      <c r="D32" s="12" t="s">
        <v>971</v>
      </c>
      <c r="E32" s="12" t="s">
        <v>972</v>
      </c>
      <c r="F32" s="16" t="s">
        <v>973</v>
      </c>
      <c r="G32" s="10" t="s">
        <v>15</v>
      </c>
      <c r="H32" s="10" t="s">
        <v>132</v>
      </c>
      <c r="I32" s="16" t="s">
        <v>18</v>
      </c>
      <c r="J32" s="14">
        <v>45615</v>
      </c>
      <c r="K32" s="13" t="s">
        <v>974</v>
      </c>
      <c r="L32" s="20">
        <f t="shared" si="2"/>
        <v>45622</v>
      </c>
      <c r="M32" s="14">
        <v>45629</v>
      </c>
      <c r="N32" s="92">
        <f t="shared" si="6"/>
        <v>7</v>
      </c>
      <c r="O32" s="10" t="s">
        <v>976</v>
      </c>
      <c r="P32" s="10" t="s">
        <v>18</v>
      </c>
      <c r="Q32" s="21">
        <v>46105</v>
      </c>
      <c r="R32" s="10" t="s">
        <v>6125</v>
      </c>
      <c r="S32" s="20">
        <f t="shared" si="4"/>
        <v>46112</v>
      </c>
      <c r="T32" s="21">
        <v>46124</v>
      </c>
      <c r="U32" s="95">
        <f t="shared" si="5"/>
        <v>12</v>
      </c>
      <c r="V32" s="10" t="s">
        <v>6286</v>
      </c>
      <c r="W32" s="10"/>
      <c r="X32" s="21"/>
      <c r="Y32" s="10"/>
      <c r="Z32" s="10"/>
      <c r="AA32" s="21"/>
      <c r="AB32" s="21"/>
      <c r="AC32" s="10"/>
      <c r="AD32" s="10"/>
      <c r="AE32" s="21"/>
      <c r="AF32" s="10"/>
      <c r="AG32" s="10"/>
      <c r="AH32" s="21"/>
      <c r="AI32" s="21"/>
      <c r="AJ32" s="10"/>
      <c r="AK32" s="10"/>
      <c r="AL32" s="17"/>
      <c r="AM32" s="11"/>
      <c r="AN32" s="11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1"/>
      <c r="BF32" s="259"/>
    </row>
    <row r="33" spans="1:58" s="381" customFormat="1" ht="42" customHeight="1" x14ac:dyDescent="0.25">
      <c r="A33" s="367">
        <v>730007</v>
      </c>
      <c r="B33" s="12" t="s">
        <v>5</v>
      </c>
      <c r="C33" s="56" t="s">
        <v>208</v>
      </c>
      <c r="D33" s="12" t="s">
        <v>988</v>
      </c>
      <c r="E33" s="12" t="s">
        <v>989</v>
      </c>
      <c r="F33" s="16" t="s">
        <v>987</v>
      </c>
      <c r="G33" s="10" t="s">
        <v>15</v>
      </c>
      <c r="H33" s="10" t="s">
        <v>132</v>
      </c>
      <c r="I33" s="16" t="s">
        <v>18</v>
      </c>
      <c r="J33" s="14">
        <v>45616</v>
      </c>
      <c r="K33" s="13" t="s">
        <v>990</v>
      </c>
      <c r="L33" s="20">
        <f t="shared" si="2"/>
        <v>45623</v>
      </c>
      <c r="M33" s="14">
        <v>45623</v>
      </c>
      <c r="N33" s="92">
        <f t="shared" si="6"/>
        <v>0</v>
      </c>
      <c r="O33" s="10" t="s">
        <v>998</v>
      </c>
      <c r="P33" s="12" t="s">
        <v>5</v>
      </c>
      <c r="Q33" s="21">
        <v>46006</v>
      </c>
      <c r="R33" s="10" t="s">
        <v>5276</v>
      </c>
      <c r="S33" s="20">
        <f t="shared" si="4"/>
        <v>46013</v>
      </c>
      <c r="T33" s="21">
        <v>46018</v>
      </c>
      <c r="U33" s="95">
        <f t="shared" si="5"/>
        <v>5</v>
      </c>
      <c r="V33" s="10" t="s">
        <v>5306</v>
      </c>
      <c r="W33" s="10"/>
      <c r="X33" s="21"/>
      <c r="Y33" s="10"/>
      <c r="Z33" s="10"/>
      <c r="AA33" s="21"/>
      <c r="AB33" s="21"/>
      <c r="AC33" s="10"/>
      <c r="AD33" s="10"/>
      <c r="AE33" s="21"/>
      <c r="AF33" s="10"/>
      <c r="AG33" s="10"/>
      <c r="AH33" s="21"/>
      <c r="AI33" s="21"/>
      <c r="AJ33" s="10"/>
      <c r="AK33" s="10"/>
      <c r="AL33" s="17"/>
      <c r="AM33" s="11"/>
      <c r="AN33" s="11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1"/>
      <c r="BF33" s="259"/>
    </row>
    <row r="34" spans="1:58" s="381" customFormat="1" ht="42" customHeight="1" x14ac:dyDescent="0.25">
      <c r="A34" s="367">
        <v>730007</v>
      </c>
      <c r="B34" s="57" t="s">
        <v>508</v>
      </c>
      <c r="C34" s="56" t="s">
        <v>627</v>
      </c>
      <c r="D34" s="12" t="s">
        <v>1032</v>
      </c>
      <c r="E34" s="12" t="s">
        <v>1033</v>
      </c>
      <c r="F34" s="16" t="s">
        <v>1034</v>
      </c>
      <c r="G34" s="10" t="s">
        <v>15</v>
      </c>
      <c r="H34" s="10" t="s">
        <v>132</v>
      </c>
      <c r="I34" s="16" t="s">
        <v>18</v>
      </c>
      <c r="J34" s="14">
        <v>45620</v>
      </c>
      <c r="K34" s="13" t="s">
        <v>1035</v>
      </c>
      <c r="L34" s="20">
        <f t="shared" si="2"/>
        <v>45627</v>
      </c>
      <c r="M34" s="14">
        <v>45624</v>
      </c>
      <c r="N34" s="92">
        <f t="shared" si="6"/>
        <v>-3</v>
      </c>
      <c r="O34" s="10" t="s">
        <v>1041</v>
      </c>
      <c r="P34" s="12" t="s">
        <v>18</v>
      </c>
      <c r="Q34" s="21">
        <v>46004</v>
      </c>
      <c r="R34" s="10" t="s">
        <v>5200</v>
      </c>
      <c r="S34" s="20">
        <f t="shared" si="4"/>
        <v>46011</v>
      </c>
      <c r="T34" s="21">
        <v>46015</v>
      </c>
      <c r="U34" s="95">
        <f t="shared" si="5"/>
        <v>4</v>
      </c>
      <c r="V34" s="10" t="s">
        <v>5227</v>
      </c>
      <c r="W34" s="9" t="s">
        <v>508</v>
      </c>
      <c r="X34" s="21">
        <v>46061</v>
      </c>
      <c r="Y34" s="10" t="s">
        <v>5797</v>
      </c>
      <c r="Z34" s="10" t="s">
        <v>626</v>
      </c>
      <c r="AA34" s="21"/>
      <c r="AB34" s="21" t="s">
        <v>626</v>
      </c>
      <c r="AC34" s="10" t="s">
        <v>626</v>
      </c>
      <c r="AD34" s="10"/>
      <c r="AE34" s="21"/>
      <c r="AF34" s="10"/>
      <c r="AG34" s="10"/>
      <c r="AH34" s="21"/>
      <c r="AI34" s="21"/>
      <c r="AJ34" s="10"/>
      <c r="AK34" s="10"/>
      <c r="AL34" s="17"/>
      <c r="AM34" s="11"/>
      <c r="AN34" s="11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1"/>
      <c r="BF34" s="259"/>
    </row>
    <row r="35" spans="1:58" s="381" customFormat="1" ht="42" customHeight="1" x14ac:dyDescent="0.25">
      <c r="A35" s="367">
        <v>730007</v>
      </c>
      <c r="B35" s="12" t="s">
        <v>5</v>
      </c>
      <c r="C35" s="56" t="s">
        <v>208</v>
      </c>
      <c r="D35" s="12" t="s">
        <v>1064</v>
      </c>
      <c r="E35" s="12" t="s">
        <v>1076</v>
      </c>
      <c r="F35" s="16" t="s">
        <v>1065</v>
      </c>
      <c r="G35" s="10" t="s">
        <v>15</v>
      </c>
      <c r="H35" s="10" t="s">
        <v>132</v>
      </c>
      <c r="I35" s="16" t="s">
        <v>18</v>
      </c>
      <c r="J35" s="14">
        <v>45622</v>
      </c>
      <c r="K35" s="13" t="s">
        <v>1077</v>
      </c>
      <c r="L35" s="20">
        <f t="shared" si="2"/>
        <v>45629</v>
      </c>
      <c r="M35" s="14">
        <v>45629</v>
      </c>
      <c r="N35" s="92">
        <f t="shared" si="6"/>
        <v>0</v>
      </c>
      <c r="O35" s="10" t="s">
        <v>1104</v>
      </c>
      <c r="P35" s="16" t="s">
        <v>5</v>
      </c>
      <c r="Q35" s="21">
        <v>45964</v>
      </c>
      <c r="R35" s="10" t="s">
        <v>4706</v>
      </c>
      <c r="S35" s="20">
        <f t="shared" si="4"/>
        <v>45971</v>
      </c>
      <c r="T35" s="21">
        <v>45971</v>
      </c>
      <c r="U35" s="95">
        <f t="shared" si="5"/>
        <v>0</v>
      </c>
      <c r="V35" s="10" t="s">
        <v>4735</v>
      </c>
      <c r="W35" s="10"/>
      <c r="X35" s="21"/>
      <c r="Y35" s="10"/>
      <c r="Z35" s="10"/>
      <c r="AA35" s="21"/>
      <c r="AB35" s="21"/>
      <c r="AC35" s="10"/>
      <c r="AD35" s="10"/>
      <c r="AE35" s="21"/>
      <c r="AF35" s="10"/>
      <c r="AG35" s="10"/>
      <c r="AH35" s="21"/>
      <c r="AI35" s="21"/>
      <c r="AJ35" s="10"/>
      <c r="AK35" s="10"/>
      <c r="AL35" s="17"/>
      <c r="AM35" s="11"/>
      <c r="AN35" s="11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1"/>
      <c r="BF35" s="259"/>
    </row>
    <row r="36" spans="1:58" s="381" customFormat="1" ht="42" customHeight="1" x14ac:dyDescent="0.25">
      <c r="A36" s="367">
        <v>730007</v>
      </c>
      <c r="B36" s="12" t="s">
        <v>5</v>
      </c>
      <c r="C36" s="56" t="s">
        <v>208</v>
      </c>
      <c r="D36" s="12" t="s">
        <v>1161</v>
      </c>
      <c r="E36" s="12" t="s">
        <v>1162</v>
      </c>
      <c r="F36" s="16" t="s">
        <v>1163</v>
      </c>
      <c r="G36" s="10" t="s">
        <v>15</v>
      </c>
      <c r="H36" s="10" t="s">
        <v>132</v>
      </c>
      <c r="I36" s="16" t="s">
        <v>18</v>
      </c>
      <c r="J36" s="14">
        <v>45627</v>
      </c>
      <c r="K36" s="13" t="s">
        <v>1164</v>
      </c>
      <c r="L36" s="20">
        <f t="shared" si="2"/>
        <v>45634</v>
      </c>
      <c r="M36" s="14">
        <v>45629</v>
      </c>
      <c r="N36" s="92">
        <f t="shared" si="6"/>
        <v>-5</v>
      </c>
      <c r="O36" s="10" t="s">
        <v>1169</v>
      </c>
      <c r="P36" s="16" t="s">
        <v>5</v>
      </c>
      <c r="Q36" s="21">
        <v>46160</v>
      </c>
      <c r="R36" s="10" t="s">
        <v>6855</v>
      </c>
      <c r="S36" s="20">
        <f t="shared" si="4"/>
        <v>46167</v>
      </c>
      <c r="T36" s="21">
        <v>46174</v>
      </c>
      <c r="U36" s="95">
        <f t="shared" si="5"/>
        <v>7</v>
      </c>
      <c r="V36" s="10" t="s">
        <v>6867</v>
      </c>
      <c r="W36" s="10"/>
      <c r="X36" s="21"/>
      <c r="Y36" s="10"/>
      <c r="Z36" s="10"/>
      <c r="AA36" s="21"/>
      <c r="AB36" s="21"/>
      <c r="AC36" s="10"/>
      <c r="AD36" s="10"/>
      <c r="AE36" s="21"/>
      <c r="AF36" s="10"/>
      <c r="AG36" s="10"/>
      <c r="AH36" s="21"/>
      <c r="AI36" s="21"/>
      <c r="AJ36" s="10"/>
      <c r="AK36" s="10"/>
      <c r="AL36" s="17"/>
      <c r="AM36" s="11"/>
      <c r="AN36" s="11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1"/>
      <c r="BF36" s="259"/>
    </row>
    <row r="37" spans="1:58" s="381" customFormat="1" ht="42" customHeight="1" x14ac:dyDescent="0.25">
      <c r="A37" s="367">
        <v>730007</v>
      </c>
      <c r="B37" s="12" t="s">
        <v>5</v>
      </c>
      <c r="C37" s="56" t="s">
        <v>208</v>
      </c>
      <c r="D37" s="12" t="s">
        <v>1310</v>
      </c>
      <c r="E37" s="12" t="s">
        <v>1311</v>
      </c>
      <c r="F37" s="16" t="s">
        <v>1312</v>
      </c>
      <c r="G37" s="10" t="s">
        <v>15</v>
      </c>
      <c r="H37" s="10" t="s">
        <v>132</v>
      </c>
      <c r="I37" s="16" t="s">
        <v>18</v>
      </c>
      <c r="J37" s="14">
        <v>45634</v>
      </c>
      <c r="K37" s="13" t="s">
        <v>1313</v>
      </c>
      <c r="L37" s="20">
        <f t="shared" si="2"/>
        <v>45641</v>
      </c>
      <c r="M37" s="14">
        <v>45637</v>
      </c>
      <c r="N37" s="92">
        <f t="shared" si="6"/>
        <v>-4</v>
      </c>
      <c r="O37" s="10" t="s">
        <v>1330</v>
      </c>
      <c r="P37" s="10" t="s">
        <v>5</v>
      </c>
      <c r="Q37" s="21">
        <v>46105</v>
      </c>
      <c r="R37" s="10" t="s">
        <v>6126</v>
      </c>
      <c r="S37" s="20">
        <f>Q37+7</f>
        <v>46112</v>
      </c>
      <c r="T37" s="21">
        <v>46123</v>
      </c>
      <c r="U37" s="95">
        <f>T37-S37</f>
        <v>11</v>
      </c>
      <c r="V37" s="10" t="s">
        <v>6287</v>
      </c>
      <c r="W37" s="10"/>
      <c r="X37" s="21"/>
      <c r="Y37" s="10"/>
      <c r="Z37" s="10"/>
      <c r="AA37" s="21"/>
      <c r="AB37" s="21"/>
      <c r="AC37" s="10"/>
      <c r="AD37" s="10"/>
      <c r="AE37" s="21"/>
      <c r="AF37" s="10"/>
      <c r="AG37" s="10"/>
      <c r="AH37" s="21"/>
      <c r="AI37" s="21"/>
      <c r="AJ37" s="10"/>
      <c r="AK37" s="10"/>
      <c r="AL37" s="17"/>
      <c r="AM37" s="11"/>
      <c r="AN37" s="11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1"/>
      <c r="BF37" s="259"/>
    </row>
    <row r="38" spans="1:58" s="381" customFormat="1" ht="42" customHeight="1" x14ac:dyDescent="0.25">
      <c r="A38" s="367">
        <v>730007</v>
      </c>
      <c r="B38" s="12" t="s">
        <v>5</v>
      </c>
      <c r="C38" s="56" t="s">
        <v>208</v>
      </c>
      <c r="D38" s="12" t="s">
        <v>1366</v>
      </c>
      <c r="E38" s="12" t="s">
        <v>1367</v>
      </c>
      <c r="F38" s="16" t="s">
        <v>1368</v>
      </c>
      <c r="G38" s="10" t="s">
        <v>15</v>
      </c>
      <c r="H38" s="10" t="s">
        <v>132</v>
      </c>
      <c r="I38" s="16" t="s">
        <v>18</v>
      </c>
      <c r="J38" s="14">
        <v>45637</v>
      </c>
      <c r="K38" s="13" t="s">
        <v>1369</v>
      </c>
      <c r="L38" s="20">
        <f t="shared" si="2"/>
        <v>45644</v>
      </c>
      <c r="M38" s="14">
        <v>45640</v>
      </c>
      <c r="N38" s="92">
        <f t="shared" si="6"/>
        <v>-4</v>
      </c>
      <c r="O38" s="10" t="s">
        <v>1378</v>
      </c>
      <c r="P38" s="12" t="s">
        <v>5</v>
      </c>
      <c r="Q38" s="21">
        <v>46004</v>
      </c>
      <c r="R38" s="10" t="s">
        <v>5201</v>
      </c>
      <c r="S38" s="20">
        <f t="shared" ref="S38:S44" si="7">Q38+7</f>
        <v>46011</v>
      </c>
      <c r="T38" s="21">
        <v>46016</v>
      </c>
      <c r="U38" s="95">
        <f t="shared" ref="U38:U44" si="8">T38-S38</f>
        <v>5</v>
      </c>
      <c r="V38" s="10" t="s">
        <v>5228</v>
      </c>
      <c r="W38" s="10"/>
      <c r="X38" s="21"/>
      <c r="Y38" s="10"/>
      <c r="Z38" s="10"/>
      <c r="AA38" s="21"/>
      <c r="AB38" s="21"/>
      <c r="AC38" s="10"/>
      <c r="AD38" s="10"/>
      <c r="AE38" s="21"/>
      <c r="AF38" s="10"/>
      <c r="AG38" s="10"/>
      <c r="AH38" s="21"/>
      <c r="AI38" s="21"/>
      <c r="AJ38" s="10"/>
      <c r="AK38" s="10"/>
      <c r="AL38" s="17"/>
      <c r="AM38" s="11"/>
      <c r="AN38" s="11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1"/>
      <c r="BF38" s="259"/>
    </row>
    <row r="39" spans="1:58" s="381" customFormat="1" ht="42" customHeight="1" x14ac:dyDescent="0.25">
      <c r="A39" s="367">
        <v>730007</v>
      </c>
      <c r="B39" s="12" t="s">
        <v>5</v>
      </c>
      <c r="C39" s="56" t="s">
        <v>208</v>
      </c>
      <c r="D39" s="12" t="s">
        <v>1537</v>
      </c>
      <c r="E39" s="12" t="s">
        <v>1536</v>
      </c>
      <c r="F39" s="16" t="s">
        <v>1538</v>
      </c>
      <c r="G39" s="10" t="s">
        <v>15</v>
      </c>
      <c r="H39" s="10" t="s">
        <v>132</v>
      </c>
      <c r="I39" s="16" t="s">
        <v>18</v>
      </c>
      <c r="J39" s="14">
        <v>45645</v>
      </c>
      <c r="K39" s="13" t="s">
        <v>1539</v>
      </c>
      <c r="L39" s="20">
        <f t="shared" ref="L39:L46" si="9">J39+7</f>
        <v>45652</v>
      </c>
      <c r="M39" s="14">
        <v>45649</v>
      </c>
      <c r="N39" s="92">
        <f t="shared" si="6"/>
        <v>-3</v>
      </c>
      <c r="O39" s="10" t="s">
        <v>1573</v>
      </c>
      <c r="P39" s="12" t="s">
        <v>5</v>
      </c>
      <c r="Q39" s="21">
        <v>46006</v>
      </c>
      <c r="R39" s="10" t="s">
        <v>5275</v>
      </c>
      <c r="S39" s="20">
        <f t="shared" si="7"/>
        <v>46013</v>
      </c>
      <c r="T39" s="21">
        <v>46018</v>
      </c>
      <c r="U39" s="95">
        <f t="shared" si="8"/>
        <v>5</v>
      </c>
      <c r="V39" s="10" t="s">
        <v>5305</v>
      </c>
      <c r="W39" s="10"/>
      <c r="X39" s="21"/>
      <c r="Y39" s="10"/>
      <c r="Z39" s="10"/>
      <c r="AA39" s="21"/>
      <c r="AB39" s="21"/>
      <c r="AC39" s="10"/>
      <c r="AD39" s="10"/>
      <c r="AE39" s="21"/>
      <c r="AF39" s="10"/>
      <c r="AG39" s="10"/>
      <c r="AH39" s="21"/>
      <c r="AI39" s="21"/>
      <c r="AJ39" s="10"/>
      <c r="AK39" s="10"/>
      <c r="AL39" s="17"/>
      <c r="AM39" s="11"/>
      <c r="AN39" s="11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1"/>
      <c r="BF39" s="259"/>
    </row>
    <row r="40" spans="1:58" s="381" customFormat="1" ht="42" customHeight="1" x14ac:dyDescent="0.25">
      <c r="A40" s="367">
        <v>730007</v>
      </c>
      <c r="B40" s="12" t="s">
        <v>5</v>
      </c>
      <c r="C40" s="56" t="s">
        <v>208</v>
      </c>
      <c r="D40" s="12" t="s">
        <v>1989</v>
      </c>
      <c r="E40" s="12" t="s">
        <v>1990</v>
      </c>
      <c r="F40" s="16" t="s">
        <v>1991</v>
      </c>
      <c r="G40" s="10" t="s">
        <v>15</v>
      </c>
      <c r="H40" s="10" t="s">
        <v>132</v>
      </c>
      <c r="I40" s="16" t="s">
        <v>18</v>
      </c>
      <c r="J40" s="14">
        <v>45671</v>
      </c>
      <c r="K40" s="13" t="s">
        <v>1992</v>
      </c>
      <c r="L40" s="20">
        <f t="shared" si="9"/>
        <v>45678</v>
      </c>
      <c r="M40" s="14">
        <v>45678</v>
      </c>
      <c r="N40" s="92">
        <f t="shared" ref="N40:N47" si="10">M40-L40</f>
        <v>0</v>
      </c>
      <c r="O40" s="10" t="s">
        <v>2001</v>
      </c>
      <c r="P40" s="12" t="s">
        <v>5</v>
      </c>
      <c r="Q40" s="21">
        <v>45774</v>
      </c>
      <c r="R40" s="10" t="s">
        <v>3097</v>
      </c>
      <c r="S40" s="20">
        <f t="shared" si="7"/>
        <v>45781</v>
      </c>
      <c r="T40" s="21">
        <v>45782</v>
      </c>
      <c r="U40" s="95">
        <f t="shared" si="8"/>
        <v>1</v>
      </c>
      <c r="V40" s="10" t="s">
        <v>3105</v>
      </c>
      <c r="W40" s="10"/>
      <c r="X40" s="21"/>
      <c r="Y40" s="10"/>
      <c r="Z40" s="10"/>
      <c r="AA40" s="21"/>
      <c r="AB40" s="21"/>
      <c r="AC40" s="10"/>
      <c r="AD40" s="10"/>
      <c r="AE40" s="21"/>
      <c r="AF40" s="10"/>
      <c r="AG40" s="10"/>
      <c r="AH40" s="21"/>
      <c r="AI40" s="21"/>
      <c r="AJ40" s="10"/>
      <c r="AK40" s="10"/>
      <c r="AL40" s="17"/>
      <c r="AM40" s="11"/>
      <c r="AN40" s="11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1"/>
      <c r="BF40" s="259"/>
    </row>
    <row r="41" spans="1:58" s="381" customFormat="1" ht="42" customHeight="1" x14ac:dyDescent="0.25">
      <c r="A41" s="367">
        <v>730007</v>
      </c>
      <c r="B41" s="12" t="s">
        <v>5</v>
      </c>
      <c r="C41" s="56" t="s">
        <v>208</v>
      </c>
      <c r="D41" s="12" t="s">
        <v>2231</v>
      </c>
      <c r="E41" s="12" t="s">
        <v>2232</v>
      </c>
      <c r="F41" s="10" t="s">
        <v>2233</v>
      </c>
      <c r="G41" s="10" t="s">
        <v>15</v>
      </c>
      <c r="H41" s="10" t="s">
        <v>132</v>
      </c>
      <c r="I41" s="10" t="s">
        <v>18</v>
      </c>
      <c r="J41" s="14">
        <v>45688</v>
      </c>
      <c r="K41" s="13" t="s">
        <v>2234</v>
      </c>
      <c r="L41" s="20">
        <f t="shared" si="9"/>
        <v>45695</v>
      </c>
      <c r="M41" s="14">
        <v>45692</v>
      </c>
      <c r="N41" s="92">
        <f t="shared" si="10"/>
        <v>-3</v>
      </c>
      <c r="O41" s="10" t="s">
        <v>2259</v>
      </c>
      <c r="P41" s="10" t="s">
        <v>5</v>
      </c>
      <c r="Q41" s="21">
        <v>45964</v>
      </c>
      <c r="R41" s="10" t="s">
        <v>4694</v>
      </c>
      <c r="S41" s="20">
        <f t="shared" si="7"/>
        <v>45971</v>
      </c>
      <c r="T41" s="21">
        <v>45971</v>
      </c>
      <c r="U41" s="95">
        <f t="shared" si="8"/>
        <v>0</v>
      </c>
      <c r="V41" s="10" t="s">
        <v>4737</v>
      </c>
      <c r="W41" s="10"/>
      <c r="X41" s="21"/>
      <c r="Y41" s="10"/>
      <c r="Z41" s="10"/>
      <c r="AA41" s="21"/>
      <c r="AB41" s="21"/>
      <c r="AC41" s="10"/>
      <c r="AD41" s="10"/>
      <c r="AE41" s="21"/>
      <c r="AF41" s="10"/>
      <c r="AG41" s="10"/>
      <c r="AH41" s="21"/>
      <c r="AI41" s="21"/>
      <c r="AJ41" s="10"/>
      <c r="AK41" s="10"/>
      <c r="AL41" s="20"/>
      <c r="AM41" s="12"/>
      <c r="AN41" s="12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12"/>
      <c r="BF41" s="259"/>
    </row>
    <row r="42" spans="1:58" s="381" customFormat="1" ht="42" customHeight="1" x14ac:dyDescent="0.25">
      <c r="A42" s="367">
        <v>730007</v>
      </c>
      <c r="B42" s="12" t="s">
        <v>5</v>
      </c>
      <c r="C42" s="56" t="s">
        <v>208</v>
      </c>
      <c r="D42" s="12" t="s">
        <v>2647</v>
      </c>
      <c r="E42" s="12" t="s">
        <v>2648</v>
      </c>
      <c r="F42" s="10" t="s">
        <v>2649</v>
      </c>
      <c r="G42" s="10" t="s">
        <v>15</v>
      </c>
      <c r="H42" s="10" t="s">
        <v>132</v>
      </c>
      <c r="I42" s="16" t="s">
        <v>18</v>
      </c>
      <c r="J42" s="14">
        <v>45717</v>
      </c>
      <c r="K42" s="13" t="s">
        <v>2650</v>
      </c>
      <c r="L42" s="20">
        <f t="shared" si="9"/>
        <v>45724</v>
      </c>
      <c r="M42" s="14">
        <v>45725</v>
      </c>
      <c r="N42" s="92">
        <f t="shared" si="10"/>
        <v>1</v>
      </c>
      <c r="O42" s="10" t="s">
        <v>2662</v>
      </c>
      <c r="P42" s="10" t="s">
        <v>5</v>
      </c>
      <c r="Q42" s="21">
        <v>45964</v>
      </c>
      <c r="R42" s="10" t="s">
        <v>4695</v>
      </c>
      <c r="S42" s="20">
        <f t="shared" si="7"/>
        <v>45971</v>
      </c>
      <c r="T42" s="21">
        <v>45971</v>
      </c>
      <c r="U42" s="95">
        <f t="shared" si="8"/>
        <v>0</v>
      </c>
      <c r="V42" s="10" t="s">
        <v>4738</v>
      </c>
      <c r="W42" s="10"/>
      <c r="X42" s="21"/>
      <c r="Y42" s="10"/>
      <c r="Z42" s="10"/>
      <c r="AA42" s="21"/>
      <c r="AB42" s="21"/>
      <c r="AC42" s="10"/>
      <c r="AD42" s="10"/>
      <c r="AE42" s="21"/>
      <c r="AF42" s="10"/>
      <c r="AG42" s="10"/>
      <c r="AH42" s="21"/>
      <c r="AI42" s="21"/>
      <c r="AJ42" s="10"/>
      <c r="AK42" s="10"/>
      <c r="AL42" s="17"/>
      <c r="AM42" s="11"/>
      <c r="AN42" s="11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1"/>
      <c r="BF42" s="259"/>
    </row>
    <row r="43" spans="1:58" s="381" customFormat="1" ht="42" customHeight="1" x14ac:dyDescent="0.25">
      <c r="A43" s="367">
        <v>730007</v>
      </c>
      <c r="B43" s="12" t="s">
        <v>5</v>
      </c>
      <c r="C43" s="56" t="s">
        <v>208</v>
      </c>
      <c r="D43" s="12" t="s">
        <v>2762</v>
      </c>
      <c r="E43" s="12" t="s">
        <v>2763</v>
      </c>
      <c r="F43" s="16" t="s">
        <v>2764</v>
      </c>
      <c r="G43" s="10" t="s">
        <v>15</v>
      </c>
      <c r="H43" s="10" t="s">
        <v>132</v>
      </c>
      <c r="I43" s="16" t="s">
        <v>18</v>
      </c>
      <c r="J43" s="14">
        <v>45728</v>
      </c>
      <c r="K43" s="13" t="s">
        <v>2765</v>
      </c>
      <c r="L43" s="20">
        <f t="shared" si="9"/>
        <v>45735</v>
      </c>
      <c r="M43" s="14">
        <v>45735</v>
      </c>
      <c r="N43" s="92">
        <f t="shared" si="10"/>
        <v>0</v>
      </c>
      <c r="O43" s="10" t="s">
        <v>2783</v>
      </c>
      <c r="P43" s="10" t="s">
        <v>5</v>
      </c>
      <c r="Q43" s="21">
        <v>46027</v>
      </c>
      <c r="R43" s="10" t="s">
        <v>5462</v>
      </c>
      <c r="S43" s="21">
        <f t="shared" si="7"/>
        <v>46034</v>
      </c>
      <c r="T43" s="21">
        <v>46036</v>
      </c>
      <c r="U43" s="95">
        <f t="shared" si="8"/>
        <v>2</v>
      </c>
      <c r="V43" s="10" t="s">
        <v>5483</v>
      </c>
      <c r="W43" s="10"/>
      <c r="X43" s="21"/>
      <c r="Y43" s="10"/>
      <c r="Z43" s="10"/>
      <c r="AA43" s="21"/>
      <c r="AB43" s="21"/>
      <c r="AC43" s="10"/>
      <c r="AD43" s="10"/>
      <c r="AE43" s="21"/>
      <c r="AF43" s="10"/>
      <c r="AG43" s="10"/>
      <c r="AH43" s="21"/>
      <c r="AI43" s="21"/>
      <c r="AJ43" s="10"/>
      <c r="AK43" s="10"/>
      <c r="AL43" s="17"/>
      <c r="AM43" s="11"/>
      <c r="AN43" s="11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1"/>
      <c r="BF43" s="259"/>
    </row>
    <row r="44" spans="1:58" s="381" customFormat="1" ht="42" customHeight="1" x14ac:dyDescent="0.25">
      <c r="A44" s="367">
        <v>730007</v>
      </c>
      <c r="B44" s="12" t="s">
        <v>5</v>
      </c>
      <c r="C44" s="56" t="s">
        <v>208</v>
      </c>
      <c r="D44" s="12" t="s">
        <v>3595</v>
      </c>
      <c r="E44" s="12" t="s">
        <v>3596</v>
      </c>
      <c r="F44" s="10" t="s">
        <v>3582</v>
      </c>
      <c r="G44" s="10" t="s">
        <v>15</v>
      </c>
      <c r="H44" s="10" t="s">
        <v>132</v>
      </c>
      <c r="I44" s="16" t="s">
        <v>18</v>
      </c>
      <c r="J44" s="14">
        <v>45843</v>
      </c>
      <c r="K44" s="59" t="s">
        <v>3597</v>
      </c>
      <c r="L44" s="20">
        <f t="shared" si="9"/>
        <v>45850</v>
      </c>
      <c r="M44" s="14">
        <v>45858</v>
      </c>
      <c r="N44" s="92">
        <f t="shared" si="10"/>
        <v>8</v>
      </c>
      <c r="O44" s="10" t="s">
        <v>3665</v>
      </c>
      <c r="P44" s="10" t="s">
        <v>5</v>
      </c>
      <c r="Q44" s="21">
        <v>45964</v>
      </c>
      <c r="R44" s="10" t="s">
        <v>4704</v>
      </c>
      <c r="S44" s="20">
        <f t="shared" si="7"/>
        <v>45971</v>
      </c>
      <c r="T44" s="21">
        <v>45971</v>
      </c>
      <c r="U44" s="95">
        <f t="shared" si="8"/>
        <v>0</v>
      </c>
      <c r="V44" s="10" t="s">
        <v>4739</v>
      </c>
      <c r="W44" s="10"/>
      <c r="X44" s="21"/>
      <c r="Y44" s="10"/>
      <c r="Z44" s="10"/>
      <c r="AA44" s="21"/>
      <c r="AB44" s="21"/>
      <c r="AC44" s="10"/>
      <c r="AD44" s="10"/>
      <c r="AE44" s="21"/>
      <c r="AF44" s="10"/>
      <c r="AG44" s="10"/>
      <c r="AH44" s="21"/>
      <c r="AI44" s="21"/>
      <c r="AJ44" s="10"/>
      <c r="AK44" s="10"/>
      <c r="AL44" s="17"/>
      <c r="AM44" s="11"/>
      <c r="AN44" s="11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1"/>
      <c r="BF44" s="259"/>
    </row>
    <row r="45" spans="1:58" s="381" customFormat="1" ht="42" customHeight="1" x14ac:dyDescent="0.25">
      <c r="A45" s="367">
        <v>730007</v>
      </c>
      <c r="B45" s="12" t="s">
        <v>5</v>
      </c>
      <c r="C45" s="13" t="s">
        <v>208</v>
      </c>
      <c r="D45" s="12" t="s">
        <v>3937</v>
      </c>
      <c r="E45" s="12" t="s">
        <v>3938</v>
      </c>
      <c r="F45" s="16" t="s">
        <v>3939</v>
      </c>
      <c r="G45" s="10" t="s">
        <v>15</v>
      </c>
      <c r="H45" s="10" t="s">
        <v>132</v>
      </c>
      <c r="I45" s="16" t="s">
        <v>18</v>
      </c>
      <c r="J45" s="14">
        <v>45883</v>
      </c>
      <c r="K45" s="13" t="s">
        <v>3940</v>
      </c>
      <c r="L45" s="20">
        <f t="shared" si="9"/>
        <v>45890</v>
      </c>
      <c r="M45" s="14">
        <v>45894</v>
      </c>
      <c r="N45" s="92">
        <f t="shared" si="10"/>
        <v>4</v>
      </c>
      <c r="O45" s="10" t="s">
        <v>3965</v>
      </c>
      <c r="P45" s="16" t="s">
        <v>5</v>
      </c>
      <c r="Q45" s="21">
        <v>45919</v>
      </c>
      <c r="R45" s="10" t="s">
        <v>4235</v>
      </c>
      <c r="S45" s="20">
        <f>Q45+7</f>
        <v>45926</v>
      </c>
      <c r="T45" s="21">
        <v>45924</v>
      </c>
      <c r="U45" s="92">
        <f>T45-S45</f>
        <v>-2</v>
      </c>
      <c r="V45" s="10" t="s">
        <v>4240</v>
      </c>
      <c r="W45" s="10"/>
      <c r="X45" s="21"/>
      <c r="Y45" s="10"/>
      <c r="Z45" s="10"/>
      <c r="AA45" s="21"/>
      <c r="AB45" s="21"/>
      <c r="AC45" s="10"/>
      <c r="AD45" s="10"/>
      <c r="AE45" s="21"/>
      <c r="AF45" s="10"/>
      <c r="AG45" s="10"/>
      <c r="AH45" s="21"/>
      <c r="AI45" s="21"/>
      <c r="AJ45" s="10"/>
      <c r="AK45" s="10"/>
      <c r="AL45" s="17"/>
      <c r="AM45" s="11"/>
      <c r="AN45" s="11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1"/>
      <c r="BF45" s="259"/>
    </row>
    <row r="46" spans="1:58" s="381" customFormat="1" ht="42" customHeight="1" x14ac:dyDescent="0.25">
      <c r="A46" s="367">
        <v>730007</v>
      </c>
      <c r="B46" s="12" t="s">
        <v>5</v>
      </c>
      <c r="C46" s="13" t="s">
        <v>208</v>
      </c>
      <c r="D46" s="12" t="s">
        <v>5896</v>
      </c>
      <c r="E46" s="12" t="s">
        <v>5897</v>
      </c>
      <c r="F46" s="16" t="s">
        <v>5898</v>
      </c>
      <c r="G46" s="10" t="s">
        <v>15</v>
      </c>
      <c r="H46" s="10" t="s">
        <v>132</v>
      </c>
      <c r="I46" s="16" t="s">
        <v>18</v>
      </c>
      <c r="J46" s="14">
        <v>46079</v>
      </c>
      <c r="K46" s="13" t="s">
        <v>5899</v>
      </c>
      <c r="L46" s="20">
        <f t="shared" si="9"/>
        <v>46086</v>
      </c>
      <c r="M46" s="14">
        <v>46079</v>
      </c>
      <c r="N46" s="92">
        <f t="shared" si="10"/>
        <v>-7</v>
      </c>
      <c r="O46" s="10" t="s">
        <v>5907</v>
      </c>
      <c r="P46" s="12" t="s">
        <v>5</v>
      </c>
      <c r="Q46" s="21">
        <v>46083</v>
      </c>
      <c r="R46" s="10" t="s">
        <v>5921</v>
      </c>
      <c r="S46" s="20">
        <f>Q46+7</f>
        <v>46090</v>
      </c>
      <c r="T46" s="21">
        <v>46090</v>
      </c>
      <c r="U46" s="92">
        <f>T46-S46</f>
        <v>0</v>
      </c>
      <c r="V46" s="10" t="s">
        <v>5935</v>
      </c>
      <c r="W46" s="10"/>
      <c r="X46" s="21"/>
      <c r="Y46" s="10"/>
      <c r="Z46" s="10"/>
      <c r="AA46" s="21"/>
      <c r="AB46" s="21"/>
      <c r="AC46" s="10"/>
      <c r="AD46" s="10"/>
      <c r="AE46" s="21"/>
      <c r="AF46" s="10"/>
      <c r="AG46" s="10"/>
      <c r="AH46" s="21"/>
      <c r="AI46" s="21"/>
      <c r="AJ46" s="10"/>
      <c r="AK46" s="10"/>
      <c r="AL46" s="17"/>
      <c r="AM46" s="11"/>
      <c r="AN46" s="11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1"/>
      <c r="BF46" s="259"/>
    </row>
    <row r="47" spans="1:58" s="381" customFormat="1" ht="42" customHeight="1" x14ac:dyDescent="0.25">
      <c r="A47" s="367">
        <v>730007</v>
      </c>
      <c r="B47" s="10" t="s">
        <v>5</v>
      </c>
      <c r="C47" s="13" t="s">
        <v>588</v>
      </c>
      <c r="D47" s="12" t="s">
        <v>6045</v>
      </c>
      <c r="E47" s="12" t="s">
        <v>6046</v>
      </c>
      <c r="F47" s="16" t="s">
        <v>6047</v>
      </c>
      <c r="G47" s="10" t="s">
        <v>15</v>
      </c>
      <c r="H47" s="10" t="s">
        <v>132</v>
      </c>
      <c r="I47" s="16" t="s">
        <v>3</v>
      </c>
      <c r="J47" s="14">
        <v>46094</v>
      </c>
      <c r="K47" s="13" t="s">
        <v>6048</v>
      </c>
      <c r="L47" s="20">
        <f>J47+7</f>
        <v>46101</v>
      </c>
      <c r="M47" s="14">
        <v>46097</v>
      </c>
      <c r="N47" s="92">
        <f t="shared" si="10"/>
        <v>-4</v>
      </c>
      <c r="O47" s="10" t="s">
        <v>6058</v>
      </c>
      <c r="P47" s="10" t="s">
        <v>18</v>
      </c>
      <c r="Q47" s="21">
        <v>46105</v>
      </c>
      <c r="R47" s="21" t="s">
        <v>6110</v>
      </c>
      <c r="S47" s="20">
        <f>Q47+7</f>
        <v>46112</v>
      </c>
      <c r="T47" s="21">
        <v>46117</v>
      </c>
      <c r="U47" s="92">
        <f>T47-S47</f>
        <v>5</v>
      </c>
      <c r="V47" s="10" t="s">
        <v>6116</v>
      </c>
      <c r="W47" s="12" t="s">
        <v>5</v>
      </c>
      <c r="X47" s="21">
        <v>46117</v>
      </c>
      <c r="Y47" s="10" t="s">
        <v>6254</v>
      </c>
      <c r="Z47" s="20">
        <f>X47+7</f>
        <v>46124</v>
      </c>
      <c r="AA47" s="21">
        <v>46125</v>
      </c>
      <c r="AB47" s="92">
        <f>AA47-Z47</f>
        <v>1</v>
      </c>
      <c r="AC47" s="10" t="s">
        <v>6260</v>
      </c>
      <c r="AD47" s="10"/>
      <c r="AE47" s="21"/>
      <c r="AF47" s="10"/>
      <c r="AG47" s="10"/>
      <c r="AH47" s="21"/>
      <c r="AI47" s="21"/>
      <c r="AJ47" s="10"/>
      <c r="AK47" s="10"/>
      <c r="AL47" s="17"/>
      <c r="AM47" s="11"/>
      <c r="AN47" s="11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1"/>
      <c r="BF47" s="259"/>
    </row>
    <row r="48" spans="1:58" s="381" customFormat="1" ht="42" customHeight="1" x14ac:dyDescent="0.25">
      <c r="A48" s="367">
        <v>730007</v>
      </c>
      <c r="B48" s="10" t="s">
        <v>13</v>
      </c>
      <c r="C48" s="56" t="s">
        <v>208</v>
      </c>
      <c r="D48" s="12" t="s">
        <v>6049</v>
      </c>
      <c r="E48" s="12" t="s">
        <v>6050</v>
      </c>
      <c r="F48" s="16" t="s">
        <v>6052</v>
      </c>
      <c r="G48" s="10" t="s">
        <v>15</v>
      </c>
      <c r="H48" s="10" t="s">
        <v>132</v>
      </c>
      <c r="I48" s="16" t="s">
        <v>3</v>
      </c>
      <c r="J48" s="14">
        <v>46095</v>
      </c>
      <c r="K48" s="13" t="s">
        <v>6051</v>
      </c>
      <c r="L48" s="20">
        <f>J48+7</f>
        <v>46102</v>
      </c>
      <c r="M48" s="14">
        <v>46098</v>
      </c>
      <c r="N48" s="92">
        <f>M48-L48</f>
        <v>-4</v>
      </c>
      <c r="O48" s="92" t="s">
        <v>6059</v>
      </c>
      <c r="P48" s="10" t="s">
        <v>13</v>
      </c>
      <c r="Q48" s="21">
        <v>46104</v>
      </c>
      <c r="R48" s="21" t="s">
        <v>6105</v>
      </c>
      <c r="S48" s="20">
        <f>Q48+7</f>
        <v>46111</v>
      </c>
      <c r="T48" s="21">
        <v>46112</v>
      </c>
      <c r="U48" s="92">
        <f>T48-S48</f>
        <v>1</v>
      </c>
      <c r="V48" s="10" t="s">
        <v>6115</v>
      </c>
      <c r="W48" s="10"/>
      <c r="X48" s="21"/>
      <c r="Y48" s="10"/>
      <c r="Z48" s="10"/>
      <c r="AA48" s="21"/>
      <c r="AB48" s="21"/>
      <c r="AC48" s="10"/>
      <c r="AD48" s="10"/>
      <c r="AE48" s="21"/>
      <c r="AF48" s="10"/>
      <c r="AG48" s="10"/>
      <c r="AH48" s="21"/>
      <c r="AI48" s="21"/>
      <c r="AJ48" s="10"/>
      <c r="AK48" s="10"/>
      <c r="AL48" s="17"/>
      <c r="AM48" s="11"/>
      <c r="AN48" s="11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1"/>
      <c r="BF48" s="259"/>
    </row>
    <row r="49" spans="1:58" s="381" customFormat="1" ht="42" customHeight="1" x14ac:dyDescent="0.25">
      <c r="A49" s="367">
        <v>730007</v>
      </c>
      <c r="B49" s="10" t="s">
        <v>5</v>
      </c>
      <c r="C49" s="56" t="s">
        <v>208</v>
      </c>
      <c r="D49" s="12" t="s">
        <v>6130</v>
      </c>
      <c r="E49" s="12" t="s">
        <v>6132</v>
      </c>
      <c r="F49" s="16" t="s">
        <v>6133</v>
      </c>
      <c r="G49" s="10" t="s">
        <v>15</v>
      </c>
      <c r="H49" s="10" t="s">
        <v>132</v>
      </c>
      <c r="I49" s="16" t="s">
        <v>18</v>
      </c>
      <c r="J49" s="14">
        <v>46106</v>
      </c>
      <c r="K49" s="13" t="s">
        <v>6131</v>
      </c>
      <c r="L49" s="20">
        <f>J49+7</f>
        <v>46113</v>
      </c>
      <c r="M49" s="14">
        <v>46119</v>
      </c>
      <c r="N49" s="92">
        <f>M49-L49</f>
        <v>6</v>
      </c>
      <c r="O49" s="10" t="s">
        <v>6138</v>
      </c>
      <c r="P49" s="12" t="s">
        <v>5</v>
      </c>
      <c r="Q49" s="21">
        <v>46131</v>
      </c>
      <c r="R49" s="10" t="s">
        <v>6449</v>
      </c>
      <c r="S49" s="10">
        <f>Q49+7</f>
        <v>46138</v>
      </c>
      <c r="T49" s="21">
        <v>46138</v>
      </c>
      <c r="U49" s="92">
        <f>T49-S49</f>
        <v>0</v>
      </c>
      <c r="V49" s="10" t="s">
        <v>6458</v>
      </c>
      <c r="W49" s="10"/>
      <c r="X49" s="21"/>
      <c r="Y49" s="10"/>
      <c r="Z49" s="10"/>
      <c r="AA49" s="21"/>
      <c r="AB49" s="21"/>
      <c r="AC49" s="10"/>
      <c r="AD49" s="10"/>
      <c r="AE49" s="21"/>
      <c r="AF49" s="10"/>
      <c r="AG49" s="10"/>
      <c r="AH49" s="21"/>
      <c r="AI49" s="21"/>
      <c r="AJ49" s="10"/>
      <c r="AK49" s="10"/>
      <c r="AL49" s="17"/>
      <c r="AM49" s="11"/>
      <c r="AN49" s="11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1"/>
      <c r="BF49" s="259"/>
    </row>
    <row r="50" spans="1:58" s="381" customFormat="1" ht="42" customHeight="1" x14ac:dyDescent="0.25">
      <c r="A50" s="367">
        <v>730007</v>
      </c>
      <c r="B50" s="12" t="s">
        <v>18</v>
      </c>
      <c r="C50" s="56" t="s">
        <v>54</v>
      </c>
      <c r="D50" s="12" t="s">
        <v>7485</v>
      </c>
      <c r="E50" s="12" t="s">
        <v>7486</v>
      </c>
      <c r="F50" s="16" t="s">
        <v>7487</v>
      </c>
      <c r="G50" s="10" t="s">
        <v>15</v>
      </c>
      <c r="H50" s="10" t="s">
        <v>132</v>
      </c>
      <c r="I50" s="16" t="s">
        <v>18</v>
      </c>
      <c r="J50" s="14">
        <v>46252</v>
      </c>
      <c r="K50" s="13" t="s">
        <v>7488</v>
      </c>
      <c r="L50" s="20">
        <f>J50+7</f>
        <v>46259</v>
      </c>
      <c r="M50" s="14">
        <v>46254</v>
      </c>
      <c r="N50" s="92">
        <f>M50-L50</f>
        <v>-5</v>
      </c>
      <c r="O50" s="10" t="s">
        <v>7489</v>
      </c>
      <c r="P50" s="58"/>
      <c r="Q50" s="21"/>
      <c r="R50" s="10"/>
      <c r="S50" s="10"/>
      <c r="T50" s="21"/>
      <c r="U50" s="95"/>
      <c r="V50" s="10"/>
      <c r="W50" s="10"/>
      <c r="X50" s="21"/>
      <c r="Y50" s="10"/>
      <c r="Z50" s="10"/>
      <c r="AA50" s="21"/>
      <c r="AB50" s="21"/>
      <c r="AC50" s="10"/>
      <c r="AD50" s="10"/>
      <c r="AE50" s="21"/>
      <c r="AF50" s="10"/>
      <c r="AG50" s="10"/>
      <c r="AH50" s="21"/>
      <c r="AI50" s="21"/>
      <c r="AJ50" s="10"/>
      <c r="AK50" s="10"/>
      <c r="AL50" s="17"/>
      <c r="AM50" s="11"/>
      <c r="AN50" s="11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1"/>
      <c r="BF50" s="259"/>
    </row>
    <row r="51" spans="1:58" s="381" customFormat="1" ht="42" customHeight="1" thickBot="1" x14ac:dyDescent="0.3">
      <c r="A51" s="369"/>
      <c r="B51" s="370"/>
      <c r="C51" s="446"/>
      <c r="D51" s="370"/>
      <c r="E51" s="370"/>
      <c r="F51" s="262"/>
      <c r="G51" s="263"/>
      <c r="H51" s="263"/>
      <c r="I51" s="262"/>
      <c r="J51" s="474"/>
      <c r="K51" s="373"/>
      <c r="L51" s="476"/>
      <c r="M51" s="474"/>
      <c r="N51" s="425"/>
      <c r="O51" s="263"/>
      <c r="P51" s="470"/>
      <c r="Q51" s="374"/>
      <c r="R51" s="263"/>
      <c r="S51" s="263"/>
      <c r="T51" s="374"/>
      <c r="U51" s="375"/>
      <c r="V51" s="263"/>
      <c r="W51" s="263"/>
      <c r="X51" s="374"/>
      <c r="Y51" s="263"/>
      <c r="Z51" s="263"/>
      <c r="AA51" s="374"/>
      <c r="AB51" s="374"/>
      <c r="AC51" s="263"/>
      <c r="AD51" s="263"/>
      <c r="AE51" s="374"/>
      <c r="AF51" s="263"/>
      <c r="AG51" s="263"/>
      <c r="AH51" s="374"/>
      <c r="AI51" s="374"/>
      <c r="AJ51" s="263"/>
      <c r="AK51" s="263"/>
      <c r="AL51" s="376"/>
      <c r="AM51" s="371"/>
      <c r="AN51" s="371"/>
      <c r="AO51" s="376"/>
      <c r="AP51" s="376"/>
      <c r="AQ51" s="376"/>
      <c r="AR51" s="376"/>
      <c r="AS51" s="376"/>
      <c r="AT51" s="376"/>
      <c r="AU51" s="376"/>
      <c r="AV51" s="376"/>
      <c r="AW51" s="376"/>
      <c r="AX51" s="376"/>
      <c r="AY51" s="376"/>
      <c r="AZ51" s="376"/>
      <c r="BA51" s="376"/>
      <c r="BB51" s="376"/>
      <c r="BC51" s="376"/>
      <c r="BD51" s="376"/>
      <c r="BE51" s="371"/>
      <c r="BF51" s="266"/>
    </row>
  </sheetData>
  <autoFilter ref="A11:BF11" xr:uid="{00000000-0001-0000-0E00-000000000000}"/>
  <mergeCells count="18">
    <mergeCell ref="A10:A11"/>
    <mergeCell ref="H1:H2"/>
    <mergeCell ref="I1:I2"/>
    <mergeCell ref="H10:H11"/>
    <mergeCell ref="I10:O10"/>
    <mergeCell ref="AY10:BE10"/>
    <mergeCell ref="BF10:BF11"/>
    <mergeCell ref="G10:G11"/>
    <mergeCell ref="B10:B11"/>
    <mergeCell ref="C10:C11"/>
    <mergeCell ref="D10:D11"/>
    <mergeCell ref="E10:E11"/>
    <mergeCell ref="F10:F11"/>
    <mergeCell ref="P10:V10"/>
    <mergeCell ref="W10:AC10"/>
    <mergeCell ref="AD10:AJ10"/>
    <mergeCell ref="AK10:AQ10"/>
    <mergeCell ref="AR10:AX10"/>
  </mergeCells>
  <phoneticPr fontId="5" type="noConversion"/>
  <conditionalFormatting sqref="B1:G2 V1:XFD9 B3:H4 B9:H9 A10:BF10 BF12:XFD51 A51:BE51">
    <cfRule type="cellIs" dxfId="4089" priority="100" operator="equal">
      <formula>"A - Work May Proceed"</formula>
    </cfRule>
    <cfRule type="cellIs" dxfId="4088" priority="99" operator="equal">
      <formula>"C - Revise and Resubmit - Do Not Proceed"</formula>
    </cfRule>
    <cfRule type="cellIs" dxfId="4087" priority="98" operator="equal">
      <formula>"B- Incorporate Comments - Proceed"</formula>
    </cfRule>
    <cfRule type="cellIs" dxfId="4086" priority="97" operator="equal">
      <formula>"D - Rejected"</formula>
    </cfRule>
    <cfRule type="cellIs" dxfId="4085" priority="96" operator="equal">
      <formula>"E - Review not Required - Proceed"</formula>
    </cfRule>
  </conditionalFormatting>
  <conditionalFormatting sqref="B12:BE50">
    <cfRule type="cellIs" dxfId="4084" priority="26" operator="equal">
      <formula>"E - Review not Required - Proceed"</formula>
    </cfRule>
    <cfRule type="cellIs" dxfId="4083" priority="27" operator="equal">
      <formula>"D - Rejected"</formula>
    </cfRule>
    <cfRule type="cellIs" dxfId="4082" priority="28" operator="equal">
      <formula>"B- Incorporate Comments - Proceed"</formula>
    </cfRule>
    <cfRule type="cellIs" dxfId="4081" priority="29" operator="equal">
      <formula>"C - Revise and Resubmit - Do Not Proceed"</formula>
    </cfRule>
    <cfRule type="cellIs" dxfId="4080" priority="30" operator="equal">
      <formula>"A - Work May Proceed"</formula>
    </cfRule>
  </conditionalFormatting>
  <conditionalFormatting sqref="D11:BE11">
    <cfRule type="cellIs" dxfId="4079" priority="41" operator="equal">
      <formula>"E - Review not Required - Proceed"</formula>
    </cfRule>
    <cfRule type="cellIs" dxfId="4078" priority="42" operator="equal">
      <formula>"D - Rejected"</formula>
    </cfRule>
    <cfRule type="cellIs" dxfId="4077" priority="43" operator="equal">
      <formula>"B- Incorporate Comments - Proceed"</formula>
    </cfRule>
    <cfRule type="cellIs" dxfId="4076" priority="44" operator="equal">
      <formula>"C - Revise and Resubmit - Do Not Proceed"</formula>
    </cfRule>
    <cfRule type="cellIs" dxfId="4075" priority="45" operator="equal">
      <formula>"A - Work May Proceed"</formula>
    </cfRule>
  </conditionalFormatting>
  <conditionalFormatting sqref="I11">
    <cfRule type="cellIs" dxfId="4074" priority="178" operator="between">
      <formula>"A - Work May Proceed"</formula>
      <formula>"A - Work May Proceed"</formula>
    </cfRule>
    <cfRule type="cellIs" dxfId="4073" priority="165" operator="equal">
      <formula>"B - Incorporate Comments - Proceed"</formula>
    </cfRule>
    <cfRule type="cellIs" dxfId="4072" priority="177" operator="between">
      <formula>"CANCELLED"</formula>
      <formula>"CANCELLED"</formula>
    </cfRule>
    <cfRule type="cellIs" dxfId="4071" priority="176" operator="between">
      <formula>"D - Rejected "</formula>
      <formula>"D - Rejected "</formula>
    </cfRule>
    <cfRule type="cellIs" dxfId="4070" priority="175" operator="between">
      <formula>"E - Review not Required - Proceed"</formula>
      <formula>"E - Review not Required - Proceed"</formula>
    </cfRule>
    <cfRule type="cellIs" dxfId="4069" priority="174" operator="between">
      <formula>"B - Incorporate Comments - Proceed"</formula>
      <formula>"B - Incorporate Comments - Proceed"</formula>
    </cfRule>
    <cfRule type="cellIs" dxfId="4068" priority="173" operator="between">
      <formula>"A - Work May Proceed"</formula>
      <formula>"A - Work May Proceed"</formula>
    </cfRule>
    <cfRule type="cellIs" dxfId="4067" priority="172" operator="between">
      <formula>"B - Incorporate Comments - Proceed"</formula>
      <formula>"B - Incorporate Comments - Proceed"</formula>
    </cfRule>
    <cfRule type="cellIs" dxfId="4066" priority="171" operator="between">
      <formula>"C - Revise and Resubmit - Do Not Proceed"</formula>
      <formula>"C - Revise and Resubmit - Do Not Proceed"</formula>
    </cfRule>
    <cfRule type="cellIs" dxfId="4065" priority="170" operator="between">
      <formula>"'D - Rejected "</formula>
      <formula>"'D - Rejected "</formula>
    </cfRule>
    <cfRule type="cellIs" dxfId="4064" priority="169" operator="between">
      <formula>"E - Review not Required - Proceed"</formula>
      <formula>"E - Review not Required - Proceed"</formula>
    </cfRule>
    <cfRule type="cellIs" dxfId="4063" priority="168" operator="equal">
      <formula>"E - Review Not Required - Proceed"</formula>
    </cfRule>
    <cfRule type="cellIs" dxfId="4062" priority="167" operator="equal">
      <formula>"B - Incorporate Comments - Proceed "</formula>
    </cfRule>
    <cfRule type="cellIs" dxfId="4061" priority="166" operator="equal">
      <formula>"For Information"</formula>
    </cfRule>
    <cfRule type="cellIs" dxfId="4060" priority="180" stopIfTrue="1" operator="between">
      <formula>"B - Incorporate Comments - Proceed "</formula>
      <formula>"B - Incorporate Comments - Proceed "</formula>
    </cfRule>
    <cfRule type="cellIs" dxfId="4059" priority="179" operator="between">
      <formula>"C - Revise and Resubmit - Do Not Proceed"</formula>
      <formula>"C - Revise and Resubmit - Do Not Proceed"</formula>
    </cfRule>
  </conditionalFormatting>
  <conditionalFormatting sqref="J5:J6 B5:I7 B8:J8">
    <cfRule type="cellIs" dxfId="4058" priority="49" operator="equal">
      <formula>"C - Revise and Resubmit - Do Not Proceed"</formula>
    </cfRule>
    <cfRule type="cellIs" dxfId="4057" priority="48" operator="equal">
      <formula>"B- Incorporate Comments - Proceed"</formula>
    </cfRule>
    <cfRule type="cellIs" dxfId="4056" priority="47" operator="equal">
      <formula>"D - Rejected"</formula>
    </cfRule>
    <cfRule type="cellIs" dxfId="4055" priority="46" operator="equal">
      <formula>"E - Review not Required - Proceed"</formula>
    </cfRule>
    <cfRule type="cellIs" dxfId="4054" priority="50" stopIfTrue="1" operator="equal">
      <formula>"A - Work May Proceed"</formula>
    </cfRule>
  </conditionalFormatting>
  <conditionalFormatting sqref="P11">
    <cfRule type="cellIs" dxfId="4053" priority="157" operator="between">
      <formula>"A - Work May Proceed"</formula>
      <formula>"A - Work May Proceed"</formula>
    </cfRule>
    <cfRule type="cellIs" dxfId="4052" priority="156" operator="between">
      <formula>"B - Incorporate Comments - Proceed"</formula>
      <formula>"B - Incorporate Comments - Proceed"</formula>
    </cfRule>
    <cfRule type="cellIs" dxfId="4051" priority="155" operator="between">
      <formula>"C - Revise and Resubmit - Do Not Proceed"</formula>
      <formula>"C - Revise and Resubmit - Do Not Proceed"</formula>
    </cfRule>
    <cfRule type="cellIs" dxfId="4050" priority="154" operator="between">
      <formula>"'D - Rejected "</formula>
      <formula>"'D - Rejected "</formula>
    </cfRule>
    <cfRule type="cellIs" dxfId="4049" priority="153" operator="between">
      <formula>"E - Review not Required - Proceed"</formula>
      <formula>"E - Review not Required - Proceed"</formula>
    </cfRule>
    <cfRule type="cellIs" dxfId="4048" priority="152" operator="equal">
      <formula>"E - Review Not Required - Proceed"</formula>
    </cfRule>
    <cfRule type="cellIs" dxfId="4047" priority="151" operator="equal">
      <formula>"B - Incorporate Comments - Proceed "</formula>
    </cfRule>
    <cfRule type="cellIs" dxfId="4046" priority="150" operator="equal">
      <formula>"For Information"</formula>
    </cfRule>
    <cfRule type="cellIs" dxfId="4045" priority="149" operator="equal">
      <formula>"B - Incorporate Comments - Proceed"</formula>
    </cfRule>
    <cfRule type="cellIs" dxfId="4044" priority="164" stopIfTrue="1" operator="between">
      <formula>"B - Incorporate Comments - Proceed "</formula>
      <formula>"B - Incorporate Comments - Proceed "</formula>
    </cfRule>
    <cfRule type="cellIs" dxfId="4043" priority="163" operator="between">
      <formula>"C - Revise and Resubmit - Do Not Proceed"</formula>
      <formula>"C - Revise and Resubmit - Do Not Proceed"</formula>
    </cfRule>
    <cfRule type="cellIs" dxfId="4042" priority="162" operator="between">
      <formula>"A - Work May Proceed"</formula>
      <formula>"A - Work May Proceed"</formula>
    </cfRule>
    <cfRule type="cellIs" dxfId="4041" priority="161" operator="between">
      <formula>"CANCELLED"</formula>
      <formula>"CANCELLED"</formula>
    </cfRule>
    <cfRule type="cellIs" dxfId="4040" priority="160" operator="between">
      <formula>"D - Rejected "</formula>
      <formula>"D - Rejected "</formula>
    </cfRule>
    <cfRule type="cellIs" dxfId="4039" priority="159" operator="between">
      <formula>"E - Review not Required - Proceed"</formula>
      <formula>"E - Review not Required - Proceed"</formula>
    </cfRule>
    <cfRule type="cellIs" dxfId="4038" priority="158" operator="between">
      <formula>"B - Incorporate Comments - Proceed"</formula>
      <formula>"B - Incorporate Comments - Proceed"</formula>
    </cfRule>
  </conditionalFormatting>
  <conditionalFormatting sqref="W11">
    <cfRule type="cellIs" dxfId="4037" priority="146" operator="between">
      <formula>"A - Work May Proceed"</formula>
      <formula>"A - Work May Proceed"</formula>
    </cfRule>
    <cfRule type="cellIs" dxfId="4036" priority="145" operator="between">
      <formula>"CANCELLED"</formula>
      <formula>"CANCELLED"</formula>
    </cfRule>
    <cfRule type="cellIs" dxfId="4035" priority="144" operator="between">
      <formula>"D - Rejected "</formula>
      <formula>"D - Rejected "</formula>
    </cfRule>
    <cfRule type="cellIs" dxfId="4034" priority="143" operator="between">
      <formula>"E - Review not Required - Proceed"</formula>
      <formula>"E - Review not Required - Proceed"</formula>
    </cfRule>
    <cfRule type="cellIs" dxfId="4033" priority="142" operator="between">
      <formula>"B - Incorporate Comments - Proceed"</formula>
      <formula>"B - Incorporate Comments - Proceed"</formula>
    </cfRule>
    <cfRule type="cellIs" dxfId="4032" priority="141" operator="between">
      <formula>"A - Work May Proceed"</formula>
      <formula>"A - Work May Proceed"</formula>
    </cfRule>
    <cfRule type="cellIs" dxfId="4031" priority="140" operator="between">
      <formula>"B - Incorporate Comments - Proceed"</formula>
      <formula>"B - Incorporate Comments - Proceed"</formula>
    </cfRule>
    <cfRule type="cellIs" dxfId="4030" priority="139" operator="between">
      <formula>"C - Revise and Resubmit - Do Not Proceed"</formula>
      <formula>"C - Revise and Resubmit - Do Not Proceed"</formula>
    </cfRule>
    <cfRule type="cellIs" dxfId="4029" priority="138" operator="between">
      <formula>"'D - Rejected "</formula>
      <formula>"'D - Rejected "</formula>
    </cfRule>
    <cfRule type="cellIs" dxfId="4028" priority="137" operator="between">
      <formula>"E - Review not Required - Proceed"</formula>
      <formula>"E - Review not Required - Proceed"</formula>
    </cfRule>
    <cfRule type="cellIs" dxfId="4027" priority="136" operator="equal">
      <formula>"E - Review Not Required - Proceed"</formula>
    </cfRule>
    <cfRule type="cellIs" dxfId="4026" priority="135" operator="equal">
      <formula>"B - Incorporate Comments - Proceed "</formula>
    </cfRule>
    <cfRule type="cellIs" dxfId="4025" priority="134" operator="equal">
      <formula>"For Information"</formula>
    </cfRule>
    <cfRule type="cellIs" dxfId="4024" priority="133" operator="equal">
      <formula>"B - Incorporate Comments - Proceed"</formula>
    </cfRule>
    <cfRule type="cellIs" dxfId="4023" priority="147" operator="between">
      <formula>"C - Revise and Resubmit - Do Not Proceed"</formula>
      <formula>"C - Revise and Resubmit - Do Not Proceed"</formula>
    </cfRule>
    <cfRule type="cellIs" dxfId="4022" priority="148" stopIfTrue="1" operator="between">
      <formula>"B - Incorporate Comments - Proceed "</formula>
      <formula>"B - Incorporate Comments - Proceed "</formula>
    </cfRule>
  </conditionalFormatting>
  <conditionalFormatting sqref="AD11">
    <cfRule type="cellIs" dxfId="4021" priority="118" operator="equal">
      <formula>"For Information"</formula>
    </cfRule>
    <cfRule type="cellIs" dxfId="4020" priority="119" operator="equal">
      <formula>"B - Incorporate Comments - Proceed "</formula>
    </cfRule>
    <cfRule type="cellIs" dxfId="4019" priority="120" operator="equal">
      <formula>"E - Review Not Required - Proceed"</formula>
    </cfRule>
    <cfRule type="cellIs" dxfId="4018" priority="121" operator="between">
      <formula>"E - Review not Required - Proceed"</formula>
      <formula>"E - Review not Required - Proceed"</formula>
    </cfRule>
    <cfRule type="cellIs" dxfId="4017" priority="122" operator="between">
      <formula>"'D - Rejected "</formula>
      <formula>"'D - Rejected "</formula>
    </cfRule>
    <cfRule type="cellIs" dxfId="4016" priority="123" operator="between">
      <formula>"C - Revise and Resubmit - Do Not Proceed"</formula>
      <formula>"C - Revise and Resubmit - Do Not Proceed"</formula>
    </cfRule>
    <cfRule type="cellIs" dxfId="4015" priority="124" operator="between">
      <formula>"B - Incorporate Comments - Proceed"</formula>
      <formula>"B - Incorporate Comments - Proceed"</formula>
    </cfRule>
    <cfRule type="cellIs" dxfId="4014" priority="125" operator="between">
      <formula>"A - Work May Proceed"</formula>
      <formula>"A - Work May Proceed"</formula>
    </cfRule>
    <cfRule type="cellIs" dxfId="4013" priority="126" operator="between">
      <formula>"B - Incorporate Comments - Proceed"</formula>
      <formula>"B - Incorporate Comments - Proceed"</formula>
    </cfRule>
    <cfRule type="cellIs" dxfId="4012" priority="127" operator="between">
      <formula>"E - Review not Required - Proceed"</formula>
      <formula>"E - Review not Required - Proceed"</formula>
    </cfRule>
    <cfRule type="cellIs" dxfId="4011" priority="128" operator="between">
      <formula>"D - Rejected "</formula>
      <formula>"D - Rejected "</formula>
    </cfRule>
    <cfRule type="cellIs" dxfId="4010" priority="129" operator="between">
      <formula>"CANCELLED"</formula>
      <formula>"CANCELLED"</formula>
    </cfRule>
    <cfRule type="cellIs" dxfId="4009" priority="130" operator="between">
      <formula>"A - Work May Proceed"</formula>
      <formula>"A - Work May Proceed"</formula>
    </cfRule>
    <cfRule type="cellIs" dxfId="4008" priority="132" stopIfTrue="1" operator="between">
      <formula>"B - Incorporate Comments - Proceed "</formula>
      <formula>"B - Incorporate Comments - Proceed "</formula>
    </cfRule>
    <cfRule type="cellIs" dxfId="4007" priority="131" operator="between">
      <formula>"C - Revise and Resubmit - Do Not Proceed"</formula>
      <formula>"C - Revise and Resubmit - Do Not Proceed"</formula>
    </cfRule>
    <cfRule type="cellIs" dxfId="4006" priority="117" operator="equal">
      <formula>"B - Incorporate Comments - Proceed"</formula>
    </cfRule>
  </conditionalFormatting>
  <conditionalFormatting sqref="AK11">
    <cfRule type="cellIs" dxfId="4005" priority="114" operator="between">
      <formula>"A - Work May Proceed"</formula>
      <formula>"A - Work May Proceed"</formula>
    </cfRule>
    <cfRule type="cellIs" dxfId="4004" priority="113" operator="between">
      <formula>"CANCELLED"</formula>
      <formula>"CANCELLED"</formula>
    </cfRule>
    <cfRule type="cellIs" dxfId="4003" priority="112" operator="between">
      <formula>"D - Rejected "</formula>
      <formula>"D - Rejected "</formula>
    </cfRule>
    <cfRule type="cellIs" dxfId="4002" priority="111" operator="between">
      <formula>"E - Review not Required - Proceed"</formula>
      <formula>"E - Review not Required - Proceed"</formula>
    </cfRule>
    <cfRule type="cellIs" dxfId="4001" priority="110" operator="between">
      <formula>"B - Incorporate Comments - Proceed"</formula>
      <formula>"B - Incorporate Comments - Proceed"</formula>
    </cfRule>
    <cfRule type="cellIs" dxfId="4000" priority="109" operator="between">
      <formula>"A - Work May Proceed"</formula>
      <formula>"A - Work May Proceed"</formula>
    </cfRule>
    <cfRule type="cellIs" dxfId="3999" priority="108" operator="between">
      <formula>"B - Incorporate Comments - Proceed"</formula>
      <formula>"B - Incorporate Comments - Proceed"</formula>
    </cfRule>
    <cfRule type="cellIs" dxfId="3998" priority="107" operator="between">
      <formula>"C - Revise and Resubmit - Do Not Proceed"</formula>
      <formula>"C - Revise and Resubmit - Do Not Proceed"</formula>
    </cfRule>
    <cfRule type="cellIs" dxfId="3997" priority="106" operator="between">
      <formula>"'D - Rejected "</formula>
      <formula>"'D - Rejected "</formula>
    </cfRule>
    <cfRule type="cellIs" dxfId="3996" priority="105" operator="between">
      <formula>"E - Review not Required - Proceed"</formula>
      <formula>"E - Review not Required - Proceed"</formula>
    </cfRule>
    <cfRule type="cellIs" dxfId="3995" priority="104" operator="equal">
      <formula>"E - Review Not Required - Proceed"</formula>
    </cfRule>
    <cfRule type="cellIs" dxfId="3994" priority="103" operator="equal">
      <formula>"B - Incorporate Comments - Proceed "</formula>
    </cfRule>
    <cfRule type="cellIs" dxfId="3993" priority="102" operator="equal">
      <formula>"For Information"</formula>
    </cfRule>
    <cfRule type="cellIs" dxfId="3992" priority="101" operator="equal">
      <formula>"B - Incorporate Comments - Proceed"</formula>
    </cfRule>
    <cfRule type="cellIs" dxfId="3991" priority="115" operator="between">
      <formula>"C - Revise and Resubmit - Do Not Proceed"</formula>
      <formula>"C - Revise and Resubmit - Do Not Proceed"</formula>
    </cfRule>
    <cfRule type="cellIs" dxfId="3990" priority="116" stopIfTrue="1" operator="between">
      <formula>"B - Incorporate Comments - Proceed "</formula>
      <formula>"B - Incorporate Comments - Proceed "</formula>
    </cfRule>
  </conditionalFormatting>
  <conditionalFormatting sqref="AR11">
    <cfRule type="cellIs" dxfId="3989" priority="67" operator="between">
      <formula>"B - Incorporate Comments - Proceed"</formula>
      <formula>"B - Incorporate Comments - Proceed"</formula>
    </cfRule>
    <cfRule type="cellIs" dxfId="3988" priority="66" operator="between">
      <formula>"C - Revise and Resubmit - Do Not Proceed"</formula>
      <formula>"C - Revise and Resubmit - Do Not Proceed"</formula>
    </cfRule>
    <cfRule type="cellIs" dxfId="3987" priority="64" operator="between">
      <formula>"E - Review not Required - Proceed"</formula>
      <formula>"E - Review not Required - Proceed"</formula>
    </cfRule>
    <cfRule type="cellIs" dxfId="3986" priority="63" operator="equal">
      <formula>"E - Review Not Required - Proceed"</formula>
    </cfRule>
    <cfRule type="cellIs" dxfId="3985" priority="75" stopIfTrue="1" operator="between">
      <formula>"B - Incorporate Comments - Proceed "</formula>
      <formula>"B - Incorporate Comments - Proceed "</formula>
    </cfRule>
    <cfRule type="cellIs" dxfId="3984" priority="62" operator="equal">
      <formula>"B - Incorporate Comments - Proceed "</formula>
    </cfRule>
    <cfRule type="cellIs" dxfId="3983" priority="58" operator="equal">
      <formula>"B - Incorporate Comments - Proceed"</formula>
    </cfRule>
    <cfRule type="cellIs" dxfId="3982" priority="65" operator="between">
      <formula>"'D - Rejected "</formula>
      <formula>"'D - Rejected "</formula>
    </cfRule>
    <cfRule type="cellIs" dxfId="3981" priority="71" operator="between">
      <formula>"D - Rejected "</formula>
      <formula>"D - Rejected "</formula>
    </cfRule>
    <cfRule type="cellIs" dxfId="3980" priority="61" operator="equal">
      <formula>"For Information"</formula>
    </cfRule>
    <cfRule type="cellIs" dxfId="3979" priority="74" operator="between">
      <formula>"C - Revise and Resubmit - Do Not Proceed"</formula>
      <formula>"C - Revise and Resubmit - Do Not Proceed"</formula>
    </cfRule>
    <cfRule type="cellIs" dxfId="3978" priority="73" operator="between">
      <formula>"A - Work May Proceed"</formula>
      <formula>"A - Work May Proceed"</formula>
    </cfRule>
    <cfRule type="cellIs" dxfId="3977" priority="72" operator="between">
      <formula>"CANCELLED"</formula>
      <formula>"CANCELLED"</formula>
    </cfRule>
    <cfRule type="cellIs" dxfId="3976" priority="70" operator="between">
      <formula>"E - Review not Required - Proceed"</formula>
      <formula>"E - Review not Required - Proceed"</formula>
    </cfRule>
    <cfRule type="cellIs" dxfId="3975" priority="69" operator="between">
      <formula>"B - Incorporate Comments - Proceed"</formula>
      <formula>"B - Incorporate Comments - Proceed"</formula>
    </cfRule>
    <cfRule type="cellIs" dxfId="3974" priority="68" operator="between">
      <formula>"A - Work May Proceed"</formula>
      <formula>"A - Work May Proceed"</formula>
    </cfRule>
  </conditionalFormatting>
  <conditionalFormatting sqref="AY11">
    <cfRule type="cellIs" dxfId="3973" priority="95" stopIfTrue="1" operator="between">
      <formula>"B - Incorporate Comments - Proceed "</formula>
      <formula>"B - Incorporate Comments - Proceed "</formula>
    </cfRule>
    <cfRule type="cellIs" dxfId="3972" priority="94" operator="between">
      <formula>"C - Revise and Resubmit - Do Not Proceed"</formula>
      <formula>"C - Revise and Resubmit - Do Not Proceed"</formula>
    </cfRule>
    <cfRule type="cellIs" dxfId="3971" priority="93" operator="between">
      <formula>"A - Work May Proceed"</formula>
      <formula>"A - Work May Proceed"</formula>
    </cfRule>
    <cfRule type="cellIs" dxfId="3970" priority="92" operator="between">
      <formula>"CANCELLED"</formula>
      <formula>"CANCELLED"</formula>
    </cfRule>
    <cfRule type="cellIs" dxfId="3969" priority="90" operator="between">
      <formula>"E - Review not Required - Proceed"</formula>
      <formula>"E - Review not Required - Proceed"</formula>
    </cfRule>
    <cfRule type="cellIs" dxfId="3968" priority="89" operator="between">
      <formula>"B - Incorporate Comments - Proceed"</formula>
      <formula>"B - Incorporate Comments - Proceed"</formula>
    </cfRule>
    <cfRule type="cellIs" dxfId="3967" priority="88" operator="between">
      <formula>"A - Work May Proceed"</formula>
      <formula>"A - Work May Proceed"</formula>
    </cfRule>
    <cfRule type="cellIs" dxfId="3966" priority="83" operator="equal">
      <formula>"E - Review Not Required - Proceed"</formula>
    </cfRule>
    <cfRule type="cellIs" dxfId="3965" priority="82" operator="equal">
      <formula>"B - Incorporate Comments - Proceed "</formula>
    </cfRule>
    <cfRule type="cellIs" dxfId="3964" priority="91" operator="between">
      <formula>"D - Rejected "</formula>
      <formula>"D - Rejected "</formula>
    </cfRule>
    <cfRule type="cellIs" dxfId="3963" priority="81" operator="equal">
      <formula>"For Information"</formula>
    </cfRule>
    <cfRule type="cellIs" dxfId="3962" priority="86" operator="between">
      <formula>"C - Revise and Resubmit - Do Not Proceed"</formula>
      <formula>"C - Revise and Resubmit - Do Not Proceed"</formula>
    </cfRule>
    <cfRule type="cellIs" dxfId="3961" priority="78" operator="equal">
      <formula>"B - Incorporate Comments - Proceed"</formula>
    </cfRule>
    <cfRule type="cellIs" dxfId="3960" priority="85" operator="between">
      <formula>"'D - Rejected "</formula>
      <formula>"'D - Rejected "</formula>
    </cfRule>
    <cfRule type="cellIs" dxfId="3959" priority="87" operator="between">
      <formula>"B - Incorporate Comments - Proceed"</formula>
      <formula>"B - Incorporate Comments - Proceed"</formula>
    </cfRule>
    <cfRule type="cellIs" dxfId="3958" priority="84" operator="between">
      <formula>"E - Review not Required - Proceed"</formula>
      <formula>"E - Review not Required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5"/>
  </sheetPr>
  <dimension ref="A1:BF112"/>
  <sheetViews>
    <sheetView zoomScale="55" zoomScaleNormal="55" zoomScaleSheetLayoutView="70" workbookViewId="0">
      <pane ySplit="11" topLeftCell="A103" activePane="bottomLeft" state="frozen"/>
      <selection activeCell="A14" sqref="A14"/>
      <selection pane="bottomLeft" activeCell="I112" sqref="I112"/>
    </sheetView>
  </sheetViews>
  <sheetFormatPr defaultColWidth="9.140625" defaultRowHeight="15" x14ac:dyDescent="0.25"/>
  <cols>
    <col min="1" max="1" width="22.710937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3" width="30.140625" style="471" customWidth="1"/>
    <col min="14" max="14" width="30.140625" style="396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8.5703125" style="44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 s="111"/>
      <c r="O1"/>
      <c r="P1" s="115"/>
      <c r="Q1"/>
      <c r="R1"/>
      <c r="S1"/>
      <c r="T1"/>
      <c r="U1"/>
      <c r="V1"/>
      <c r="W1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2"/>
    </row>
    <row r="2" spans="1:58" s="379" customFormat="1" ht="24" customHeight="1" x14ac:dyDescent="0.35">
      <c r="A2" s="8"/>
      <c r="B2" s="25" t="s">
        <v>28</v>
      </c>
      <c r="C2" s="26" t="s">
        <v>16</v>
      </c>
      <c r="D2" s="26"/>
      <c r="E2" s="26"/>
      <c r="F2" s="27"/>
      <c r="G2" s="8"/>
      <c r="H2" s="548"/>
      <c r="I2" s="558"/>
      <c r="J2"/>
      <c r="K2"/>
      <c r="L2"/>
      <c r="M2"/>
      <c r="N2" s="111"/>
      <c r="O2"/>
      <c r="P2" s="115"/>
      <c r="Q2"/>
      <c r="R2"/>
      <c r="S2"/>
      <c r="T2"/>
      <c r="U2"/>
      <c r="V2"/>
      <c r="W2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2"/>
    </row>
    <row r="3" spans="1:58" s="379" customFormat="1" ht="24" customHeight="1" x14ac:dyDescent="0.35">
      <c r="A3" s="8"/>
      <c r="B3" s="25" t="s">
        <v>507</v>
      </c>
      <c r="C3" s="49" t="s">
        <v>145</v>
      </c>
      <c r="D3" s="26"/>
      <c r="E3" s="26"/>
      <c r="F3" s="27"/>
      <c r="G3" s="8"/>
      <c r="H3" s="8"/>
      <c r="I3"/>
      <c r="J3"/>
      <c r="K3"/>
      <c r="L3"/>
      <c r="M3"/>
      <c r="N3" s="111"/>
      <c r="O3"/>
      <c r="P3" s="115"/>
      <c r="Q3"/>
      <c r="R3"/>
      <c r="S3"/>
      <c r="T3"/>
      <c r="U3"/>
      <c r="V3"/>
      <c r="W3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2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 s="111"/>
      <c r="O4"/>
      <c r="P4" s="115"/>
      <c r="Q4"/>
      <c r="R4"/>
      <c r="S4"/>
      <c r="T4"/>
      <c r="U4"/>
      <c r="V4"/>
      <c r="W4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2"/>
    </row>
    <row r="5" spans="1:58" s="379" customFormat="1" ht="24" customHeight="1" x14ac:dyDescent="0.35">
      <c r="A5" s="8"/>
      <c r="B5" s="84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 s="111"/>
      <c r="O5"/>
      <c r="P5" s="115"/>
      <c r="Q5"/>
      <c r="R5"/>
      <c r="S5"/>
      <c r="T5"/>
      <c r="U5"/>
      <c r="V5"/>
      <c r="W5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2"/>
    </row>
    <row r="6" spans="1:58" s="379" customFormat="1" ht="24" customHeight="1" x14ac:dyDescent="0.35">
      <c r="A6" s="8"/>
      <c r="B6" s="85">
        <f>COUNTIF(B11:B112,"A - Work May Proceed")</f>
        <v>81</v>
      </c>
      <c r="C6" s="65">
        <f>COUNTIF(B11:B112,"B- Incorporate Comments - Proceed")</f>
        <v>5</v>
      </c>
      <c r="D6" s="65">
        <f>COUNTIF(B11:B112,"C - Revise and Resubmit - Do Not Proceed")</f>
        <v>0</v>
      </c>
      <c r="E6" s="65">
        <f>COUNTIF(B11:B112,"D - Rejected")</f>
        <v>1</v>
      </c>
      <c r="F6" s="65">
        <f>COUNTIF(B11:B112,"E - Review not Required - Proceed")</f>
        <v>3</v>
      </c>
      <c r="G6" s="66">
        <f>COUNTIF(B11:B112,"UR")</f>
        <v>1</v>
      </c>
      <c r="H6" s="66">
        <f>COUNTIF(B11:B112,"FA")</f>
        <v>0</v>
      </c>
      <c r="I6" s="66">
        <f>COUNTIF(B11:B112,"Terminated")</f>
        <v>0</v>
      </c>
      <c r="J6" s="66">
        <f>COUNTIF(B11:B112,"Cancelled")</f>
        <v>8</v>
      </c>
      <c r="K6"/>
      <c r="L6"/>
      <c r="M6"/>
      <c r="N6" s="111"/>
      <c r="O6"/>
      <c r="P6" s="115"/>
      <c r="Q6"/>
      <c r="R6"/>
      <c r="S6"/>
      <c r="T6"/>
      <c r="U6"/>
      <c r="V6"/>
      <c r="W6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2"/>
    </row>
    <row r="7" spans="1:58" s="379" customFormat="1" ht="24" customHeight="1" x14ac:dyDescent="0.35">
      <c r="A7" s="8"/>
      <c r="B7" s="86"/>
      <c r="C7" s="68"/>
      <c r="D7" s="69"/>
      <c r="E7" s="70"/>
      <c r="F7" s="70"/>
      <c r="G7" s="71"/>
      <c r="H7" s="70"/>
      <c r="I7" s="7"/>
      <c r="J7"/>
      <c r="K7"/>
      <c r="L7"/>
      <c r="M7"/>
      <c r="N7" s="111"/>
      <c r="O7"/>
      <c r="P7" s="115"/>
      <c r="Q7"/>
      <c r="R7"/>
      <c r="S7"/>
      <c r="T7"/>
      <c r="U7"/>
      <c r="V7"/>
      <c r="W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2"/>
    </row>
    <row r="8" spans="1:58" s="379" customFormat="1" ht="24" customHeight="1" x14ac:dyDescent="0.35">
      <c r="A8" s="8"/>
      <c r="B8" s="87" t="s">
        <v>509</v>
      </c>
      <c r="C8" s="73">
        <f>SUM(B6:J6)</f>
        <v>99</v>
      </c>
      <c r="D8" s="69"/>
      <c r="E8" s="70"/>
      <c r="F8" s="70"/>
      <c r="G8" s="74"/>
      <c r="H8" s="75"/>
      <c r="I8" s="76"/>
      <c r="J8" s="75"/>
      <c r="K8"/>
      <c r="L8"/>
      <c r="M8"/>
      <c r="N8" s="111"/>
      <c r="O8"/>
      <c r="P8" s="115"/>
      <c r="Q8"/>
      <c r="R8"/>
      <c r="S8"/>
      <c r="T8"/>
      <c r="U8"/>
      <c r="V8"/>
      <c r="W8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2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 s="111"/>
      <c r="O9"/>
      <c r="P9" s="115"/>
      <c r="Q9"/>
      <c r="R9"/>
      <c r="S9"/>
      <c r="T9"/>
      <c r="U9"/>
      <c r="V9"/>
      <c r="W9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2"/>
    </row>
    <row r="10" spans="1:58" s="405" customFormat="1" ht="36.75" customHeight="1" x14ac:dyDescent="0.2">
      <c r="A10" s="550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51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112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3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12" t="s">
        <v>5</v>
      </c>
      <c r="C12" s="56" t="s">
        <v>208</v>
      </c>
      <c r="D12" s="12" t="s">
        <v>142</v>
      </c>
      <c r="E12" s="12" t="s">
        <v>143</v>
      </c>
      <c r="F12" s="16" t="s">
        <v>144</v>
      </c>
      <c r="G12" s="10" t="s">
        <v>15</v>
      </c>
      <c r="H12" s="10" t="s">
        <v>145</v>
      </c>
      <c r="I12" s="16" t="s">
        <v>18</v>
      </c>
      <c r="J12" s="14">
        <v>45556</v>
      </c>
      <c r="K12" s="12" t="s">
        <v>146</v>
      </c>
      <c r="L12" s="20">
        <f>J12+7</f>
        <v>45563</v>
      </c>
      <c r="M12" s="14">
        <v>45567</v>
      </c>
      <c r="N12" s="92">
        <f>M12-L12</f>
        <v>4</v>
      </c>
      <c r="O12" s="12" t="s">
        <v>288</v>
      </c>
      <c r="P12" s="10" t="s">
        <v>5</v>
      </c>
      <c r="Q12" s="20">
        <v>45780</v>
      </c>
      <c r="R12" s="12" t="s">
        <v>3161</v>
      </c>
      <c r="S12" s="20">
        <f>Q12+7</f>
        <v>45787</v>
      </c>
      <c r="T12" s="20">
        <v>45788</v>
      </c>
      <c r="U12" s="12">
        <f>T12-S12</f>
        <v>1</v>
      </c>
      <c r="V12" s="12" t="s">
        <v>3184</v>
      </c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259"/>
    </row>
    <row r="13" spans="1:58" s="381" customFormat="1" ht="42" customHeight="1" x14ac:dyDescent="0.25">
      <c r="A13" s="367">
        <v>730007</v>
      </c>
      <c r="B13" s="12" t="s">
        <v>5</v>
      </c>
      <c r="C13" s="56" t="s">
        <v>208</v>
      </c>
      <c r="D13" s="12" t="s">
        <v>148</v>
      </c>
      <c r="E13" s="12" t="s">
        <v>149</v>
      </c>
      <c r="F13" s="16" t="s">
        <v>150</v>
      </c>
      <c r="G13" s="10" t="s">
        <v>15</v>
      </c>
      <c r="H13" s="10" t="s">
        <v>145</v>
      </c>
      <c r="I13" s="16" t="s">
        <v>18</v>
      </c>
      <c r="J13" s="14">
        <v>45557</v>
      </c>
      <c r="K13" s="12" t="s">
        <v>153</v>
      </c>
      <c r="L13" s="20">
        <f t="shared" ref="L13:L47" si="0">J13+7</f>
        <v>45564</v>
      </c>
      <c r="M13" s="14">
        <v>45567</v>
      </c>
      <c r="N13" s="92">
        <f t="shared" ref="N13:N41" si="1">M13-L13</f>
        <v>3</v>
      </c>
      <c r="O13" s="12" t="s">
        <v>290</v>
      </c>
      <c r="P13" s="10" t="s">
        <v>5</v>
      </c>
      <c r="Q13" s="20">
        <v>46054</v>
      </c>
      <c r="R13" s="12" t="s">
        <v>5721</v>
      </c>
      <c r="S13" s="20">
        <f>Q13+7</f>
        <v>46061</v>
      </c>
      <c r="T13" s="20">
        <v>46062</v>
      </c>
      <c r="U13" s="12">
        <f>T13-S13</f>
        <v>1</v>
      </c>
      <c r="V13" s="12" t="s">
        <v>5741</v>
      </c>
      <c r="W13" s="12"/>
      <c r="X13" s="20"/>
      <c r="Y13" s="12"/>
      <c r="Z13" s="12"/>
      <c r="AA13" s="20"/>
      <c r="AB13" s="20"/>
      <c r="AC13" s="12"/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259"/>
    </row>
    <row r="14" spans="1:58" s="381" customFormat="1" ht="42" customHeight="1" x14ac:dyDescent="0.25">
      <c r="A14" s="367">
        <v>730007</v>
      </c>
      <c r="B14" s="12" t="s">
        <v>5</v>
      </c>
      <c r="C14" s="56" t="s">
        <v>54</v>
      </c>
      <c r="D14" s="12" t="s">
        <v>152</v>
      </c>
      <c r="E14" s="12" t="s">
        <v>151</v>
      </c>
      <c r="F14" s="16" t="s">
        <v>154</v>
      </c>
      <c r="G14" s="10" t="s">
        <v>15</v>
      </c>
      <c r="H14" s="10" t="s">
        <v>145</v>
      </c>
      <c r="I14" s="16" t="s">
        <v>5</v>
      </c>
      <c r="J14" s="14">
        <v>45557</v>
      </c>
      <c r="K14" s="12" t="s">
        <v>155</v>
      </c>
      <c r="L14" s="20">
        <f t="shared" si="0"/>
        <v>45564</v>
      </c>
      <c r="M14" s="14">
        <v>45567</v>
      </c>
      <c r="N14" s="92">
        <f t="shared" si="1"/>
        <v>3</v>
      </c>
      <c r="O14" s="12" t="s">
        <v>291</v>
      </c>
      <c r="P14" s="10"/>
      <c r="Q14" s="20"/>
      <c r="R14" s="12"/>
      <c r="S14" s="12"/>
      <c r="T14" s="20"/>
      <c r="U14" s="12"/>
      <c r="V14" s="12"/>
      <c r="W14" s="12"/>
      <c r="X14" s="20"/>
      <c r="Y14" s="12"/>
      <c r="Z14" s="12"/>
      <c r="AA14" s="20"/>
      <c r="AB14" s="20"/>
      <c r="AC14" s="12"/>
      <c r="AD14" s="12"/>
      <c r="AE14" s="20"/>
      <c r="AF14" s="12"/>
      <c r="AG14" s="12"/>
      <c r="AH14" s="20"/>
      <c r="AI14" s="20"/>
      <c r="AJ14" s="12"/>
      <c r="AK14" s="10"/>
      <c r="AL14" s="14"/>
      <c r="AM14" s="12"/>
      <c r="AN14" s="12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/>
      <c r="BF14" s="259"/>
    </row>
    <row r="15" spans="1:58" s="381" customFormat="1" ht="42" customHeight="1" x14ac:dyDescent="0.25">
      <c r="A15" s="367">
        <v>730007</v>
      </c>
      <c r="B15" s="12" t="s">
        <v>5</v>
      </c>
      <c r="C15" s="56" t="s">
        <v>208</v>
      </c>
      <c r="D15" s="12" t="s">
        <v>162</v>
      </c>
      <c r="E15" s="12" t="s">
        <v>163</v>
      </c>
      <c r="F15" s="16" t="s">
        <v>164</v>
      </c>
      <c r="G15" s="10" t="s">
        <v>15</v>
      </c>
      <c r="H15" s="10" t="s">
        <v>145</v>
      </c>
      <c r="I15" s="16" t="s">
        <v>18</v>
      </c>
      <c r="J15" s="14">
        <v>45559</v>
      </c>
      <c r="K15" s="12" t="s">
        <v>165</v>
      </c>
      <c r="L15" s="20">
        <f t="shared" si="0"/>
        <v>45566</v>
      </c>
      <c r="M15" s="14">
        <v>45567</v>
      </c>
      <c r="N15" s="92">
        <f t="shared" si="1"/>
        <v>1</v>
      </c>
      <c r="O15" s="12" t="s">
        <v>170</v>
      </c>
      <c r="P15" s="10" t="s">
        <v>5</v>
      </c>
      <c r="Q15" s="20">
        <v>45783</v>
      </c>
      <c r="R15" s="12" t="s">
        <v>3206</v>
      </c>
      <c r="S15" s="20">
        <f>Q15+7</f>
        <v>45790</v>
      </c>
      <c r="T15" s="20">
        <v>45791</v>
      </c>
      <c r="U15" s="12">
        <f>T15-S15</f>
        <v>1</v>
      </c>
      <c r="V15" s="12" t="s">
        <v>3216</v>
      </c>
      <c r="W15" s="12"/>
      <c r="X15" s="20"/>
      <c r="Y15" s="12"/>
      <c r="Z15" s="12"/>
      <c r="AA15" s="20"/>
      <c r="AB15" s="20"/>
      <c r="AC15" s="12"/>
      <c r="AD15" s="12"/>
      <c r="AE15" s="20"/>
      <c r="AF15" s="12"/>
      <c r="AG15" s="12"/>
      <c r="AH15" s="20"/>
      <c r="AI15" s="20"/>
      <c r="AJ15" s="12"/>
      <c r="AK15" s="10"/>
      <c r="AL15" s="14"/>
      <c r="AM15" s="12"/>
      <c r="AN15" s="12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2"/>
      <c r="BF15" s="259"/>
    </row>
    <row r="16" spans="1:58" s="381" customFormat="1" ht="42" customHeight="1" x14ac:dyDescent="0.25">
      <c r="A16" s="367">
        <v>730007</v>
      </c>
      <c r="B16" s="12" t="s">
        <v>5</v>
      </c>
      <c r="C16" s="56" t="s">
        <v>208</v>
      </c>
      <c r="D16" s="12" t="s">
        <v>167</v>
      </c>
      <c r="E16" s="12" t="s">
        <v>166</v>
      </c>
      <c r="F16" s="16" t="s">
        <v>168</v>
      </c>
      <c r="G16" s="10" t="s">
        <v>15</v>
      </c>
      <c r="H16" s="10" t="s">
        <v>145</v>
      </c>
      <c r="I16" s="16" t="s">
        <v>18</v>
      </c>
      <c r="J16" s="14">
        <v>45559</v>
      </c>
      <c r="K16" s="12" t="s">
        <v>169</v>
      </c>
      <c r="L16" s="20">
        <f t="shared" si="0"/>
        <v>45566</v>
      </c>
      <c r="M16" s="14">
        <v>45568</v>
      </c>
      <c r="N16" s="92">
        <f t="shared" si="1"/>
        <v>2</v>
      </c>
      <c r="O16" s="12" t="s">
        <v>187</v>
      </c>
      <c r="P16" s="10" t="s">
        <v>5</v>
      </c>
      <c r="Q16" s="20">
        <v>46005</v>
      </c>
      <c r="R16" s="12" t="s">
        <v>5207</v>
      </c>
      <c r="S16" s="20">
        <f>Q16+7</f>
        <v>46012</v>
      </c>
      <c r="T16" s="20">
        <v>46067</v>
      </c>
      <c r="U16" s="12">
        <f>T16-S16</f>
        <v>55</v>
      </c>
      <c r="V16" s="12" t="s">
        <v>5229</v>
      </c>
      <c r="W16" s="12"/>
      <c r="X16" s="20"/>
      <c r="Y16" s="12"/>
      <c r="Z16" s="12"/>
      <c r="AA16" s="20"/>
      <c r="AB16" s="20"/>
      <c r="AC16" s="12"/>
      <c r="AD16" s="12"/>
      <c r="AE16" s="20"/>
      <c r="AF16" s="12"/>
      <c r="AG16" s="12"/>
      <c r="AH16" s="20"/>
      <c r="AI16" s="20"/>
      <c r="AJ16" s="12"/>
      <c r="AK16" s="10"/>
      <c r="AL16" s="14"/>
      <c r="AM16" s="12"/>
      <c r="AN16" s="12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2"/>
      <c r="BF16" s="259"/>
    </row>
    <row r="17" spans="1:58" s="381" customFormat="1" ht="42" customHeight="1" x14ac:dyDescent="0.25">
      <c r="A17" s="367">
        <v>730007</v>
      </c>
      <c r="B17" s="12" t="s">
        <v>5</v>
      </c>
      <c r="C17" s="56" t="s">
        <v>208</v>
      </c>
      <c r="D17" s="12" t="s">
        <v>292</v>
      </c>
      <c r="E17" s="12" t="s">
        <v>182</v>
      </c>
      <c r="F17" s="16" t="s">
        <v>183</v>
      </c>
      <c r="G17" s="10" t="s">
        <v>15</v>
      </c>
      <c r="H17" s="10" t="s">
        <v>145</v>
      </c>
      <c r="I17" s="16" t="s">
        <v>18</v>
      </c>
      <c r="J17" s="14">
        <v>45559</v>
      </c>
      <c r="K17" s="12" t="s">
        <v>184</v>
      </c>
      <c r="L17" s="20">
        <f t="shared" si="0"/>
        <v>45566</v>
      </c>
      <c r="M17" s="14">
        <v>45568</v>
      </c>
      <c r="N17" s="92">
        <f t="shared" si="1"/>
        <v>2</v>
      </c>
      <c r="O17" s="12" t="s">
        <v>188</v>
      </c>
      <c r="P17" s="10" t="s">
        <v>5</v>
      </c>
      <c r="Q17" s="20">
        <v>45792</v>
      </c>
      <c r="R17" s="12" t="s">
        <v>3283</v>
      </c>
      <c r="S17" s="20">
        <f>Q17+7</f>
        <v>45799</v>
      </c>
      <c r="T17" s="20">
        <v>45798</v>
      </c>
      <c r="U17" s="12">
        <f>T17-S17</f>
        <v>-1</v>
      </c>
      <c r="V17" s="12" t="s">
        <v>3293</v>
      </c>
      <c r="W17" s="12"/>
      <c r="X17" s="20"/>
      <c r="Y17" s="12"/>
      <c r="Z17" s="12"/>
      <c r="AA17" s="20"/>
      <c r="AB17" s="20"/>
      <c r="AC17" s="12"/>
      <c r="AD17" s="12"/>
      <c r="AE17" s="20"/>
      <c r="AF17" s="12"/>
      <c r="AG17" s="12"/>
      <c r="AH17" s="20"/>
      <c r="AI17" s="20"/>
      <c r="AJ17" s="12"/>
      <c r="AK17" s="10"/>
      <c r="AL17" s="14"/>
      <c r="AM17" s="12"/>
      <c r="AN17" s="12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2"/>
      <c r="BF17" s="259" t="s">
        <v>3331</v>
      </c>
    </row>
    <row r="18" spans="1:58" s="381" customFormat="1" ht="42" customHeight="1" x14ac:dyDescent="0.25">
      <c r="A18" s="367">
        <v>730007</v>
      </c>
      <c r="B18" s="12" t="s">
        <v>5</v>
      </c>
      <c r="C18" s="56" t="s">
        <v>54</v>
      </c>
      <c r="D18" s="12" t="s">
        <v>305</v>
      </c>
      <c r="E18" s="12" t="s">
        <v>306</v>
      </c>
      <c r="F18" s="16" t="s">
        <v>307</v>
      </c>
      <c r="G18" s="10" t="s">
        <v>15</v>
      </c>
      <c r="H18" s="10" t="s">
        <v>145</v>
      </c>
      <c r="I18" s="16" t="s">
        <v>5</v>
      </c>
      <c r="J18" s="14">
        <v>45573</v>
      </c>
      <c r="K18" s="12" t="s">
        <v>309</v>
      </c>
      <c r="L18" s="20">
        <f t="shared" si="0"/>
        <v>45580</v>
      </c>
      <c r="M18" s="14">
        <v>45580</v>
      </c>
      <c r="N18" s="92">
        <f t="shared" si="1"/>
        <v>0</v>
      </c>
      <c r="O18" s="12" t="s">
        <v>314</v>
      </c>
      <c r="P18" s="10"/>
      <c r="Q18" s="20"/>
      <c r="R18" s="12"/>
      <c r="S18" s="12"/>
      <c r="T18" s="20"/>
      <c r="U18" s="12"/>
      <c r="V18" s="12"/>
      <c r="W18" s="12"/>
      <c r="X18" s="20"/>
      <c r="Y18" s="12"/>
      <c r="Z18" s="12"/>
      <c r="AA18" s="20"/>
      <c r="AB18" s="20"/>
      <c r="AC18" s="12"/>
      <c r="AD18" s="12"/>
      <c r="AE18" s="20"/>
      <c r="AF18" s="12"/>
      <c r="AG18" s="12"/>
      <c r="AH18" s="20"/>
      <c r="AI18" s="20"/>
      <c r="AJ18" s="12"/>
      <c r="AK18" s="10"/>
      <c r="AL18" s="14"/>
      <c r="AM18" s="12"/>
      <c r="AN18" s="12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2"/>
      <c r="BF18" s="259" t="s">
        <v>3331</v>
      </c>
    </row>
    <row r="19" spans="1:58" s="381" customFormat="1" ht="42" customHeight="1" x14ac:dyDescent="0.25">
      <c r="A19" s="367">
        <v>730007</v>
      </c>
      <c r="B19" s="12" t="s">
        <v>5</v>
      </c>
      <c r="C19" s="56" t="s">
        <v>588</v>
      </c>
      <c r="D19" s="12" t="s">
        <v>310</v>
      </c>
      <c r="E19" s="12" t="s">
        <v>311</v>
      </c>
      <c r="F19" s="16" t="s">
        <v>308</v>
      </c>
      <c r="G19" s="10" t="s">
        <v>15</v>
      </c>
      <c r="H19" s="10" t="s">
        <v>145</v>
      </c>
      <c r="I19" s="16" t="s">
        <v>18</v>
      </c>
      <c r="J19" s="14">
        <v>45573</v>
      </c>
      <c r="K19" s="12" t="s">
        <v>312</v>
      </c>
      <c r="L19" s="20">
        <f t="shared" si="0"/>
        <v>45580</v>
      </c>
      <c r="M19" s="14">
        <v>45580</v>
      </c>
      <c r="N19" s="92">
        <f t="shared" si="1"/>
        <v>0</v>
      </c>
      <c r="O19" s="12" t="s">
        <v>315</v>
      </c>
      <c r="P19" s="10" t="s">
        <v>18</v>
      </c>
      <c r="Q19" s="20">
        <v>45931</v>
      </c>
      <c r="R19" s="12" t="s">
        <v>4348</v>
      </c>
      <c r="S19" s="20">
        <f>Q19+7</f>
        <v>45938</v>
      </c>
      <c r="T19" s="20">
        <v>45937</v>
      </c>
      <c r="U19" s="12">
        <f>T19-S19</f>
        <v>-1</v>
      </c>
      <c r="V19" s="12" t="s">
        <v>4361</v>
      </c>
      <c r="W19" s="12" t="s">
        <v>5</v>
      </c>
      <c r="X19" s="20">
        <v>46085</v>
      </c>
      <c r="Y19" s="12" t="s">
        <v>5954</v>
      </c>
      <c r="Z19" s="20">
        <f>X19+7</f>
        <v>46092</v>
      </c>
      <c r="AA19" s="20">
        <v>46093</v>
      </c>
      <c r="AB19" s="12">
        <f>AA19-Z19</f>
        <v>1</v>
      </c>
      <c r="AC19" s="12" t="s">
        <v>5967</v>
      </c>
      <c r="AD19" s="12"/>
      <c r="AE19" s="20"/>
      <c r="AF19" s="12"/>
      <c r="AG19" s="12"/>
      <c r="AH19" s="20"/>
      <c r="AI19" s="20"/>
      <c r="AJ19" s="12"/>
      <c r="AK19" s="10"/>
      <c r="AL19" s="14"/>
      <c r="AM19" s="12"/>
      <c r="AN19" s="12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2"/>
      <c r="BF19" s="259"/>
    </row>
    <row r="20" spans="1:58" s="381" customFormat="1" ht="42" customHeight="1" x14ac:dyDescent="0.25">
      <c r="A20" s="367">
        <v>730007</v>
      </c>
      <c r="B20" s="12" t="s">
        <v>5</v>
      </c>
      <c r="C20" s="56" t="s">
        <v>54</v>
      </c>
      <c r="D20" s="12" t="s">
        <v>328</v>
      </c>
      <c r="E20" s="12" t="s">
        <v>329</v>
      </c>
      <c r="F20" s="16" t="s">
        <v>330</v>
      </c>
      <c r="G20" s="10" t="s">
        <v>15</v>
      </c>
      <c r="H20" s="10" t="s">
        <v>145</v>
      </c>
      <c r="I20" s="16" t="s">
        <v>5</v>
      </c>
      <c r="J20" s="14">
        <v>45575</v>
      </c>
      <c r="K20" s="12" t="s">
        <v>333</v>
      </c>
      <c r="L20" s="20">
        <f t="shared" si="0"/>
        <v>45582</v>
      </c>
      <c r="M20" s="14">
        <v>45582</v>
      </c>
      <c r="N20" s="92">
        <f t="shared" si="1"/>
        <v>0</v>
      </c>
      <c r="O20" s="12" t="s">
        <v>348</v>
      </c>
      <c r="P20" s="10"/>
      <c r="Q20" s="20"/>
      <c r="R20" s="12"/>
      <c r="S20" s="12"/>
      <c r="T20" s="20"/>
      <c r="U20" s="12"/>
      <c r="V20" s="12"/>
      <c r="W20" s="12"/>
      <c r="X20" s="20"/>
      <c r="Y20" s="12"/>
      <c r="Z20" s="12"/>
      <c r="AA20" s="20"/>
      <c r="AB20" s="20"/>
      <c r="AC20" s="12"/>
      <c r="AD20" s="12"/>
      <c r="AE20" s="20"/>
      <c r="AF20" s="12"/>
      <c r="AG20" s="12"/>
      <c r="AH20" s="20"/>
      <c r="AI20" s="20"/>
      <c r="AJ20" s="12"/>
      <c r="AK20" s="10"/>
      <c r="AL20" s="14"/>
      <c r="AM20" s="12"/>
      <c r="AN20" s="12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2"/>
      <c r="BF20" s="259"/>
    </row>
    <row r="21" spans="1:58" s="381" customFormat="1" ht="42" customHeight="1" x14ac:dyDescent="0.25">
      <c r="A21" s="367">
        <v>730007</v>
      </c>
      <c r="B21" s="12" t="s">
        <v>5</v>
      </c>
      <c r="C21" s="56" t="s">
        <v>208</v>
      </c>
      <c r="D21" s="12" t="s">
        <v>476</v>
      </c>
      <c r="E21" s="12" t="s">
        <v>477</v>
      </c>
      <c r="F21" s="16" t="s">
        <v>478</v>
      </c>
      <c r="G21" s="10" t="s">
        <v>15</v>
      </c>
      <c r="H21" s="10" t="s">
        <v>145</v>
      </c>
      <c r="I21" s="16" t="s">
        <v>18</v>
      </c>
      <c r="J21" s="14">
        <v>45586</v>
      </c>
      <c r="K21" s="13" t="s">
        <v>479</v>
      </c>
      <c r="L21" s="20">
        <f t="shared" si="0"/>
        <v>45593</v>
      </c>
      <c r="M21" s="14">
        <v>45593</v>
      </c>
      <c r="N21" s="92">
        <f t="shared" si="1"/>
        <v>0</v>
      </c>
      <c r="O21" s="10" t="s">
        <v>489</v>
      </c>
      <c r="P21" s="10" t="s">
        <v>5</v>
      </c>
      <c r="Q21" s="20">
        <v>45792</v>
      </c>
      <c r="R21" s="12" t="s">
        <v>3283</v>
      </c>
      <c r="S21" s="20">
        <f>Q21+7</f>
        <v>45799</v>
      </c>
      <c r="T21" s="21">
        <v>45798</v>
      </c>
      <c r="U21" s="10">
        <f>T21-S21</f>
        <v>-1</v>
      </c>
      <c r="V21" s="10" t="s">
        <v>3294</v>
      </c>
      <c r="W21" s="10"/>
      <c r="X21" s="21"/>
      <c r="Y21" s="10"/>
      <c r="Z21" s="10"/>
      <c r="AA21" s="21"/>
      <c r="AB21" s="21"/>
      <c r="AC21" s="10"/>
      <c r="AD21" s="10"/>
      <c r="AE21" s="21"/>
      <c r="AF21" s="10"/>
      <c r="AG21" s="10"/>
      <c r="AH21" s="21"/>
      <c r="AI21" s="21"/>
      <c r="AJ21" s="10"/>
      <c r="AK21" s="10"/>
      <c r="AL21" s="17"/>
      <c r="AM21" s="11"/>
      <c r="AN21" s="11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1"/>
      <c r="BF21" s="259" t="s">
        <v>3331</v>
      </c>
    </row>
    <row r="22" spans="1:58" s="381" customFormat="1" ht="42" customHeight="1" x14ac:dyDescent="0.25">
      <c r="A22" s="367">
        <v>730007</v>
      </c>
      <c r="B22" s="12" t="s">
        <v>5</v>
      </c>
      <c r="C22" s="56" t="s">
        <v>208</v>
      </c>
      <c r="D22" s="12" t="s">
        <v>510</v>
      </c>
      <c r="E22" s="12" t="s">
        <v>511</v>
      </c>
      <c r="F22" s="16" t="s">
        <v>2573</v>
      </c>
      <c r="G22" s="10" t="s">
        <v>15</v>
      </c>
      <c r="H22" s="10" t="s">
        <v>145</v>
      </c>
      <c r="I22" s="16" t="s">
        <v>18</v>
      </c>
      <c r="J22" s="14">
        <v>45589</v>
      </c>
      <c r="K22" s="13" t="s">
        <v>512</v>
      </c>
      <c r="L22" s="20">
        <f t="shared" si="0"/>
        <v>45596</v>
      </c>
      <c r="M22" s="14">
        <v>45594</v>
      </c>
      <c r="N22" s="92">
        <f t="shared" si="1"/>
        <v>-2</v>
      </c>
      <c r="O22" s="10" t="s">
        <v>548</v>
      </c>
      <c r="P22" s="10" t="s">
        <v>5</v>
      </c>
      <c r="Q22" s="21">
        <v>45709</v>
      </c>
      <c r="R22" s="10" t="s">
        <v>2574</v>
      </c>
      <c r="S22" s="20">
        <f>Q22+7</f>
        <v>45716</v>
      </c>
      <c r="T22" s="21">
        <v>45715</v>
      </c>
      <c r="U22" s="10">
        <f>T22-S22</f>
        <v>-1</v>
      </c>
      <c r="V22" s="10" t="s">
        <v>2586</v>
      </c>
      <c r="W22" s="10"/>
      <c r="X22" s="21"/>
      <c r="Y22" s="10"/>
      <c r="Z22" s="10"/>
      <c r="AA22" s="21"/>
      <c r="AB22" s="21"/>
      <c r="AC22" s="10"/>
      <c r="AD22" s="10"/>
      <c r="AE22" s="21"/>
      <c r="AF22" s="10"/>
      <c r="AG22" s="10"/>
      <c r="AH22" s="21"/>
      <c r="AI22" s="21"/>
      <c r="AJ22" s="10"/>
      <c r="AK22" s="10"/>
      <c r="AL22" s="17"/>
      <c r="AM22" s="11"/>
      <c r="AN22" s="11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1"/>
      <c r="BF22" s="259"/>
    </row>
    <row r="23" spans="1:58" s="381" customFormat="1" ht="42" customHeight="1" x14ac:dyDescent="0.25">
      <c r="A23" s="367">
        <v>730007</v>
      </c>
      <c r="B23" s="12" t="s">
        <v>5</v>
      </c>
      <c r="C23" s="56" t="s">
        <v>208</v>
      </c>
      <c r="D23" s="12" t="s">
        <v>529</v>
      </c>
      <c r="E23" s="12" t="s">
        <v>530</v>
      </c>
      <c r="F23" s="16" t="s">
        <v>531</v>
      </c>
      <c r="G23" s="10" t="s">
        <v>15</v>
      </c>
      <c r="H23" s="10" t="s">
        <v>145</v>
      </c>
      <c r="I23" s="16" t="s">
        <v>18</v>
      </c>
      <c r="J23" s="14">
        <v>45589</v>
      </c>
      <c r="K23" s="13" t="s">
        <v>532</v>
      </c>
      <c r="L23" s="20">
        <f t="shared" si="0"/>
        <v>45596</v>
      </c>
      <c r="M23" s="14">
        <v>45594</v>
      </c>
      <c r="N23" s="92">
        <f t="shared" si="1"/>
        <v>-2</v>
      </c>
      <c r="O23" s="10" t="s">
        <v>549</v>
      </c>
      <c r="P23" s="12" t="s">
        <v>5</v>
      </c>
      <c r="Q23" s="21">
        <v>45792</v>
      </c>
      <c r="R23" s="10" t="s">
        <v>3284</v>
      </c>
      <c r="S23" s="20">
        <f>Q23+7</f>
        <v>45799</v>
      </c>
      <c r="T23" s="21">
        <v>45798</v>
      </c>
      <c r="U23" s="10">
        <f>T23-S23</f>
        <v>-1</v>
      </c>
      <c r="V23" s="10" t="s">
        <v>3295</v>
      </c>
      <c r="W23" s="10"/>
      <c r="X23" s="21"/>
      <c r="Y23" s="10"/>
      <c r="Z23" s="10"/>
      <c r="AA23" s="21"/>
      <c r="AB23" s="21"/>
      <c r="AC23" s="10"/>
      <c r="AD23" s="10"/>
      <c r="AE23" s="21"/>
      <c r="AF23" s="10"/>
      <c r="AG23" s="10"/>
      <c r="AH23" s="21"/>
      <c r="AI23" s="21"/>
      <c r="AJ23" s="10"/>
      <c r="AK23" s="10"/>
      <c r="AL23" s="17"/>
      <c r="AM23" s="11"/>
      <c r="AN23" s="11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1"/>
      <c r="BF23" s="259"/>
    </row>
    <row r="24" spans="1:58" s="381" customFormat="1" ht="42" customHeight="1" x14ac:dyDescent="0.25">
      <c r="A24" s="367">
        <v>730007</v>
      </c>
      <c r="B24" s="12" t="s">
        <v>18</v>
      </c>
      <c r="C24" s="56" t="s">
        <v>54</v>
      </c>
      <c r="D24" s="12" t="s">
        <v>536</v>
      </c>
      <c r="E24" s="12" t="s">
        <v>537</v>
      </c>
      <c r="F24" s="16" t="s">
        <v>538</v>
      </c>
      <c r="G24" s="10" t="s">
        <v>15</v>
      </c>
      <c r="H24" s="10" t="s">
        <v>145</v>
      </c>
      <c r="I24" s="16" t="s">
        <v>18</v>
      </c>
      <c r="J24" s="14">
        <v>45589</v>
      </c>
      <c r="K24" s="13" t="s">
        <v>539</v>
      </c>
      <c r="L24" s="20">
        <f t="shared" si="0"/>
        <v>45596</v>
      </c>
      <c r="M24" s="14">
        <v>45595</v>
      </c>
      <c r="N24" s="92">
        <f t="shared" si="1"/>
        <v>-1</v>
      </c>
      <c r="O24" s="10" t="s">
        <v>551</v>
      </c>
      <c r="P24" s="10"/>
      <c r="Q24" s="21"/>
      <c r="R24" s="10"/>
      <c r="S24" s="10"/>
      <c r="T24" s="21"/>
      <c r="U24" s="10"/>
      <c r="V24" s="10"/>
      <c r="W24" s="10"/>
      <c r="X24" s="21"/>
      <c r="Y24" s="10"/>
      <c r="Z24" s="10"/>
      <c r="AA24" s="21"/>
      <c r="AB24" s="21"/>
      <c r="AC24" s="10"/>
      <c r="AD24" s="10"/>
      <c r="AE24" s="21"/>
      <c r="AF24" s="10"/>
      <c r="AG24" s="10"/>
      <c r="AH24" s="21"/>
      <c r="AI24" s="21"/>
      <c r="AJ24" s="10"/>
      <c r="AK24" s="10"/>
      <c r="AL24" s="17"/>
      <c r="AM24" s="11"/>
      <c r="AN24" s="11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1"/>
      <c r="BF24" s="259"/>
    </row>
    <row r="25" spans="1:58" s="381" customFormat="1" ht="42" customHeight="1" x14ac:dyDescent="0.25">
      <c r="A25" s="367">
        <v>730007</v>
      </c>
      <c r="B25" s="12" t="s">
        <v>13</v>
      </c>
      <c r="C25" s="56" t="s">
        <v>54</v>
      </c>
      <c r="D25" s="12" t="s">
        <v>615</v>
      </c>
      <c r="E25" s="12" t="s">
        <v>614</v>
      </c>
      <c r="F25" s="16" t="s">
        <v>616</v>
      </c>
      <c r="G25" s="10" t="s">
        <v>15</v>
      </c>
      <c r="H25" s="10" t="s">
        <v>145</v>
      </c>
      <c r="I25" s="16" t="s">
        <v>13</v>
      </c>
      <c r="J25" s="14">
        <v>45595</v>
      </c>
      <c r="K25" s="13" t="s">
        <v>617</v>
      </c>
      <c r="L25" s="20">
        <f t="shared" si="0"/>
        <v>45602</v>
      </c>
      <c r="M25" s="14">
        <v>45600</v>
      </c>
      <c r="N25" s="92">
        <f t="shared" si="1"/>
        <v>-2</v>
      </c>
      <c r="O25" s="10" t="s">
        <v>629</v>
      </c>
      <c r="P25" s="10"/>
      <c r="Q25" s="21"/>
      <c r="R25" s="10"/>
      <c r="S25" s="10"/>
      <c r="T25" s="21"/>
      <c r="U25" s="10"/>
      <c r="V25" s="10"/>
      <c r="W25" s="10"/>
      <c r="X25" s="21"/>
      <c r="Y25" s="10"/>
      <c r="Z25" s="10"/>
      <c r="AA25" s="21"/>
      <c r="AB25" s="21"/>
      <c r="AC25" s="10"/>
      <c r="AD25" s="10"/>
      <c r="AE25" s="21"/>
      <c r="AF25" s="10"/>
      <c r="AG25" s="10"/>
      <c r="AH25" s="21"/>
      <c r="AI25" s="21"/>
      <c r="AJ25" s="10"/>
      <c r="AK25" s="10"/>
      <c r="AL25" s="17"/>
      <c r="AM25" s="11"/>
      <c r="AN25" s="11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1"/>
      <c r="BF25" s="259"/>
    </row>
    <row r="26" spans="1:58" s="381" customFormat="1" ht="42" customHeight="1" x14ac:dyDescent="0.25">
      <c r="A26" s="367">
        <v>730007</v>
      </c>
      <c r="B26" s="12" t="s">
        <v>5</v>
      </c>
      <c r="C26" s="56" t="s">
        <v>208</v>
      </c>
      <c r="D26" s="12" t="s">
        <v>643</v>
      </c>
      <c r="E26" s="12" t="s">
        <v>642</v>
      </c>
      <c r="F26" s="16" t="s">
        <v>644</v>
      </c>
      <c r="G26" s="10" t="s">
        <v>15</v>
      </c>
      <c r="H26" s="10" t="s">
        <v>145</v>
      </c>
      <c r="I26" s="16" t="s">
        <v>18</v>
      </c>
      <c r="J26" s="14">
        <v>45598</v>
      </c>
      <c r="K26" s="13" t="s">
        <v>645</v>
      </c>
      <c r="L26" s="20">
        <f t="shared" si="0"/>
        <v>45605</v>
      </c>
      <c r="M26" s="14">
        <v>45605</v>
      </c>
      <c r="N26" s="92">
        <f t="shared" si="1"/>
        <v>0</v>
      </c>
      <c r="O26" s="10" t="s">
        <v>674</v>
      </c>
      <c r="P26" s="10" t="s">
        <v>5</v>
      </c>
      <c r="Q26" s="21">
        <v>45985</v>
      </c>
      <c r="R26" s="10" t="s">
        <v>5035</v>
      </c>
      <c r="S26" s="21">
        <f>Q26+7</f>
        <v>45992</v>
      </c>
      <c r="T26" s="21">
        <v>45993</v>
      </c>
      <c r="U26" s="13">
        <f>T26-S26</f>
        <v>1</v>
      </c>
      <c r="V26" s="10" t="s">
        <v>5047</v>
      </c>
      <c r="W26" s="10"/>
      <c r="X26" s="21"/>
      <c r="Y26" s="10"/>
      <c r="Z26" s="10"/>
      <c r="AA26" s="21"/>
      <c r="AB26" s="21"/>
      <c r="AC26" s="10"/>
      <c r="AD26" s="10"/>
      <c r="AE26" s="21"/>
      <c r="AF26" s="10"/>
      <c r="AG26" s="10"/>
      <c r="AH26" s="21"/>
      <c r="AI26" s="21"/>
      <c r="AJ26" s="10"/>
      <c r="AK26" s="10"/>
      <c r="AL26" s="17"/>
      <c r="AM26" s="11"/>
      <c r="AN26" s="11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1"/>
      <c r="BF26" s="259"/>
    </row>
    <row r="27" spans="1:58" s="381" customFormat="1" ht="42" customHeight="1" x14ac:dyDescent="0.25">
      <c r="A27" s="367">
        <v>730007</v>
      </c>
      <c r="B27" s="12" t="s">
        <v>5</v>
      </c>
      <c r="C27" s="56" t="s">
        <v>208</v>
      </c>
      <c r="D27" s="12" t="s">
        <v>664</v>
      </c>
      <c r="E27" s="12" t="s">
        <v>665</v>
      </c>
      <c r="F27" s="16" t="s">
        <v>666</v>
      </c>
      <c r="G27" s="10" t="s">
        <v>15</v>
      </c>
      <c r="H27" s="10" t="s">
        <v>145</v>
      </c>
      <c r="I27" s="16" t="s">
        <v>18</v>
      </c>
      <c r="J27" s="14">
        <v>45599</v>
      </c>
      <c r="K27" s="13" t="s">
        <v>667</v>
      </c>
      <c r="L27" s="20">
        <f t="shared" si="0"/>
        <v>45606</v>
      </c>
      <c r="M27" s="14">
        <v>45607</v>
      </c>
      <c r="N27" s="92">
        <f t="shared" si="1"/>
        <v>1</v>
      </c>
      <c r="O27" s="10" t="s">
        <v>689</v>
      </c>
      <c r="P27" s="10" t="s">
        <v>5</v>
      </c>
      <c r="Q27" s="21">
        <v>45983</v>
      </c>
      <c r="R27" s="10" t="s">
        <v>5005</v>
      </c>
      <c r="S27" s="21">
        <f>Q27+7</f>
        <v>45990</v>
      </c>
      <c r="T27" s="21">
        <v>45993</v>
      </c>
      <c r="U27" s="13">
        <f>T27-S27</f>
        <v>3</v>
      </c>
      <c r="V27" s="10" t="s">
        <v>5018</v>
      </c>
      <c r="W27" s="10"/>
      <c r="X27" s="21"/>
      <c r="Y27" s="10"/>
      <c r="Z27" s="10"/>
      <c r="AA27" s="21"/>
      <c r="AB27" s="21"/>
      <c r="AC27" s="10"/>
      <c r="AD27" s="10"/>
      <c r="AE27" s="21"/>
      <c r="AF27" s="10"/>
      <c r="AG27" s="10"/>
      <c r="AH27" s="21"/>
      <c r="AI27" s="21"/>
      <c r="AJ27" s="10"/>
      <c r="AK27" s="10"/>
      <c r="AL27" s="17"/>
      <c r="AM27" s="11"/>
      <c r="AN27" s="11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1"/>
      <c r="BF27" s="259"/>
    </row>
    <row r="28" spans="1:58" s="381" customFormat="1" ht="42" customHeight="1" x14ac:dyDescent="0.25">
      <c r="A28" s="367">
        <v>730007</v>
      </c>
      <c r="B28" s="12" t="s">
        <v>5</v>
      </c>
      <c r="C28" s="56" t="s">
        <v>208</v>
      </c>
      <c r="D28" s="12" t="s">
        <v>707</v>
      </c>
      <c r="E28" s="12" t="s">
        <v>708</v>
      </c>
      <c r="F28" s="16" t="s">
        <v>709</v>
      </c>
      <c r="G28" s="10" t="s">
        <v>15</v>
      </c>
      <c r="H28" s="10" t="s">
        <v>145</v>
      </c>
      <c r="I28" s="16" t="s">
        <v>18</v>
      </c>
      <c r="J28" s="14">
        <v>45601</v>
      </c>
      <c r="K28" s="13" t="s">
        <v>710</v>
      </c>
      <c r="L28" s="20">
        <f t="shared" si="0"/>
        <v>45608</v>
      </c>
      <c r="M28" s="14">
        <v>45607</v>
      </c>
      <c r="N28" s="92">
        <f t="shared" si="1"/>
        <v>-1</v>
      </c>
      <c r="O28" s="10" t="s">
        <v>719</v>
      </c>
      <c r="P28" s="12" t="s">
        <v>5</v>
      </c>
      <c r="Q28" s="21">
        <v>46005</v>
      </c>
      <c r="R28" s="10" t="s">
        <v>5208</v>
      </c>
      <c r="S28" s="21">
        <f>Q28+7</f>
        <v>46012</v>
      </c>
      <c r="T28" s="21">
        <v>46016</v>
      </c>
      <c r="U28" s="13">
        <f>T28-S28</f>
        <v>4</v>
      </c>
      <c r="V28" s="10" t="s">
        <v>5230</v>
      </c>
      <c r="W28" s="10"/>
      <c r="X28" s="21"/>
      <c r="Y28" s="10"/>
      <c r="Z28" s="10"/>
      <c r="AA28" s="21"/>
      <c r="AB28" s="21"/>
      <c r="AC28" s="10"/>
      <c r="AD28" s="10"/>
      <c r="AE28" s="21"/>
      <c r="AF28" s="10"/>
      <c r="AG28" s="10"/>
      <c r="AH28" s="21"/>
      <c r="AI28" s="21"/>
      <c r="AJ28" s="10"/>
      <c r="AK28" s="10"/>
      <c r="AL28" s="17"/>
      <c r="AM28" s="11"/>
      <c r="AN28" s="11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1"/>
      <c r="BF28" s="259"/>
    </row>
    <row r="29" spans="1:58" s="381" customFormat="1" ht="42" customHeight="1" x14ac:dyDescent="0.25">
      <c r="A29" s="367">
        <v>730007</v>
      </c>
      <c r="B29" s="58" t="s">
        <v>508</v>
      </c>
      <c r="C29" s="56" t="s">
        <v>627</v>
      </c>
      <c r="D29" s="12" t="s">
        <v>714</v>
      </c>
      <c r="E29" s="12" t="s">
        <v>715</v>
      </c>
      <c r="F29" s="16" t="s">
        <v>716</v>
      </c>
      <c r="G29" s="10" t="s">
        <v>15</v>
      </c>
      <c r="H29" s="10" t="s">
        <v>145</v>
      </c>
      <c r="I29" s="16" t="s">
        <v>3</v>
      </c>
      <c r="J29" s="14">
        <v>45601</v>
      </c>
      <c r="K29" s="13" t="s">
        <v>717</v>
      </c>
      <c r="L29" s="20">
        <f t="shared" si="0"/>
        <v>45608</v>
      </c>
      <c r="M29" s="14">
        <v>45607</v>
      </c>
      <c r="N29" s="92">
        <f t="shared" si="1"/>
        <v>-1</v>
      </c>
      <c r="O29" s="10" t="s">
        <v>720</v>
      </c>
      <c r="P29" s="10" t="s">
        <v>508</v>
      </c>
      <c r="Q29" s="21">
        <v>45891</v>
      </c>
      <c r="R29" s="10" t="s">
        <v>4012</v>
      </c>
      <c r="S29" s="10"/>
      <c r="T29" s="21"/>
      <c r="U29" s="10"/>
      <c r="V29" s="10"/>
      <c r="W29" s="10"/>
      <c r="X29" s="21"/>
      <c r="Y29" s="10"/>
      <c r="Z29" s="10"/>
      <c r="AA29" s="21"/>
      <c r="AB29" s="21"/>
      <c r="AC29" s="10"/>
      <c r="AD29" s="10"/>
      <c r="AE29" s="21"/>
      <c r="AF29" s="10"/>
      <c r="AG29" s="10"/>
      <c r="AH29" s="21"/>
      <c r="AI29" s="21"/>
      <c r="AJ29" s="10"/>
      <c r="AK29" s="10"/>
      <c r="AL29" s="17"/>
      <c r="AM29" s="11"/>
      <c r="AN29" s="11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1"/>
      <c r="BF29" s="259"/>
    </row>
    <row r="30" spans="1:58" s="381" customFormat="1" ht="42" customHeight="1" x14ac:dyDescent="0.25">
      <c r="A30" s="367">
        <v>730007</v>
      </c>
      <c r="B30" s="12" t="s">
        <v>5</v>
      </c>
      <c r="C30" s="56" t="s">
        <v>208</v>
      </c>
      <c r="D30" s="12" t="s">
        <v>722</v>
      </c>
      <c r="E30" s="12" t="s">
        <v>723</v>
      </c>
      <c r="F30" s="16" t="s">
        <v>4691</v>
      </c>
      <c r="G30" s="10" t="s">
        <v>15</v>
      </c>
      <c r="H30" s="10" t="s">
        <v>145</v>
      </c>
      <c r="I30" s="16" t="s">
        <v>18</v>
      </c>
      <c r="J30" s="14">
        <v>45602</v>
      </c>
      <c r="K30" s="13" t="s">
        <v>724</v>
      </c>
      <c r="L30" s="20">
        <f t="shared" si="0"/>
        <v>45609</v>
      </c>
      <c r="M30" s="14">
        <v>45610</v>
      </c>
      <c r="N30" s="92">
        <f t="shared" si="1"/>
        <v>1</v>
      </c>
      <c r="O30" s="10" t="s">
        <v>774</v>
      </c>
      <c r="P30" s="10" t="s">
        <v>5</v>
      </c>
      <c r="Q30" s="21">
        <v>45963</v>
      </c>
      <c r="R30" s="10" t="s">
        <v>4692</v>
      </c>
      <c r="S30" s="21">
        <f t="shared" ref="S30:S35" si="2">Q30+7</f>
        <v>45970</v>
      </c>
      <c r="T30" s="21">
        <v>45971</v>
      </c>
      <c r="U30" s="13">
        <f t="shared" ref="U30:U48" si="3">T30-S30</f>
        <v>1</v>
      </c>
      <c r="V30" s="10" t="s">
        <v>4722</v>
      </c>
      <c r="W30" s="10"/>
      <c r="X30" s="21"/>
      <c r="Y30" s="10"/>
      <c r="Z30" s="10"/>
      <c r="AA30" s="21"/>
      <c r="AB30" s="21"/>
      <c r="AC30" s="10"/>
      <c r="AD30" s="10"/>
      <c r="AE30" s="21"/>
      <c r="AF30" s="10"/>
      <c r="AG30" s="10"/>
      <c r="AH30" s="21"/>
      <c r="AI30" s="21"/>
      <c r="AJ30" s="10"/>
      <c r="AK30" s="10"/>
      <c r="AL30" s="17"/>
      <c r="AM30" s="11"/>
      <c r="AN30" s="11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1"/>
      <c r="BF30" s="259"/>
    </row>
    <row r="31" spans="1:58" s="381" customFormat="1" ht="42" customHeight="1" x14ac:dyDescent="0.25">
      <c r="A31" s="367">
        <v>730007</v>
      </c>
      <c r="B31" s="12" t="s">
        <v>5</v>
      </c>
      <c r="C31" s="56" t="s">
        <v>208</v>
      </c>
      <c r="D31" s="12" t="s">
        <v>737</v>
      </c>
      <c r="E31" s="12" t="s">
        <v>738</v>
      </c>
      <c r="F31" s="16" t="s">
        <v>743</v>
      </c>
      <c r="G31" s="10" t="s">
        <v>15</v>
      </c>
      <c r="H31" s="10" t="s">
        <v>145</v>
      </c>
      <c r="I31" s="16" t="s">
        <v>18</v>
      </c>
      <c r="J31" s="14">
        <v>45603</v>
      </c>
      <c r="K31" s="13" t="s">
        <v>780</v>
      </c>
      <c r="L31" s="20">
        <f t="shared" si="0"/>
        <v>45610</v>
      </c>
      <c r="M31" s="14">
        <v>45608</v>
      </c>
      <c r="N31" s="92">
        <f t="shared" si="1"/>
        <v>-2</v>
      </c>
      <c r="O31" s="10" t="s">
        <v>779</v>
      </c>
      <c r="P31" s="10" t="s">
        <v>5</v>
      </c>
      <c r="Q31" s="21">
        <v>45795</v>
      </c>
      <c r="R31" s="10" t="s">
        <v>3314</v>
      </c>
      <c r="S31" s="21">
        <f t="shared" si="2"/>
        <v>45802</v>
      </c>
      <c r="T31" s="21">
        <v>45803</v>
      </c>
      <c r="U31" s="13">
        <f t="shared" si="3"/>
        <v>1</v>
      </c>
      <c r="V31" s="10" t="s">
        <v>3326</v>
      </c>
      <c r="W31" s="10"/>
      <c r="X31" s="21"/>
      <c r="Y31" s="10"/>
      <c r="Z31" s="10"/>
      <c r="AA31" s="21"/>
      <c r="AB31" s="21"/>
      <c r="AC31" s="10"/>
      <c r="AD31" s="10"/>
      <c r="AE31" s="21"/>
      <c r="AF31" s="10"/>
      <c r="AG31" s="10"/>
      <c r="AH31" s="21"/>
      <c r="AI31" s="21"/>
      <c r="AJ31" s="10"/>
      <c r="AK31" s="10"/>
      <c r="AL31" s="17"/>
      <c r="AM31" s="11"/>
      <c r="AN31" s="11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1"/>
      <c r="BF31" s="259"/>
    </row>
    <row r="32" spans="1:58" s="381" customFormat="1" ht="42" customHeight="1" x14ac:dyDescent="0.25">
      <c r="A32" s="367">
        <v>730007</v>
      </c>
      <c r="B32" s="12" t="s">
        <v>5</v>
      </c>
      <c r="C32" s="56" t="s">
        <v>208</v>
      </c>
      <c r="D32" s="12" t="s">
        <v>789</v>
      </c>
      <c r="E32" s="12" t="s">
        <v>790</v>
      </c>
      <c r="F32" s="16" t="s">
        <v>791</v>
      </c>
      <c r="G32" s="10" t="s">
        <v>15</v>
      </c>
      <c r="H32" s="10" t="s">
        <v>145</v>
      </c>
      <c r="I32" s="16" t="s">
        <v>18</v>
      </c>
      <c r="J32" s="14">
        <v>45605</v>
      </c>
      <c r="K32" s="13" t="s">
        <v>792</v>
      </c>
      <c r="L32" s="20">
        <f t="shared" si="0"/>
        <v>45612</v>
      </c>
      <c r="M32" s="14">
        <v>45610</v>
      </c>
      <c r="N32" s="92">
        <f t="shared" si="1"/>
        <v>-2</v>
      </c>
      <c r="O32" s="10" t="s">
        <v>817</v>
      </c>
      <c r="P32" s="10" t="s">
        <v>5</v>
      </c>
      <c r="Q32" s="21">
        <v>45976</v>
      </c>
      <c r="R32" s="10" t="s">
        <v>4914</v>
      </c>
      <c r="S32" s="21">
        <f t="shared" si="2"/>
        <v>45983</v>
      </c>
      <c r="T32" s="21">
        <v>45983</v>
      </c>
      <c r="U32" s="13">
        <f t="shared" si="3"/>
        <v>0</v>
      </c>
      <c r="V32" s="10" t="s">
        <v>4936</v>
      </c>
      <c r="W32" s="10"/>
      <c r="X32" s="21"/>
      <c r="Y32" s="10"/>
      <c r="Z32" s="10"/>
      <c r="AA32" s="21"/>
      <c r="AB32" s="21"/>
      <c r="AC32" s="10"/>
      <c r="AD32" s="10"/>
      <c r="AE32" s="21"/>
      <c r="AF32" s="10"/>
      <c r="AG32" s="10"/>
      <c r="AH32" s="21"/>
      <c r="AI32" s="21"/>
      <c r="AJ32" s="10"/>
      <c r="AK32" s="10"/>
      <c r="AL32" s="17"/>
      <c r="AM32" s="11"/>
      <c r="AN32" s="11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1"/>
      <c r="BF32" s="259"/>
    </row>
    <row r="33" spans="1:58" s="381" customFormat="1" ht="42" customHeight="1" x14ac:dyDescent="0.25">
      <c r="A33" s="367">
        <v>730007</v>
      </c>
      <c r="B33" s="12" t="s">
        <v>5</v>
      </c>
      <c r="C33" s="56" t="s">
        <v>588</v>
      </c>
      <c r="D33" s="12" t="s">
        <v>841</v>
      </c>
      <c r="E33" s="12" t="s">
        <v>842</v>
      </c>
      <c r="F33" s="16" t="s">
        <v>3042</v>
      </c>
      <c r="G33" s="10" t="s">
        <v>15</v>
      </c>
      <c r="H33" s="10" t="s">
        <v>145</v>
      </c>
      <c r="I33" s="16" t="s">
        <v>18</v>
      </c>
      <c r="J33" s="14">
        <v>45607</v>
      </c>
      <c r="K33" s="13" t="s">
        <v>843</v>
      </c>
      <c r="L33" s="20">
        <f t="shared" si="0"/>
        <v>45614</v>
      </c>
      <c r="M33" s="14">
        <v>45615</v>
      </c>
      <c r="N33" s="92">
        <f t="shared" si="1"/>
        <v>1</v>
      </c>
      <c r="O33" s="10" t="s">
        <v>882</v>
      </c>
      <c r="P33" s="10" t="s">
        <v>18</v>
      </c>
      <c r="Q33" s="21">
        <v>45767</v>
      </c>
      <c r="R33" s="10" t="s">
        <v>3043</v>
      </c>
      <c r="S33" s="21">
        <f t="shared" si="2"/>
        <v>45774</v>
      </c>
      <c r="T33" s="21">
        <v>45777</v>
      </c>
      <c r="U33" s="13">
        <f t="shared" si="3"/>
        <v>3</v>
      </c>
      <c r="V33" s="10" t="s">
        <v>3058</v>
      </c>
      <c r="W33" s="10" t="s">
        <v>5</v>
      </c>
      <c r="X33" s="21">
        <v>46027</v>
      </c>
      <c r="Y33" s="10" t="s">
        <v>5463</v>
      </c>
      <c r="Z33" s="21">
        <f>X33+7</f>
        <v>46034</v>
      </c>
      <c r="AA33" s="21">
        <v>46037</v>
      </c>
      <c r="AB33" s="13">
        <f>AA33-Z33</f>
        <v>3</v>
      </c>
      <c r="AC33" s="10" t="s">
        <v>5484</v>
      </c>
      <c r="AD33" s="10"/>
      <c r="AE33" s="21"/>
      <c r="AF33" s="10"/>
      <c r="AG33" s="10"/>
      <c r="AH33" s="21"/>
      <c r="AI33" s="21"/>
      <c r="AJ33" s="10"/>
      <c r="AK33" s="10"/>
      <c r="AL33" s="17"/>
      <c r="AM33" s="11"/>
      <c r="AN33" s="11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1"/>
      <c r="BF33" s="259"/>
    </row>
    <row r="34" spans="1:58" s="381" customFormat="1" ht="42" customHeight="1" x14ac:dyDescent="0.25">
      <c r="A34" s="367">
        <v>730007</v>
      </c>
      <c r="B34" s="12" t="s">
        <v>5</v>
      </c>
      <c r="C34" s="56" t="s">
        <v>208</v>
      </c>
      <c r="D34" s="12" t="s">
        <v>921</v>
      </c>
      <c r="E34" s="12" t="s">
        <v>922</v>
      </c>
      <c r="F34" s="16" t="s">
        <v>920</v>
      </c>
      <c r="G34" s="10" t="s">
        <v>15</v>
      </c>
      <c r="H34" s="10" t="s">
        <v>145</v>
      </c>
      <c r="I34" s="16" t="s">
        <v>18</v>
      </c>
      <c r="J34" s="14">
        <v>45610</v>
      </c>
      <c r="K34" s="13" t="s">
        <v>923</v>
      </c>
      <c r="L34" s="20">
        <f t="shared" si="0"/>
        <v>45617</v>
      </c>
      <c r="M34" s="14">
        <v>45616</v>
      </c>
      <c r="N34" s="92">
        <f t="shared" si="1"/>
        <v>-1</v>
      </c>
      <c r="O34" s="10" t="s">
        <v>926</v>
      </c>
      <c r="P34" s="10" t="s">
        <v>5</v>
      </c>
      <c r="Q34" s="21">
        <v>45964</v>
      </c>
      <c r="R34" s="10" t="s">
        <v>4725</v>
      </c>
      <c r="S34" s="21">
        <f t="shared" si="2"/>
        <v>45971</v>
      </c>
      <c r="T34" s="21">
        <v>45970</v>
      </c>
      <c r="U34" s="13">
        <f t="shared" si="3"/>
        <v>-1</v>
      </c>
      <c r="V34" s="10" t="s">
        <v>4724</v>
      </c>
      <c r="W34" s="10"/>
      <c r="X34" s="21"/>
      <c r="Y34" s="10"/>
      <c r="Z34" s="10"/>
      <c r="AA34" s="21"/>
      <c r="AB34" s="21"/>
      <c r="AC34" s="10"/>
      <c r="AD34" s="10"/>
      <c r="AE34" s="21"/>
      <c r="AF34" s="10"/>
      <c r="AG34" s="10"/>
      <c r="AH34" s="21"/>
      <c r="AI34" s="21"/>
      <c r="AJ34" s="10"/>
      <c r="AK34" s="10"/>
      <c r="AL34" s="17"/>
      <c r="AM34" s="11"/>
      <c r="AN34" s="11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1"/>
      <c r="BF34" s="259"/>
    </row>
    <row r="35" spans="1:58" s="381" customFormat="1" ht="42" customHeight="1" x14ac:dyDescent="0.25">
      <c r="A35" s="367">
        <v>730007</v>
      </c>
      <c r="B35" s="12" t="s">
        <v>5</v>
      </c>
      <c r="C35" s="56" t="s">
        <v>208</v>
      </c>
      <c r="D35" s="12" t="s">
        <v>967</v>
      </c>
      <c r="E35" s="12" t="s">
        <v>968</v>
      </c>
      <c r="F35" s="16" t="s">
        <v>969</v>
      </c>
      <c r="G35" s="10" t="s">
        <v>15</v>
      </c>
      <c r="H35" s="10" t="s">
        <v>145</v>
      </c>
      <c r="I35" s="16" t="s">
        <v>18</v>
      </c>
      <c r="J35" s="14">
        <v>45615</v>
      </c>
      <c r="K35" s="13" t="s">
        <v>970</v>
      </c>
      <c r="L35" s="20">
        <f t="shared" si="0"/>
        <v>45622</v>
      </c>
      <c r="M35" s="14">
        <v>45622</v>
      </c>
      <c r="N35" s="92">
        <f t="shared" si="1"/>
        <v>0</v>
      </c>
      <c r="O35" s="10" t="s">
        <v>975</v>
      </c>
      <c r="P35" s="10" t="s">
        <v>5</v>
      </c>
      <c r="Q35" s="21">
        <v>46055</v>
      </c>
      <c r="R35" s="10" t="s">
        <v>5734</v>
      </c>
      <c r="S35" s="21">
        <f t="shared" si="2"/>
        <v>46062</v>
      </c>
      <c r="T35" s="21">
        <v>46065</v>
      </c>
      <c r="U35" s="13">
        <f t="shared" si="3"/>
        <v>3</v>
      </c>
      <c r="V35" s="10" t="s">
        <v>5745</v>
      </c>
      <c r="W35" s="10"/>
      <c r="X35" s="21"/>
      <c r="Y35" s="10"/>
      <c r="Z35" s="10"/>
      <c r="AA35" s="21"/>
      <c r="AB35" s="21"/>
      <c r="AC35" s="10"/>
      <c r="AD35" s="10"/>
      <c r="AE35" s="21"/>
      <c r="AF35" s="10"/>
      <c r="AG35" s="10"/>
      <c r="AH35" s="21"/>
      <c r="AI35" s="21"/>
      <c r="AJ35" s="10"/>
      <c r="AK35" s="10"/>
      <c r="AL35" s="17"/>
      <c r="AM35" s="11"/>
      <c r="AN35" s="11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1"/>
      <c r="BF35" s="259"/>
    </row>
    <row r="36" spans="1:58" s="381" customFormat="1" ht="42" customHeight="1" x14ac:dyDescent="0.25">
      <c r="A36" s="367">
        <v>730007</v>
      </c>
      <c r="B36" s="12" t="s">
        <v>5</v>
      </c>
      <c r="C36" s="56" t="s">
        <v>208</v>
      </c>
      <c r="D36" s="12" t="s">
        <v>978</v>
      </c>
      <c r="E36" s="12" t="s">
        <v>979</v>
      </c>
      <c r="F36" s="16" t="s">
        <v>980</v>
      </c>
      <c r="G36" s="10" t="s">
        <v>15</v>
      </c>
      <c r="H36" s="10" t="s">
        <v>145</v>
      </c>
      <c r="I36" s="16" t="s">
        <v>18</v>
      </c>
      <c r="J36" s="14">
        <v>45616</v>
      </c>
      <c r="K36" s="13" t="s">
        <v>981</v>
      </c>
      <c r="L36" s="20">
        <f t="shared" si="0"/>
        <v>45623</v>
      </c>
      <c r="M36" s="14">
        <v>45624</v>
      </c>
      <c r="N36" s="92">
        <f t="shared" si="1"/>
        <v>1</v>
      </c>
      <c r="O36" s="10" t="s">
        <v>995</v>
      </c>
      <c r="P36" s="10" t="s">
        <v>5</v>
      </c>
      <c r="Q36" s="21">
        <v>46026</v>
      </c>
      <c r="R36" s="10" t="s">
        <v>5457</v>
      </c>
      <c r="S36" s="21">
        <f t="shared" ref="S36:S42" si="4">Q36+7</f>
        <v>46033</v>
      </c>
      <c r="T36" s="21">
        <v>46035</v>
      </c>
      <c r="U36" s="13">
        <f t="shared" si="3"/>
        <v>2</v>
      </c>
      <c r="V36" s="10" t="s">
        <v>5459</v>
      </c>
      <c r="W36" s="10"/>
      <c r="X36" s="21"/>
      <c r="Y36" s="10"/>
      <c r="Z36" s="10"/>
      <c r="AA36" s="21"/>
      <c r="AB36" s="21"/>
      <c r="AC36" s="10"/>
      <c r="AD36" s="10"/>
      <c r="AE36" s="21"/>
      <c r="AF36" s="10"/>
      <c r="AG36" s="10"/>
      <c r="AH36" s="21"/>
      <c r="AI36" s="21"/>
      <c r="AJ36" s="10"/>
      <c r="AK36" s="10"/>
      <c r="AL36" s="17"/>
      <c r="AM36" s="11"/>
      <c r="AN36" s="11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1"/>
      <c r="BF36" s="259"/>
    </row>
    <row r="37" spans="1:58" s="381" customFormat="1" ht="42" customHeight="1" x14ac:dyDescent="0.25">
      <c r="A37" s="367">
        <v>730007</v>
      </c>
      <c r="B37" s="12" t="s">
        <v>5</v>
      </c>
      <c r="C37" s="56" t="s">
        <v>208</v>
      </c>
      <c r="D37" s="12" t="s">
        <v>1002</v>
      </c>
      <c r="E37" s="12" t="s">
        <v>1003</v>
      </c>
      <c r="F37" s="16" t="s">
        <v>1004</v>
      </c>
      <c r="G37" s="10" t="s">
        <v>15</v>
      </c>
      <c r="H37" s="10" t="s">
        <v>145</v>
      </c>
      <c r="I37" s="16" t="s">
        <v>18</v>
      </c>
      <c r="J37" s="14">
        <v>45617</v>
      </c>
      <c r="K37" s="13" t="s">
        <v>1005</v>
      </c>
      <c r="L37" s="20">
        <f t="shared" si="0"/>
        <v>45624</v>
      </c>
      <c r="M37" s="14">
        <v>45624</v>
      </c>
      <c r="N37" s="92">
        <f t="shared" si="1"/>
        <v>0</v>
      </c>
      <c r="O37" s="10" t="s">
        <v>1012</v>
      </c>
      <c r="P37" s="10" t="s">
        <v>5</v>
      </c>
      <c r="Q37" s="21">
        <v>45983</v>
      </c>
      <c r="R37" s="10" t="s">
        <v>5006</v>
      </c>
      <c r="S37" s="21">
        <f t="shared" si="4"/>
        <v>45990</v>
      </c>
      <c r="T37" s="21">
        <v>45993</v>
      </c>
      <c r="U37" s="13">
        <f t="shared" si="3"/>
        <v>3</v>
      </c>
      <c r="V37" s="10" t="s">
        <v>5019</v>
      </c>
      <c r="W37" s="10"/>
      <c r="X37" s="21"/>
      <c r="Y37" s="10"/>
      <c r="Z37" s="10"/>
      <c r="AA37" s="21"/>
      <c r="AB37" s="21"/>
      <c r="AC37" s="10"/>
      <c r="AD37" s="10"/>
      <c r="AE37" s="21"/>
      <c r="AF37" s="10"/>
      <c r="AG37" s="10"/>
      <c r="AH37" s="21"/>
      <c r="AI37" s="21"/>
      <c r="AJ37" s="10"/>
      <c r="AK37" s="10"/>
      <c r="AL37" s="17"/>
      <c r="AM37" s="11"/>
      <c r="AN37" s="11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1"/>
      <c r="BF37" s="259"/>
    </row>
    <row r="38" spans="1:58" s="381" customFormat="1" ht="42" customHeight="1" x14ac:dyDescent="0.25">
      <c r="A38" s="367">
        <v>730007</v>
      </c>
      <c r="B38" s="12" t="s">
        <v>5</v>
      </c>
      <c r="C38" s="56" t="s">
        <v>208</v>
      </c>
      <c r="D38" s="12" t="s">
        <v>1085</v>
      </c>
      <c r="E38" s="12" t="s">
        <v>1084</v>
      </c>
      <c r="F38" s="16" t="s">
        <v>1086</v>
      </c>
      <c r="G38" s="10" t="s">
        <v>15</v>
      </c>
      <c r="H38" s="10" t="s">
        <v>145</v>
      </c>
      <c r="I38" s="16" t="s">
        <v>18</v>
      </c>
      <c r="J38" s="14">
        <v>45622</v>
      </c>
      <c r="K38" s="13" t="s">
        <v>1087</v>
      </c>
      <c r="L38" s="20">
        <f t="shared" si="0"/>
        <v>45629</v>
      </c>
      <c r="M38" s="14">
        <v>45629</v>
      </c>
      <c r="N38" s="92">
        <f t="shared" si="1"/>
        <v>0</v>
      </c>
      <c r="O38" s="10" t="s">
        <v>1108</v>
      </c>
      <c r="P38" s="10" t="s">
        <v>5</v>
      </c>
      <c r="Q38" s="21">
        <v>45964</v>
      </c>
      <c r="R38" s="10" t="s">
        <v>4693</v>
      </c>
      <c r="S38" s="21">
        <f t="shared" si="4"/>
        <v>45971</v>
      </c>
      <c r="T38" s="21">
        <v>45970</v>
      </c>
      <c r="U38" s="13">
        <f t="shared" si="3"/>
        <v>-1</v>
      </c>
      <c r="V38" s="10" t="s">
        <v>4723</v>
      </c>
      <c r="W38" s="10"/>
      <c r="X38" s="21"/>
      <c r="Y38" s="10"/>
      <c r="Z38" s="10"/>
      <c r="AA38" s="21"/>
      <c r="AB38" s="21"/>
      <c r="AC38" s="10"/>
      <c r="AD38" s="10"/>
      <c r="AE38" s="21"/>
      <c r="AF38" s="10"/>
      <c r="AG38" s="10"/>
      <c r="AH38" s="21"/>
      <c r="AI38" s="21"/>
      <c r="AJ38" s="10"/>
      <c r="AK38" s="10"/>
      <c r="AL38" s="17"/>
      <c r="AM38" s="11"/>
      <c r="AN38" s="11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1"/>
      <c r="BF38" s="259"/>
    </row>
    <row r="39" spans="1:58" s="381" customFormat="1" ht="42" customHeight="1" x14ac:dyDescent="0.25">
      <c r="A39" s="367">
        <v>730007</v>
      </c>
      <c r="B39" s="12" t="s">
        <v>5</v>
      </c>
      <c r="C39" s="56" t="s">
        <v>208</v>
      </c>
      <c r="D39" s="12" t="s">
        <v>1114</v>
      </c>
      <c r="E39" s="12" t="s">
        <v>1115</v>
      </c>
      <c r="F39" s="16" t="s">
        <v>2176</v>
      </c>
      <c r="G39" s="10" t="s">
        <v>15</v>
      </c>
      <c r="H39" s="10" t="s">
        <v>145</v>
      </c>
      <c r="I39" s="16" t="s">
        <v>18</v>
      </c>
      <c r="J39" s="14">
        <v>45624</v>
      </c>
      <c r="K39" s="13" t="s">
        <v>1116</v>
      </c>
      <c r="L39" s="20">
        <f t="shared" si="0"/>
        <v>45631</v>
      </c>
      <c r="M39" s="14">
        <v>45630</v>
      </c>
      <c r="N39" s="92">
        <f t="shared" si="1"/>
        <v>-1</v>
      </c>
      <c r="O39" s="10" t="s">
        <v>1118</v>
      </c>
      <c r="P39" s="10" t="s">
        <v>5</v>
      </c>
      <c r="Q39" s="21">
        <v>45684</v>
      </c>
      <c r="R39" s="10" t="s">
        <v>2177</v>
      </c>
      <c r="S39" s="21">
        <f t="shared" si="4"/>
        <v>45691</v>
      </c>
      <c r="T39" s="21">
        <v>45691</v>
      </c>
      <c r="U39" s="13">
        <f t="shared" si="3"/>
        <v>0</v>
      </c>
      <c r="V39" s="10" t="s">
        <v>2199</v>
      </c>
      <c r="W39" s="10"/>
      <c r="X39" s="21"/>
      <c r="Y39" s="10"/>
      <c r="Z39" s="10"/>
      <c r="AA39" s="21"/>
      <c r="AB39" s="21"/>
      <c r="AC39" s="10"/>
      <c r="AD39" s="10"/>
      <c r="AE39" s="21"/>
      <c r="AF39" s="10"/>
      <c r="AG39" s="10"/>
      <c r="AH39" s="21"/>
      <c r="AI39" s="21"/>
      <c r="AJ39" s="10"/>
      <c r="AK39" s="10"/>
      <c r="AL39" s="17"/>
      <c r="AM39" s="11"/>
      <c r="AN39" s="11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1"/>
      <c r="BF39" s="259"/>
    </row>
    <row r="40" spans="1:58" s="381" customFormat="1" ht="42" customHeight="1" x14ac:dyDescent="0.25">
      <c r="A40" s="367">
        <v>730007</v>
      </c>
      <c r="B40" s="12" t="s">
        <v>5</v>
      </c>
      <c r="C40" s="56" t="s">
        <v>208</v>
      </c>
      <c r="D40" s="12" t="s">
        <v>1157</v>
      </c>
      <c r="E40" s="12" t="s">
        <v>1158</v>
      </c>
      <c r="F40" s="16" t="s">
        <v>1159</v>
      </c>
      <c r="G40" s="10" t="s">
        <v>15</v>
      </c>
      <c r="H40" s="10" t="s">
        <v>145</v>
      </c>
      <c r="I40" s="16" t="s">
        <v>18</v>
      </c>
      <c r="J40" s="14">
        <v>45627</v>
      </c>
      <c r="K40" s="13" t="s">
        <v>1160</v>
      </c>
      <c r="L40" s="20">
        <f t="shared" si="0"/>
        <v>45634</v>
      </c>
      <c r="M40" s="14">
        <v>45635</v>
      </c>
      <c r="N40" s="92">
        <f t="shared" si="1"/>
        <v>1</v>
      </c>
      <c r="O40" s="10" t="s">
        <v>1170</v>
      </c>
      <c r="P40" s="10" t="s">
        <v>5</v>
      </c>
      <c r="Q40" s="21">
        <v>46005</v>
      </c>
      <c r="R40" s="10" t="s">
        <v>5209</v>
      </c>
      <c r="S40" s="21">
        <f t="shared" si="4"/>
        <v>46012</v>
      </c>
      <c r="T40" s="21">
        <v>46016</v>
      </c>
      <c r="U40" s="13">
        <f t="shared" si="3"/>
        <v>4</v>
      </c>
      <c r="V40" s="10" t="s">
        <v>5231</v>
      </c>
      <c r="W40" s="10"/>
      <c r="X40" s="21"/>
      <c r="Y40" s="10"/>
      <c r="Z40" s="10"/>
      <c r="AA40" s="21"/>
      <c r="AB40" s="21"/>
      <c r="AC40" s="10"/>
      <c r="AD40" s="10"/>
      <c r="AE40" s="21"/>
      <c r="AF40" s="10"/>
      <c r="AG40" s="10"/>
      <c r="AH40" s="21"/>
      <c r="AI40" s="21"/>
      <c r="AJ40" s="10"/>
      <c r="AK40" s="10"/>
      <c r="AL40" s="17"/>
      <c r="AM40" s="11"/>
      <c r="AN40" s="11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1"/>
      <c r="BF40" s="259"/>
    </row>
    <row r="41" spans="1:58" s="381" customFormat="1" ht="42" customHeight="1" x14ac:dyDescent="0.25">
      <c r="A41" s="367">
        <v>730007</v>
      </c>
      <c r="B41" s="12" t="s">
        <v>18</v>
      </c>
      <c r="C41" s="56" t="s">
        <v>588</v>
      </c>
      <c r="D41" s="12" t="s">
        <v>1182</v>
      </c>
      <c r="E41" s="12" t="s">
        <v>1183</v>
      </c>
      <c r="F41" s="16" t="s">
        <v>1935</v>
      </c>
      <c r="G41" s="10" t="s">
        <v>15</v>
      </c>
      <c r="H41" s="10" t="s">
        <v>145</v>
      </c>
      <c r="I41" s="16" t="s">
        <v>3</v>
      </c>
      <c r="J41" s="14">
        <v>45629</v>
      </c>
      <c r="K41" s="13" t="s">
        <v>1184</v>
      </c>
      <c r="L41" s="20">
        <f t="shared" si="0"/>
        <v>45636</v>
      </c>
      <c r="M41" s="14">
        <v>45641</v>
      </c>
      <c r="N41" s="92">
        <f t="shared" si="1"/>
        <v>5</v>
      </c>
      <c r="O41" s="10" t="s">
        <v>1196</v>
      </c>
      <c r="P41" s="10" t="s">
        <v>3</v>
      </c>
      <c r="Q41" s="21">
        <v>45645</v>
      </c>
      <c r="R41" s="10" t="s">
        <v>1540</v>
      </c>
      <c r="S41" s="21">
        <f t="shared" si="4"/>
        <v>45652</v>
      </c>
      <c r="T41" s="21">
        <v>45664</v>
      </c>
      <c r="U41" s="13">
        <f t="shared" si="3"/>
        <v>12</v>
      </c>
      <c r="V41" s="10" t="s">
        <v>1574</v>
      </c>
      <c r="W41" s="10" t="s">
        <v>18</v>
      </c>
      <c r="X41" s="21">
        <v>45668</v>
      </c>
      <c r="Y41" s="10" t="s">
        <v>1936</v>
      </c>
      <c r="Z41" s="21">
        <f>X41+7</f>
        <v>45675</v>
      </c>
      <c r="AA41" s="21">
        <v>45678</v>
      </c>
      <c r="AB41" s="92">
        <f>AA41-Z41</f>
        <v>3</v>
      </c>
      <c r="AC41" s="10" t="s">
        <v>1946</v>
      </c>
      <c r="AD41" s="10"/>
      <c r="AE41" s="21"/>
      <c r="AF41" s="10"/>
      <c r="AG41" s="10"/>
      <c r="AH41" s="21"/>
      <c r="AI41" s="21"/>
      <c r="AJ41" s="10"/>
      <c r="AK41" s="10"/>
      <c r="AL41" s="17"/>
      <c r="AM41" s="11"/>
      <c r="AN41" s="11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1"/>
      <c r="BF41" s="259"/>
    </row>
    <row r="42" spans="1:58" s="381" customFormat="1" ht="42" customHeight="1" x14ac:dyDescent="0.25">
      <c r="A42" s="367">
        <v>730007</v>
      </c>
      <c r="B42" s="12" t="s">
        <v>5</v>
      </c>
      <c r="C42" s="56" t="s">
        <v>208</v>
      </c>
      <c r="D42" s="12" t="s">
        <v>1252</v>
      </c>
      <c r="E42" s="12" t="s">
        <v>1253</v>
      </c>
      <c r="F42" s="16" t="s">
        <v>1934</v>
      </c>
      <c r="G42" s="10" t="s">
        <v>15</v>
      </c>
      <c r="H42" s="10" t="s">
        <v>145</v>
      </c>
      <c r="I42" s="16" t="s">
        <v>18</v>
      </c>
      <c r="J42" s="14">
        <v>45630</v>
      </c>
      <c r="K42" s="13" t="s">
        <v>1254</v>
      </c>
      <c r="L42" s="20">
        <f t="shared" si="0"/>
        <v>45637</v>
      </c>
      <c r="M42" s="14">
        <v>45631</v>
      </c>
      <c r="N42" s="92">
        <f t="shared" ref="N42:N53" si="5">M42-L42</f>
        <v>-6</v>
      </c>
      <c r="O42" s="10" t="s">
        <v>1263</v>
      </c>
      <c r="P42" s="12" t="s">
        <v>5</v>
      </c>
      <c r="Q42" s="21">
        <v>46160</v>
      </c>
      <c r="R42" s="10" t="s">
        <v>6861</v>
      </c>
      <c r="S42" s="21">
        <f t="shared" si="4"/>
        <v>46167</v>
      </c>
      <c r="T42" s="21">
        <v>46174</v>
      </c>
      <c r="U42" s="13">
        <f t="shared" si="3"/>
        <v>7</v>
      </c>
      <c r="V42" s="10" t="s">
        <v>6869</v>
      </c>
      <c r="W42" s="10"/>
      <c r="X42" s="21"/>
      <c r="Y42" s="10"/>
      <c r="Z42" s="10"/>
      <c r="AA42" s="21"/>
      <c r="AB42" s="21"/>
      <c r="AC42" s="10"/>
      <c r="AD42" s="10"/>
      <c r="AE42" s="21"/>
      <c r="AF42" s="10"/>
      <c r="AG42" s="10"/>
      <c r="AH42" s="21"/>
      <c r="AI42" s="21"/>
      <c r="AJ42" s="10"/>
      <c r="AK42" s="10"/>
      <c r="AL42" s="17"/>
      <c r="AM42" s="11"/>
      <c r="AN42" s="11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1"/>
      <c r="BF42" s="259"/>
    </row>
    <row r="43" spans="1:58" s="381" customFormat="1" ht="42" customHeight="1" x14ac:dyDescent="0.25">
      <c r="A43" s="367">
        <v>730007</v>
      </c>
      <c r="B43" s="12" t="s">
        <v>5</v>
      </c>
      <c r="C43" s="56" t="s">
        <v>208</v>
      </c>
      <c r="D43" s="12" t="s">
        <v>1306</v>
      </c>
      <c r="E43" s="12" t="s">
        <v>1307</v>
      </c>
      <c r="F43" s="16" t="s">
        <v>1308</v>
      </c>
      <c r="G43" s="10" t="s">
        <v>15</v>
      </c>
      <c r="H43" s="10" t="s">
        <v>145</v>
      </c>
      <c r="I43" s="16" t="s">
        <v>18</v>
      </c>
      <c r="J43" s="14">
        <v>45634</v>
      </c>
      <c r="K43" s="13" t="s">
        <v>1309</v>
      </c>
      <c r="L43" s="20">
        <f t="shared" si="0"/>
        <v>45641</v>
      </c>
      <c r="M43" s="14">
        <v>45638</v>
      </c>
      <c r="N43" s="92">
        <f t="shared" si="5"/>
        <v>-3</v>
      </c>
      <c r="O43" s="10" t="s">
        <v>1345</v>
      </c>
      <c r="P43" s="12" t="s">
        <v>5</v>
      </c>
      <c r="Q43" s="21">
        <v>46005</v>
      </c>
      <c r="R43" s="10" t="s">
        <v>5388</v>
      </c>
      <c r="S43" s="21">
        <f t="shared" ref="S43:S48" si="6">Q43+7</f>
        <v>46012</v>
      </c>
      <c r="T43" s="21">
        <v>46016</v>
      </c>
      <c r="U43" s="13">
        <f t="shared" si="3"/>
        <v>4</v>
      </c>
      <c r="V43" s="10" t="s">
        <v>5232</v>
      </c>
      <c r="W43" s="10"/>
      <c r="X43" s="21"/>
      <c r="Y43" s="10"/>
      <c r="Z43" s="10"/>
      <c r="AA43" s="21"/>
      <c r="AB43" s="21"/>
      <c r="AC43" s="10"/>
      <c r="AD43" s="10"/>
      <c r="AE43" s="21"/>
      <c r="AF43" s="10"/>
      <c r="AG43" s="10"/>
      <c r="AH43" s="21"/>
      <c r="AI43" s="21"/>
      <c r="AJ43" s="10"/>
      <c r="AK43" s="10"/>
      <c r="AL43" s="17"/>
      <c r="AM43" s="11"/>
      <c r="AN43" s="11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1"/>
      <c r="BF43" s="259"/>
    </row>
    <row r="44" spans="1:58" s="381" customFormat="1" ht="42" customHeight="1" x14ac:dyDescent="0.25">
      <c r="A44" s="367">
        <v>730007</v>
      </c>
      <c r="B44" s="12" t="s">
        <v>5</v>
      </c>
      <c r="C44" s="56" t="s">
        <v>208</v>
      </c>
      <c r="D44" s="12" t="s">
        <v>1358</v>
      </c>
      <c r="E44" s="12" t="s">
        <v>1359</v>
      </c>
      <c r="F44" s="16" t="s">
        <v>1360</v>
      </c>
      <c r="G44" s="10" t="s">
        <v>15</v>
      </c>
      <c r="H44" s="10" t="s">
        <v>145</v>
      </c>
      <c r="I44" s="16" t="s">
        <v>18</v>
      </c>
      <c r="J44" s="14">
        <v>45636</v>
      </c>
      <c r="K44" s="13" t="s">
        <v>1361</v>
      </c>
      <c r="L44" s="20">
        <f t="shared" si="0"/>
        <v>45643</v>
      </c>
      <c r="M44" s="14">
        <v>45640</v>
      </c>
      <c r="N44" s="92">
        <f t="shared" si="5"/>
        <v>-3</v>
      </c>
      <c r="O44" s="10" t="s">
        <v>1376</v>
      </c>
      <c r="P44" s="12" t="s">
        <v>5</v>
      </c>
      <c r="Q44" s="21">
        <v>45978</v>
      </c>
      <c r="R44" s="10" t="s">
        <v>4949</v>
      </c>
      <c r="S44" s="14">
        <f t="shared" si="6"/>
        <v>45985</v>
      </c>
      <c r="T44" s="21">
        <v>45985</v>
      </c>
      <c r="U44" s="10">
        <f t="shared" si="3"/>
        <v>0</v>
      </c>
      <c r="V44" s="10" t="s">
        <v>4958</v>
      </c>
      <c r="W44" s="10"/>
      <c r="X44" s="21"/>
      <c r="Y44" s="10"/>
      <c r="Z44" s="10"/>
      <c r="AA44" s="21"/>
      <c r="AB44" s="21"/>
      <c r="AC44" s="10"/>
      <c r="AD44" s="10"/>
      <c r="AE44" s="21"/>
      <c r="AF44" s="10"/>
      <c r="AG44" s="10"/>
      <c r="AH44" s="21"/>
      <c r="AI44" s="21"/>
      <c r="AJ44" s="10"/>
      <c r="AK44" s="10"/>
      <c r="AL44" s="17"/>
      <c r="AM44" s="11"/>
      <c r="AN44" s="11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1"/>
      <c r="BF44" s="259"/>
    </row>
    <row r="45" spans="1:58" s="381" customFormat="1" ht="42" customHeight="1" x14ac:dyDescent="0.25">
      <c r="A45" s="367">
        <v>730007</v>
      </c>
      <c r="B45" s="12" t="s">
        <v>5</v>
      </c>
      <c r="C45" s="56" t="s">
        <v>208</v>
      </c>
      <c r="D45" s="12" t="s">
        <v>1431</v>
      </c>
      <c r="E45" s="12" t="s">
        <v>1433</v>
      </c>
      <c r="F45" s="16" t="s">
        <v>1432</v>
      </c>
      <c r="G45" s="10" t="s">
        <v>15</v>
      </c>
      <c r="H45" s="10" t="s">
        <v>145</v>
      </c>
      <c r="I45" s="16" t="s">
        <v>18</v>
      </c>
      <c r="J45" s="14">
        <v>45641</v>
      </c>
      <c r="K45" s="13" t="s">
        <v>1434</v>
      </c>
      <c r="L45" s="20">
        <f t="shared" si="0"/>
        <v>45648</v>
      </c>
      <c r="M45" s="14">
        <v>45647</v>
      </c>
      <c r="N45" s="92">
        <f t="shared" si="5"/>
        <v>-1</v>
      </c>
      <c r="O45" s="10" t="s">
        <v>1483</v>
      </c>
      <c r="P45" s="10" t="s">
        <v>5</v>
      </c>
      <c r="Q45" s="21">
        <v>46006</v>
      </c>
      <c r="R45" s="10" t="s">
        <v>5281</v>
      </c>
      <c r="S45" s="14">
        <f t="shared" si="6"/>
        <v>46013</v>
      </c>
      <c r="T45" s="21">
        <v>46019</v>
      </c>
      <c r="U45" s="10">
        <f t="shared" si="3"/>
        <v>6</v>
      </c>
      <c r="V45" s="10" t="s">
        <v>5322</v>
      </c>
      <c r="W45" s="10"/>
      <c r="X45" s="21"/>
      <c r="Y45" s="10"/>
      <c r="Z45" s="10"/>
      <c r="AA45" s="21"/>
      <c r="AB45" s="21"/>
      <c r="AC45" s="10"/>
      <c r="AD45" s="10"/>
      <c r="AE45" s="21"/>
      <c r="AF45" s="10"/>
      <c r="AG45" s="10"/>
      <c r="AH45" s="21"/>
      <c r="AI45" s="21"/>
      <c r="AJ45" s="10"/>
      <c r="AK45" s="10"/>
      <c r="AL45" s="17"/>
      <c r="AM45" s="11"/>
      <c r="AN45" s="11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1"/>
      <c r="BF45" s="259"/>
    </row>
    <row r="46" spans="1:58" s="381" customFormat="1" ht="42" customHeight="1" x14ac:dyDescent="0.25">
      <c r="A46" s="367">
        <v>730007</v>
      </c>
      <c r="B46" s="12" t="s">
        <v>5</v>
      </c>
      <c r="C46" s="56" t="s">
        <v>208</v>
      </c>
      <c r="D46" s="12" t="s">
        <v>1447</v>
      </c>
      <c r="E46" s="12" t="s">
        <v>1448</v>
      </c>
      <c r="F46" s="16" t="s">
        <v>1449</v>
      </c>
      <c r="G46" s="10" t="s">
        <v>15</v>
      </c>
      <c r="H46" s="10" t="s">
        <v>145</v>
      </c>
      <c r="I46" s="16" t="s">
        <v>18</v>
      </c>
      <c r="J46" s="14">
        <v>45642</v>
      </c>
      <c r="K46" s="13" t="s">
        <v>1450</v>
      </c>
      <c r="L46" s="20">
        <f t="shared" si="0"/>
        <v>45649</v>
      </c>
      <c r="M46" s="14">
        <v>45647</v>
      </c>
      <c r="N46" s="92">
        <f t="shared" si="5"/>
        <v>-2</v>
      </c>
      <c r="O46" s="10" t="s">
        <v>1494</v>
      </c>
      <c r="P46" s="10" t="s">
        <v>5</v>
      </c>
      <c r="Q46" s="21">
        <v>46026</v>
      </c>
      <c r="R46" s="10" t="s">
        <v>5456</v>
      </c>
      <c r="S46" s="14">
        <f t="shared" si="6"/>
        <v>46033</v>
      </c>
      <c r="T46" s="21">
        <v>46035</v>
      </c>
      <c r="U46" s="10">
        <f t="shared" si="3"/>
        <v>2</v>
      </c>
      <c r="V46" s="10" t="s">
        <v>5460</v>
      </c>
      <c r="W46" s="10"/>
      <c r="X46" s="21"/>
      <c r="Y46" s="10"/>
      <c r="Z46" s="10"/>
      <c r="AA46" s="21"/>
      <c r="AB46" s="21"/>
      <c r="AC46" s="10"/>
      <c r="AD46" s="10"/>
      <c r="AE46" s="21"/>
      <c r="AF46" s="10"/>
      <c r="AG46" s="10"/>
      <c r="AH46" s="21"/>
      <c r="AI46" s="21"/>
      <c r="AJ46" s="10"/>
      <c r="AK46" s="10"/>
      <c r="AL46" s="17"/>
      <c r="AM46" s="11"/>
      <c r="AN46" s="11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1"/>
      <c r="BF46" s="259"/>
    </row>
    <row r="47" spans="1:58" s="381" customFormat="1" ht="42" customHeight="1" x14ac:dyDescent="0.25">
      <c r="A47" s="367">
        <v>730007</v>
      </c>
      <c r="B47" s="12" t="s">
        <v>5</v>
      </c>
      <c r="C47" s="56" t="s">
        <v>208</v>
      </c>
      <c r="D47" s="12" t="s">
        <v>1569</v>
      </c>
      <c r="E47" s="12" t="s">
        <v>1570</v>
      </c>
      <c r="F47" s="16" t="s">
        <v>1571</v>
      </c>
      <c r="G47" s="10" t="s">
        <v>15</v>
      </c>
      <c r="H47" s="10" t="s">
        <v>145</v>
      </c>
      <c r="I47" s="16" t="s">
        <v>18</v>
      </c>
      <c r="J47" s="14">
        <v>45646</v>
      </c>
      <c r="K47" s="13" t="s">
        <v>1572</v>
      </c>
      <c r="L47" s="20">
        <f t="shared" si="0"/>
        <v>45653</v>
      </c>
      <c r="M47" s="14">
        <v>45649</v>
      </c>
      <c r="N47" s="92">
        <f t="shared" si="5"/>
        <v>-4</v>
      </c>
      <c r="O47" s="10" t="s">
        <v>1596</v>
      </c>
      <c r="P47" s="10" t="s">
        <v>5</v>
      </c>
      <c r="Q47" s="21">
        <v>46004</v>
      </c>
      <c r="R47" s="10" t="s">
        <v>5197</v>
      </c>
      <c r="S47" s="14">
        <f t="shared" si="6"/>
        <v>46011</v>
      </c>
      <c r="T47" s="21">
        <v>46014</v>
      </c>
      <c r="U47" s="10">
        <f t="shared" si="3"/>
        <v>3</v>
      </c>
      <c r="V47" s="10" t="s">
        <v>5233</v>
      </c>
      <c r="W47" s="10"/>
      <c r="X47" s="21"/>
      <c r="Y47" s="10"/>
      <c r="Z47" s="10"/>
      <c r="AA47" s="21"/>
      <c r="AB47" s="21"/>
      <c r="AC47" s="10"/>
      <c r="AD47" s="10"/>
      <c r="AE47" s="21"/>
      <c r="AF47" s="10"/>
      <c r="AG47" s="10"/>
      <c r="AH47" s="21"/>
      <c r="AI47" s="21"/>
      <c r="AJ47" s="10"/>
      <c r="AK47" s="10"/>
      <c r="AL47" s="17"/>
      <c r="AM47" s="11"/>
      <c r="AN47" s="11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1"/>
      <c r="BF47" s="259"/>
    </row>
    <row r="48" spans="1:58" s="381" customFormat="1" ht="42" customHeight="1" x14ac:dyDescent="0.25">
      <c r="A48" s="367">
        <v>730007</v>
      </c>
      <c r="B48" s="12" t="s">
        <v>5</v>
      </c>
      <c r="C48" s="56" t="s">
        <v>208</v>
      </c>
      <c r="D48" s="12" t="s">
        <v>1576</v>
      </c>
      <c r="E48" s="12" t="s">
        <v>1577</v>
      </c>
      <c r="F48" s="16" t="s">
        <v>1578</v>
      </c>
      <c r="G48" s="10" t="s">
        <v>15</v>
      </c>
      <c r="H48" s="10" t="s">
        <v>145</v>
      </c>
      <c r="I48" s="16" t="s">
        <v>18</v>
      </c>
      <c r="J48" s="14">
        <v>45647</v>
      </c>
      <c r="K48" s="13" t="s">
        <v>1579</v>
      </c>
      <c r="L48" s="20">
        <f t="shared" ref="L48:L55" si="7">J48+7</f>
        <v>45654</v>
      </c>
      <c r="M48" s="14">
        <v>45650</v>
      </c>
      <c r="N48" s="92">
        <f t="shared" si="5"/>
        <v>-4</v>
      </c>
      <c r="O48" s="10" t="s">
        <v>1598</v>
      </c>
      <c r="P48" s="10" t="s">
        <v>5</v>
      </c>
      <c r="Q48" s="21">
        <v>46039</v>
      </c>
      <c r="R48" s="10" t="s">
        <v>5586</v>
      </c>
      <c r="S48" s="14">
        <f t="shared" si="6"/>
        <v>46046</v>
      </c>
      <c r="T48" s="21">
        <v>46051</v>
      </c>
      <c r="U48" s="10">
        <f t="shared" si="3"/>
        <v>5</v>
      </c>
      <c r="V48" s="10" t="s">
        <v>5587</v>
      </c>
      <c r="W48" s="10"/>
      <c r="X48" s="21"/>
      <c r="Y48" s="10"/>
      <c r="Z48" s="10"/>
      <c r="AA48" s="21"/>
      <c r="AB48" s="21"/>
      <c r="AC48" s="10"/>
      <c r="AD48" s="10"/>
      <c r="AE48" s="21"/>
      <c r="AF48" s="10"/>
      <c r="AG48" s="10"/>
      <c r="AH48" s="21"/>
      <c r="AI48" s="21"/>
      <c r="AJ48" s="10"/>
      <c r="AK48" s="10"/>
      <c r="AL48" s="17"/>
      <c r="AM48" s="11"/>
      <c r="AN48" s="11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1"/>
      <c r="BF48" s="259"/>
    </row>
    <row r="49" spans="1:58" s="381" customFormat="1" ht="42" customHeight="1" x14ac:dyDescent="0.25">
      <c r="A49" s="367">
        <v>730007</v>
      </c>
      <c r="B49" s="12" t="s">
        <v>5</v>
      </c>
      <c r="C49" s="56" t="s">
        <v>208</v>
      </c>
      <c r="D49" s="12" t="s">
        <v>1586</v>
      </c>
      <c r="E49" s="12" t="s">
        <v>1587</v>
      </c>
      <c r="F49" s="16" t="s">
        <v>1588</v>
      </c>
      <c r="G49" s="10" t="s">
        <v>15</v>
      </c>
      <c r="H49" s="10" t="s">
        <v>145</v>
      </c>
      <c r="I49" s="16" t="s">
        <v>18</v>
      </c>
      <c r="J49" s="14">
        <v>45647</v>
      </c>
      <c r="K49" s="13" t="s">
        <v>1589</v>
      </c>
      <c r="L49" s="20">
        <f t="shared" si="7"/>
        <v>45654</v>
      </c>
      <c r="M49" s="14">
        <v>45650</v>
      </c>
      <c r="N49" s="92">
        <f t="shared" si="5"/>
        <v>-4</v>
      </c>
      <c r="O49" s="10" t="s">
        <v>1597</v>
      </c>
      <c r="P49" s="10" t="s">
        <v>5</v>
      </c>
      <c r="Q49" s="21">
        <v>45985</v>
      </c>
      <c r="R49" s="10" t="s">
        <v>5036</v>
      </c>
      <c r="S49" s="14">
        <f t="shared" ref="S49:S55" si="8">Q49+7</f>
        <v>45992</v>
      </c>
      <c r="T49" s="21">
        <v>45993</v>
      </c>
      <c r="U49" s="10">
        <f t="shared" ref="U49:U55" si="9">T49-S49</f>
        <v>1</v>
      </c>
      <c r="V49" s="10" t="s">
        <v>5048</v>
      </c>
      <c r="W49" s="10"/>
      <c r="X49" s="21"/>
      <c r="Y49" s="10"/>
      <c r="Z49" s="10"/>
      <c r="AA49" s="21"/>
      <c r="AB49" s="21"/>
      <c r="AC49" s="10"/>
      <c r="AD49" s="10"/>
      <c r="AE49" s="21"/>
      <c r="AF49" s="10"/>
      <c r="AG49" s="10"/>
      <c r="AH49" s="21"/>
      <c r="AI49" s="21"/>
      <c r="AJ49" s="10"/>
      <c r="AK49" s="10"/>
      <c r="AL49" s="17"/>
      <c r="AM49" s="11"/>
      <c r="AN49" s="11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1"/>
      <c r="BF49" s="259"/>
    </row>
    <row r="50" spans="1:58" s="381" customFormat="1" ht="42" customHeight="1" x14ac:dyDescent="0.25">
      <c r="A50" s="367">
        <v>730007</v>
      </c>
      <c r="B50" s="12" t="s">
        <v>5</v>
      </c>
      <c r="C50" s="56" t="s">
        <v>208</v>
      </c>
      <c r="D50" s="12" t="s">
        <v>1605</v>
      </c>
      <c r="E50" s="12" t="s">
        <v>1606</v>
      </c>
      <c r="F50" s="16" t="s">
        <v>1607</v>
      </c>
      <c r="G50" s="10" t="s">
        <v>15</v>
      </c>
      <c r="H50" s="10" t="s">
        <v>145</v>
      </c>
      <c r="I50" s="16" t="s">
        <v>18</v>
      </c>
      <c r="J50" s="14">
        <v>45648</v>
      </c>
      <c r="K50" s="13" t="s">
        <v>1608</v>
      </c>
      <c r="L50" s="20">
        <f t="shared" si="7"/>
        <v>45655</v>
      </c>
      <c r="M50" s="14">
        <v>45652</v>
      </c>
      <c r="N50" s="92">
        <f t="shared" si="5"/>
        <v>-3</v>
      </c>
      <c r="O50" s="10" t="s">
        <v>1609</v>
      </c>
      <c r="P50" s="12" t="s">
        <v>5</v>
      </c>
      <c r="Q50" s="21">
        <v>45976</v>
      </c>
      <c r="R50" s="10" t="s">
        <v>4915</v>
      </c>
      <c r="S50" s="14">
        <f t="shared" si="8"/>
        <v>45983</v>
      </c>
      <c r="T50" s="21">
        <v>45985</v>
      </c>
      <c r="U50" s="10">
        <f t="shared" si="9"/>
        <v>2</v>
      </c>
      <c r="V50" s="10" t="s">
        <v>4937</v>
      </c>
      <c r="W50" s="10"/>
      <c r="X50" s="21"/>
      <c r="Y50" s="10"/>
      <c r="Z50" s="10"/>
      <c r="AA50" s="21"/>
      <c r="AB50" s="21"/>
      <c r="AC50" s="10"/>
      <c r="AD50" s="10"/>
      <c r="AE50" s="21"/>
      <c r="AF50" s="10"/>
      <c r="AG50" s="10"/>
      <c r="AH50" s="21"/>
      <c r="AI50" s="21"/>
      <c r="AJ50" s="10"/>
      <c r="AK50" s="10"/>
      <c r="AL50" s="17"/>
      <c r="AM50" s="11"/>
      <c r="AN50" s="11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1"/>
      <c r="BF50" s="259"/>
    </row>
    <row r="51" spans="1:58" s="381" customFormat="1" ht="42" customHeight="1" x14ac:dyDescent="0.25">
      <c r="A51" s="367">
        <v>730007</v>
      </c>
      <c r="B51" s="12" t="s">
        <v>5</v>
      </c>
      <c r="C51" s="56" t="s">
        <v>208</v>
      </c>
      <c r="D51" s="12" t="s">
        <v>1824</v>
      </c>
      <c r="E51" s="12" t="s">
        <v>1825</v>
      </c>
      <c r="F51" s="16" t="s">
        <v>1826</v>
      </c>
      <c r="G51" s="10" t="s">
        <v>15</v>
      </c>
      <c r="H51" s="10" t="s">
        <v>145</v>
      </c>
      <c r="I51" s="16" t="s">
        <v>18</v>
      </c>
      <c r="J51" s="14">
        <v>45662</v>
      </c>
      <c r="K51" s="13" t="s">
        <v>1827</v>
      </c>
      <c r="L51" s="20">
        <f t="shared" si="7"/>
        <v>45669</v>
      </c>
      <c r="M51" s="14">
        <v>45664</v>
      </c>
      <c r="N51" s="92">
        <f t="shared" si="5"/>
        <v>-5</v>
      </c>
      <c r="O51" s="10" t="s">
        <v>1840</v>
      </c>
      <c r="P51" s="12" t="s">
        <v>5</v>
      </c>
      <c r="Q51" s="21">
        <v>45978</v>
      </c>
      <c r="R51" s="10" t="s">
        <v>4950</v>
      </c>
      <c r="S51" s="14">
        <f t="shared" si="8"/>
        <v>45985</v>
      </c>
      <c r="T51" s="21">
        <v>45985</v>
      </c>
      <c r="U51" s="10">
        <f t="shared" si="9"/>
        <v>0</v>
      </c>
      <c r="V51" s="10" t="s">
        <v>4959</v>
      </c>
      <c r="W51" s="10"/>
      <c r="X51" s="21"/>
      <c r="Y51" s="10"/>
      <c r="Z51" s="10"/>
      <c r="AA51" s="21"/>
      <c r="AB51" s="21"/>
      <c r="AC51" s="10"/>
      <c r="AD51" s="10"/>
      <c r="AE51" s="21"/>
      <c r="AF51" s="10"/>
      <c r="AG51" s="10"/>
      <c r="AH51" s="21"/>
      <c r="AI51" s="21"/>
      <c r="AJ51" s="10"/>
      <c r="AK51" s="10"/>
      <c r="AL51" s="17"/>
      <c r="AM51" s="11"/>
      <c r="AN51" s="11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1"/>
      <c r="BF51" s="259"/>
    </row>
    <row r="52" spans="1:58" s="381" customFormat="1" ht="42" customHeight="1" x14ac:dyDescent="0.25">
      <c r="A52" s="367">
        <v>730007</v>
      </c>
      <c r="B52" s="12" t="s">
        <v>5</v>
      </c>
      <c r="C52" s="56" t="s">
        <v>208</v>
      </c>
      <c r="D52" s="12" t="s">
        <v>1828</v>
      </c>
      <c r="E52" s="12" t="s">
        <v>1829</v>
      </c>
      <c r="F52" s="16" t="s">
        <v>1830</v>
      </c>
      <c r="G52" s="10" t="s">
        <v>15</v>
      </c>
      <c r="H52" s="10" t="s">
        <v>145</v>
      </c>
      <c r="I52" s="16" t="s">
        <v>18</v>
      </c>
      <c r="J52" s="14">
        <v>45662</v>
      </c>
      <c r="K52" s="13" t="s">
        <v>1831</v>
      </c>
      <c r="L52" s="20">
        <f t="shared" si="7"/>
        <v>45669</v>
      </c>
      <c r="M52" s="14">
        <v>45665</v>
      </c>
      <c r="N52" s="92">
        <f t="shared" si="5"/>
        <v>-4</v>
      </c>
      <c r="O52" s="10" t="s">
        <v>1841</v>
      </c>
      <c r="P52" s="12" t="s">
        <v>5</v>
      </c>
      <c r="Q52" s="21">
        <v>45795</v>
      </c>
      <c r="R52" s="10" t="s">
        <v>3315</v>
      </c>
      <c r="S52" s="14">
        <f t="shared" si="8"/>
        <v>45802</v>
      </c>
      <c r="T52" s="21">
        <v>45803</v>
      </c>
      <c r="U52" s="10">
        <f t="shared" si="9"/>
        <v>1</v>
      </c>
      <c r="V52" s="10" t="s">
        <v>3327</v>
      </c>
      <c r="W52" s="10"/>
      <c r="X52" s="21"/>
      <c r="Y52" s="10"/>
      <c r="Z52" s="10"/>
      <c r="AA52" s="21"/>
      <c r="AB52" s="21"/>
      <c r="AC52" s="10"/>
      <c r="AD52" s="10"/>
      <c r="AE52" s="21"/>
      <c r="AF52" s="10"/>
      <c r="AG52" s="10"/>
      <c r="AH52" s="21"/>
      <c r="AI52" s="21"/>
      <c r="AJ52" s="10"/>
      <c r="AK52" s="10"/>
      <c r="AL52" s="17"/>
      <c r="AM52" s="11"/>
      <c r="AN52" s="11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1"/>
      <c r="BF52" s="259"/>
    </row>
    <row r="53" spans="1:58" s="381" customFormat="1" ht="42" customHeight="1" x14ac:dyDescent="0.25">
      <c r="A53" s="367">
        <v>730007</v>
      </c>
      <c r="B53" s="12" t="s">
        <v>5</v>
      </c>
      <c r="C53" s="56" t="s">
        <v>208</v>
      </c>
      <c r="D53" s="12" t="s">
        <v>1848</v>
      </c>
      <c r="E53" s="12" t="s">
        <v>1849</v>
      </c>
      <c r="F53" s="16" t="s">
        <v>1850</v>
      </c>
      <c r="G53" s="10" t="s">
        <v>15</v>
      </c>
      <c r="H53" s="10" t="s">
        <v>145</v>
      </c>
      <c r="I53" s="16" t="s">
        <v>18</v>
      </c>
      <c r="J53" s="14">
        <v>45663</v>
      </c>
      <c r="K53" s="13" t="s">
        <v>1851</v>
      </c>
      <c r="L53" s="20">
        <f t="shared" si="7"/>
        <v>45670</v>
      </c>
      <c r="M53" s="14">
        <v>45670</v>
      </c>
      <c r="N53" s="92">
        <f t="shared" si="5"/>
        <v>0</v>
      </c>
      <c r="O53" s="10" t="s">
        <v>1853</v>
      </c>
      <c r="P53" s="12" t="s">
        <v>5</v>
      </c>
      <c r="Q53" s="21">
        <v>46005</v>
      </c>
      <c r="R53" s="10" t="s">
        <v>5237</v>
      </c>
      <c r="S53" s="21">
        <f t="shared" si="8"/>
        <v>46012</v>
      </c>
      <c r="T53" s="21">
        <v>46015</v>
      </c>
      <c r="U53" s="10">
        <f t="shared" si="9"/>
        <v>3</v>
      </c>
      <c r="V53" s="10" t="s">
        <v>5252</v>
      </c>
      <c r="W53" s="10"/>
      <c r="X53" s="21"/>
      <c r="Y53" s="10"/>
      <c r="Z53" s="10"/>
      <c r="AA53" s="21"/>
      <c r="AB53" s="21"/>
      <c r="AC53" s="10"/>
      <c r="AD53" s="10"/>
      <c r="AE53" s="21"/>
      <c r="AF53" s="10"/>
      <c r="AG53" s="10"/>
      <c r="AH53" s="21"/>
      <c r="AI53" s="21"/>
      <c r="AJ53" s="10"/>
      <c r="AK53" s="10"/>
      <c r="AL53" s="17"/>
      <c r="AM53" s="11"/>
      <c r="AN53" s="11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1"/>
      <c r="BF53" s="259"/>
    </row>
    <row r="54" spans="1:58" s="381" customFormat="1" ht="42" customHeight="1" x14ac:dyDescent="0.25">
      <c r="A54" s="367">
        <v>730007</v>
      </c>
      <c r="B54" s="12" t="s">
        <v>5</v>
      </c>
      <c r="C54" s="56" t="s">
        <v>208</v>
      </c>
      <c r="D54" s="12" t="s">
        <v>1872</v>
      </c>
      <c r="E54" s="12" t="s">
        <v>1873</v>
      </c>
      <c r="F54" s="16" t="s">
        <v>1874</v>
      </c>
      <c r="G54" s="10" t="s">
        <v>15</v>
      </c>
      <c r="H54" s="10" t="s">
        <v>145</v>
      </c>
      <c r="I54" s="16" t="s">
        <v>18</v>
      </c>
      <c r="J54" s="14">
        <v>45664</v>
      </c>
      <c r="K54" s="13" t="s">
        <v>1875</v>
      </c>
      <c r="L54" s="20">
        <f t="shared" si="7"/>
        <v>45671</v>
      </c>
      <c r="M54" s="14">
        <v>45670</v>
      </c>
      <c r="N54" s="92">
        <f t="shared" ref="N54:N65" si="10">M54-L54</f>
        <v>-1</v>
      </c>
      <c r="O54" s="10" t="s">
        <v>1881</v>
      </c>
      <c r="P54" s="12" t="s">
        <v>5</v>
      </c>
      <c r="Q54" s="21">
        <v>45977</v>
      </c>
      <c r="R54" s="10" t="s">
        <v>4923</v>
      </c>
      <c r="S54" s="14">
        <f t="shared" si="8"/>
        <v>45984</v>
      </c>
      <c r="T54" s="21">
        <v>45985</v>
      </c>
      <c r="U54" s="10">
        <f t="shared" si="9"/>
        <v>1</v>
      </c>
      <c r="V54" s="10" t="s">
        <v>4941</v>
      </c>
      <c r="W54" s="10"/>
      <c r="X54" s="21"/>
      <c r="Y54" s="10"/>
      <c r="Z54" s="10"/>
      <c r="AA54" s="21"/>
      <c r="AB54" s="21"/>
      <c r="AC54" s="10"/>
      <c r="AD54" s="10"/>
      <c r="AE54" s="21"/>
      <c r="AF54" s="10"/>
      <c r="AG54" s="10"/>
      <c r="AH54" s="21"/>
      <c r="AI54" s="21"/>
      <c r="AJ54" s="10"/>
      <c r="AK54" s="10"/>
      <c r="AL54" s="17"/>
      <c r="AM54" s="11"/>
      <c r="AN54" s="11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1"/>
      <c r="BF54" s="259"/>
    </row>
    <row r="55" spans="1:58" s="381" customFormat="1" ht="42" customHeight="1" x14ac:dyDescent="0.25">
      <c r="A55" s="367">
        <v>730007</v>
      </c>
      <c r="B55" s="12" t="s">
        <v>5</v>
      </c>
      <c r="C55" s="56" t="s">
        <v>208</v>
      </c>
      <c r="D55" s="12" t="s">
        <v>1887</v>
      </c>
      <c r="E55" s="12" t="s">
        <v>1888</v>
      </c>
      <c r="F55" s="16" t="s">
        <v>1889</v>
      </c>
      <c r="G55" s="10" t="s">
        <v>15</v>
      </c>
      <c r="H55" s="10" t="s">
        <v>145</v>
      </c>
      <c r="I55" s="16" t="s">
        <v>18</v>
      </c>
      <c r="J55" s="14">
        <v>45665</v>
      </c>
      <c r="K55" s="13" t="s">
        <v>1890</v>
      </c>
      <c r="L55" s="20">
        <f t="shared" si="7"/>
        <v>45672</v>
      </c>
      <c r="M55" s="14">
        <v>45671</v>
      </c>
      <c r="N55" s="92">
        <f t="shared" si="10"/>
        <v>-1</v>
      </c>
      <c r="O55" s="10" t="s">
        <v>1898</v>
      </c>
      <c r="P55" s="12" t="s">
        <v>5</v>
      </c>
      <c r="Q55" s="21">
        <v>46005</v>
      </c>
      <c r="R55" s="10" t="s">
        <v>5234</v>
      </c>
      <c r="S55" s="21">
        <f t="shared" si="8"/>
        <v>46012</v>
      </c>
      <c r="T55" s="21">
        <v>46016</v>
      </c>
      <c r="U55" s="10">
        <f t="shared" si="9"/>
        <v>4</v>
      </c>
      <c r="V55" s="10" t="s">
        <v>5253</v>
      </c>
      <c r="W55" s="10"/>
      <c r="X55" s="21"/>
      <c r="Y55" s="10"/>
      <c r="Z55" s="10"/>
      <c r="AA55" s="21"/>
      <c r="AB55" s="21"/>
      <c r="AC55" s="10"/>
      <c r="AD55" s="10"/>
      <c r="AE55" s="21"/>
      <c r="AF55" s="10"/>
      <c r="AG55" s="10"/>
      <c r="AH55" s="21"/>
      <c r="AI55" s="21"/>
      <c r="AJ55" s="10"/>
      <c r="AK55" s="10"/>
      <c r="AL55" s="17"/>
      <c r="AM55" s="11"/>
      <c r="AN55" s="11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1"/>
      <c r="BF55" s="259"/>
    </row>
    <row r="56" spans="1:58" s="381" customFormat="1" ht="42" customHeight="1" x14ac:dyDescent="0.25">
      <c r="A56" s="367">
        <v>730007</v>
      </c>
      <c r="B56" s="12" t="s">
        <v>5</v>
      </c>
      <c r="C56" s="56" t="s">
        <v>208</v>
      </c>
      <c r="D56" s="12" t="s">
        <v>1922</v>
      </c>
      <c r="E56" s="12" t="s">
        <v>1923</v>
      </c>
      <c r="F56" s="16" t="s">
        <v>1924</v>
      </c>
      <c r="G56" s="10" t="s">
        <v>15</v>
      </c>
      <c r="H56" s="10" t="s">
        <v>145</v>
      </c>
      <c r="I56" s="16" t="s">
        <v>18</v>
      </c>
      <c r="J56" s="14">
        <v>45667</v>
      </c>
      <c r="K56" s="13" t="s">
        <v>1925</v>
      </c>
      <c r="L56" s="20">
        <f>J56+7</f>
        <v>45674</v>
      </c>
      <c r="M56" s="14">
        <v>45672</v>
      </c>
      <c r="N56" s="92">
        <f t="shared" si="10"/>
        <v>-2</v>
      </c>
      <c r="O56" s="10" t="s">
        <v>1941</v>
      </c>
      <c r="P56" s="12" t="s">
        <v>5</v>
      </c>
      <c r="Q56" s="21">
        <v>46006</v>
      </c>
      <c r="R56" s="10" t="s">
        <v>5243</v>
      </c>
      <c r="S56" s="14">
        <f t="shared" ref="S56:S71" si="11">Q56+7</f>
        <v>46013</v>
      </c>
      <c r="T56" s="21">
        <v>46018</v>
      </c>
      <c r="U56" s="10">
        <f t="shared" ref="U56:U71" si="12">T56-S56</f>
        <v>5</v>
      </c>
      <c r="V56" s="10" t="s">
        <v>5295</v>
      </c>
      <c r="W56" s="10"/>
      <c r="X56" s="21"/>
      <c r="Y56" s="10"/>
      <c r="Z56" s="10"/>
      <c r="AA56" s="21"/>
      <c r="AB56" s="21"/>
      <c r="AC56" s="10"/>
      <c r="AD56" s="10"/>
      <c r="AE56" s="21"/>
      <c r="AF56" s="10"/>
      <c r="AG56" s="10"/>
      <c r="AH56" s="21"/>
      <c r="AI56" s="21"/>
      <c r="AJ56" s="10"/>
      <c r="AK56" s="10"/>
      <c r="AL56" s="17"/>
      <c r="AM56" s="11"/>
      <c r="AN56" s="11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1"/>
      <c r="BF56" s="259"/>
    </row>
    <row r="57" spans="1:58" s="381" customFormat="1" ht="42" customHeight="1" x14ac:dyDescent="0.25">
      <c r="A57" s="367">
        <v>730007</v>
      </c>
      <c r="B57" s="12" t="s">
        <v>5</v>
      </c>
      <c r="C57" s="56" t="s">
        <v>208</v>
      </c>
      <c r="D57" s="12" t="s">
        <v>1997</v>
      </c>
      <c r="E57" s="12" t="s">
        <v>1998</v>
      </c>
      <c r="F57" s="16" t="s">
        <v>1999</v>
      </c>
      <c r="G57" s="10" t="s">
        <v>15</v>
      </c>
      <c r="H57" s="10" t="s">
        <v>145</v>
      </c>
      <c r="I57" s="16" t="s">
        <v>18</v>
      </c>
      <c r="J57" s="14">
        <v>45672</v>
      </c>
      <c r="K57" s="13" t="s">
        <v>2000</v>
      </c>
      <c r="L57" s="20">
        <f t="shared" ref="L57:L67" si="13">J57+7</f>
        <v>45679</v>
      </c>
      <c r="M57" s="14">
        <v>45678</v>
      </c>
      <c r="N57" s="92">
        <f t="shared" si="10"/>
        <v>-1</v>
      </c>
      <c r="O57" s="10" t="s">
        <v>2020</v>
      </c>
      <c r="P57" s="12" t="s">
        <v>5</v>
      </c>
      <c r="Q57" s="21">
        <v>46006</v>
      </c>
      <c r="R57" s="10" t="s">
        <v>5284</v>
      </c>
      <c r="S57" s="14">
        <f t="shared" si="11"/>
        <v>46013</v>
      </c>
      <c r="T57" s="21">
        <v>46019</v>
      </c>
      <c r="U57" s="10">
        <f t="shared" si="12"/>
        <v>6</v>
      </c>
      <c r="V57" s="10" t="s">
        <v>5326</v>
      </c>
      <c r="W57" s="10"/>
      <c r="X57" s="21"/>
      <c r="Y57" s="10"/>
      <c r="Z57" s="10"/>
      <c r="AA57" s="21"/>
      <c r="AB57" s="21"/>
      <c r="AC57" s="10"/>
      <c r="AD57" s="10"/>
      <c r="AE57" s="21"/>
      <c r="AF57" s="10"/>
      <c r="AG57" s="10"/>
      <c r="AH57" s="21"/>
      <c r="AI57" s="21"/>
      <c r="AJ57" s="10"/>
      <c r="AK57" s="10"/>
      <c r="AL57" s="17"/>
      <c r="AM57" s="11"/>
      <c r="AN57" s="11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1"/>
      <c r="BF57" s="259"/>
    </row>
    <row r="58" spans="1:58" s="381" customFormat="1" ht="42" customHeight="1" x14ac:dyDescent="0.25">
      <c r="A58" s="367">
        <v>730007</v>
      </c>
      <c r="B58" s="12" t="s">
        <v>5</v>
      </c>
      <c r="C58" s="56" t="s">
        <v>588</v>
      </c>
      <c r="D58" s="12" t="s">
        <v>2047</v>
      </c>
      <c r="E58" s="12" t="s">
        <v>2048</v>
      </c>
      <c r="F58" s="16" t="s">
        <v>2049</v>
      </c>
      <c r="G58" s="10" t="s">
        <v>15</v>
      </c>
      <c r="H58" s="10" t="s">
        <v>145</v>
      </c>
      <c r="I58" s="16" t="s">
        <v>3</v>
      </c>
      <c r="J58" s="14">
        <v>45677</v>
      </c>
      <c r="K58" s="13" t="s">
        <v>2050</v>
      </c>
      <c r="L58" s="14">
        <f t="shared" si="13"/>
        <v>45684</v>
      </c>
      <c r="M58" s="14">
        <v>45684</v>
      </c>
      <c r="N58" s="92">
        <f t="shared" si="10"/>
        <v>0</v>
      </c>
      <c r="O58" s="10" t="s">
        <v>2065</v>
      </c>
      <c r="P58" s="10" t="s">
        <v>18</v>
      </c>
      <c r="Q58" s="21">
        <v>45694</v>
      </c>
      <c r="R58" s="10" t="s">
        <v>2336</v>
      </c>
      <c r="S58" s="14">
        <f t="shared" si="11"/>
        <v>45701</v>
      </c>
      <c r="T58" s="21">
        <v>45700</v>
      </c>
      <c r="U58" s="10">
        <f t="shared" si="12"/>
        <v>-1</v>
      </c>
      <c r="V58" s="10" t="s">
        <v>2367</v>
      </c>
      <c r="W58" s="10" t="s">
        <v>5</v>
      </c>
      <c r="X58" s="21">
        <v>46040</v>
      </c>
      <c r="Y58" s="10" t="s">
        <v>5590</v>
      </c>
      <c r="Z58" s="14">
        <f>X58+7</f>
        <v>46047</v>
      </c>
      <c r="AA58" s="21">
        <v>46051</v>
      </c>
      <c r="AB58" s="10">
        <f>AA58-Z58</f>
        <v>4</v>
      </c>
      <c r="AC58" s="10" t="s">
        <v>5595</v>
      </c>
      <c r="AD58" s="10"/>
      <c r="AE58" s="21"/>
      <c r="AF58" s="10"/>
      <c r="AG58" s="10"/>
      <c r="AH58" s="21"/>
      <c r="AI58" s="21"/>
      <c r="AJ58" s="10"/>
      <c r="AK58" s="10"/>
      <c r="AL58" s="17"/>
      <c r="AM58" s="11"/>
      <c r="AN58" s="11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1"/>
      <c r="BF58" s="259"/>
    </row>
    <row r="59" spans="1:58" s="381" customFormat="1" ht="42" customHeight="1" x14ac:dyDescent="0.25">
      <c r="A59" s="367">
        <v>730007</v>
      </c>
      <c r="B59" s="12" t="s">
        <v>5</v>
      </c>
      <c r="C59" s="56" t="s">
        <v>208</v>
      </c>
      <c r="D59" s="12" t="s">
        <v>2163</v>
      </c>
      <c r="E59" s="12" t="s">
        <v>2164</v>
      </c>
      <c r="F59" s="16" t="s">
        <v>2165</v>
      </c>
      <c r="G59" s="10" t="s">
        <v>15</v>
      </c>
      <c r="H59" s="10" t="s">
        <v>145</v>
      </c>
      <c r="I59" s="16" t="s">
        <v>18</v>
      </c>
      <c r="J59" s="14">
        <v>45684</v>
      </c>
      <c r="K59" s="13" t="s">
        <v>2166</v>
      </c>
      <c r="L59" s="14">
        <f t="shared" si="13"/>
        <v>45691</v>
      </c>
      <c r="M59" s="14">
        <v>45691</v>
      </c>
      <c r="N59" s="92">
        <f t="shared" si="10"/>
        <v>0</v>
      </c>
      <c r="O59" s="10" t="s">
        <v>2171</v>
      </c>
      <c r="P59" s="10" t="s">
        <v>5</v>
      </c>
      <c r="Q59" s="21">
        <v>46006</v>
      </c>
      <c r="R59" s="10" t="s">
        <v>5283</v>
      </c>
      <c r="S59" s="21">
        <f t="shared" si="11"/>
        <v>46013</v>
      </c>
      <c r="T59" s="21">
        <v>46019</v>
      </c>
      <c r="U59" s="10">
        <f t="shared" si="12"/>
        <v>6</v>
      </c>
      <c r="V59" s="10" t="s">
        <v>5324</v>
      </c>
      <c r="W59" s="16"/>
      <c r="X59" s="21"/>
      <c r="Y59" s="10"/>
      <c r="Z59" s="10"/>
      <c r="AA59" s="21"/>
      <c r="AB59" s="21"/>
      <c r="AC59" s="10"/>
      <c r="AD59" s="10"/>
      <c r="AE59" s="21"/>
      <c r="AF59" s="10"/>
      <c r="AG59" s="10"/>
      <c r="AH59" s="21"/>
      <c r="AI59" s="21"/>
      <c r="AJ59" s="10"/>
      <c r="AK59" s="10"/>
      <c r="AL59" s="17"/>
      <c r="AM59" s="11"/>
      <c r="AN59" s="11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1"/>
      <c r="BF59" s="259"/>
    </row>
    <row r="60" spans="1:58" s="381" customFormat="1" ht="42" customHeight="1" x14ac:dyDescent="0.25">
      <c r="A60" s="367">
        <v>730007</v>
      </c>
      <c r="B60" s="12" t="s">
        <v>5</v>
      </c>
      <c r="C60" s="56" t="s">
        <v>208</v>
      </c>
      <c r="D60" s="12" t="s">
        <v>2178</v>
      </c>
      <c r="E60" s="12" t="s">
        <v>2179</v>
      </c>
      <c r="F60" s="16" t="s">
        <v>2180</v>
      </c>
      <c r="G60" s="10" t="s">
        <v>15</v>
      </c>
      <c r="H60" s="10" t="s">
        <v>145</v>
      </c>
      <c r="I60" s="16" t="s">
        <v>18</v>
      </c>
      <c r="J60" s="14">
        <v>45685</v>
      </c>
      <c r="K60" s="13" t="s">
        <v>2181</v>
      </c>
      <c r="L60" s="14">
        <f t="shared" si="13"/>
        <v>45692</v>
      </c>
      <c r="M60" s="14">
        <v>45692</v>
      </c>
      <c r="N60" s="92">
        <f t="shared" si="10"/>
        <v>0</v>
      </c>
      <c r="O60" s="10" t="s">
        <v>2200</v>
      </c>
      <c r="P60" s="12" t="s">
        <v>5</v>
      </c>
      <c r="Q60" s="21">
        <v>45984</v>
      </c>
      <c r="R60" s="10" t="s">
        <v>5024</v>
      </c>
      <c r="S60" s="14">
        <f t="shared" si="11"/>
        <v>45991</v>
      </c>
      <c r="T60" s="21">
        <v>45992</v>
      </c>
      <c r="U60" s="92">
        <f t="shared" si="12"/>
        <v>1</v>
      </c>
      <c r="V60" s="10" t="s">
        <v>5032</v>
      </c>
      <c r="W60" s="10"/>
      <c r="X60" s="21"/>
      <c r="Y60" s="10"/>
      <c r="Z60" s="10"/>
      <c r="AA60" s="21"/>
      <c r="AB60" s="21"/>
      <c r="AC60" s="10"/>
      <c r="AD60" s="10"/>
      <c r="AE60" s="21"/>
      <c r="AF60" s="10"/>
      <c r="AG60" s="10"/>
      <c r="AH60" s="21"/>
      <c r="AI60" s="21"/>
      <c r="AJ60" s="10"/>
      <c r="AK60" s="10"/>
      <c r="AL60" s="17"/>
      <c r="AM60" s="11"/>
      <c r="AN60" s="11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1"/>
      <c r="BF60" s="259"/>
    </row>
    <row r="61" spans="1:58" s="381" customFormat="1" ht="42" customHeight="1" x14ac:dyDescent="0.25">
      <c r="A61" s="367">
        <v>730007</v>
      </c>
      <c r="B61" s="12" t="s">
        <v>5</v>
      </c>
      <c r="C61" s="56" t="s">
        <v>208</v>
      </c>
      <c r="D61" s="12" t="s">
        <v>2236</v>
      </c>
      <c r="E61" s="12" t="s">
        <v>2237</v>
      </c>
      <c r="F61" s="16" t="s">
        <v>2235</v>
      </c>
      <c r="G61" s="10" t="s">
        <v>15</v>
      </c>
      <c r="H61" s="10" t="s">
        <v>145</v>
      </c>
      <c r="I61" s="16" t="s">
        <v>18</v>
      </c>
      <c r="J61" s="14">
        <v>45688</v>
      </c>
      <c r="K61" s="13" t="s">
        <v>2238</v>
      </c>
      <c r="L61" s="14">
        <f t="shared" si="13"/>
        <v>45695</v>
      </c>
      <c r="M61" s="14">
        <v>45696</v>
      </c>
      <c r="N61" s="92">
        <f t="shared" si="10"/>
        <v>1</v>
      </c>
      <c r="O61" s="10" t="s">
        <v>2260</v>
      </c>
      <c r="P61" s="10" t="s">
        <v>5</v>
      </c>
      <c r="Q61" s="21">
        <v>45978</v>
      </c>
      <c r="R61" s="10" t="s">
        <v>4948</v>
      </c>
      <c r="S61" s="14">
        <f t="shared" si="11"/>
        <v>45985</v>
      </c>
      <c r="T61" s="21">
        <v>45985</v>
      </c>
      <c r="U61" s="92">
        <f t="shared" si="12"/>
        <v>0</v>
      </c>
      <c r="V61" s="10" t="s">
        <v>4960</v>
      </c>
      <c r="W61" s="10"/>
      <c r="X61" s="21"/>
      <c r="Y61" s="10"/>
      <c r="Z61" s="10"/>
      <c r="AA61" s="21"/>
      <c r="AB61" s="21"/>
      <c r="AC61" s="10"/>
      <c r="AD61" s="10"/>
      <c r="AE61" s="21"/>
      <c r="AF61" s="10"/>
      <c r="AG61" s="10"/>
      <c r="AH61" s="21"/>
      <c r="AI61" s="21"/>
      <c r="AJ61" s="10"/>
      <c r="AK61" s="10"/>
      <c r="AL61" s="17"/>
      <c r="AM61" s="11"/>
      <c r="AN61" s="11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1"/>
      <c r="BF61" s="259"/>
    </row>
    <row r="62" spans="1:58" s="381" customFormat="1" ht="42" customHeight="1" x14ac:dyDescent="0.25">
      <c r="A62" s="367">
        <v>730007</v>
      </c>
      <c r="B62" s="12" t="s">
        <v>5</v>
      </c>
      <c r="C62" s="56" t="s">
        <v>208</v>
      </c>
      <c r="D62" s="12" t="s">
        <v>2332</v>
      </c>
      <c r="E62" s="12" t="s">
        <v>2333</v>
      </c>
      <c r="F62" s="16" t="s">
        <v>2334</v>
      </c>
      <c r="G62" s="10" t="s">
        <v>15</v>
      </c>
      <c r="H62" s="10" t="s">
        <v>145</v>
      </c>
      <c r="I62" s="16" t="s">
        <v>18</v>
      </c>
      <c r="J62" s="14">
        <v>45694</v>
      </c>
      <c r="K62" s="13" t="s">
        <v>2335</v>
      </c>
      <c r="L62" s="14">
        <f t="shared" si="13"/>
        <v>45701</v>
      </c>
      <c r="M62" s="14">
        <v>45700</v>
      </c>
      <c r="N62" s="92">
        <f t="shared" si="10"/>
        <v>-1</v>
      </c>
      <c r="O62" s="10" t="s">
        <v>2366</v>
      </c>
      <c r="P62" s="10" t="s">
        <v>5</v>
      </c>
      <c r="Q62" s="21">
        <v>45978</v>
      </c>
      <c r="R62" s="10" t="s">
        <v>4946</v>
      </c>
      <c r="S62" s="14">
        <f t="shared" si="11"/>
        <v>45985</v>
      </c>
      <c r="T62" s="21">
        <v>45985</v>
      </c>
      <c r="U62" s="92">
        <f t="shared" si="12"/>
        <v>0</v>
      </c>
      <c r="V62" s="10" t="s">
        <v>4961</v>
      </c>
      <c r="W62" s="10"/>
      <c r="X62" s="21"/>
      <c r="Y62" s="10"/>
      <c r="Z62" s="10"/>
      <c r="AA62" s="21"/>
      <c r="AB62" s="21"/>
      <c r="AC62" s="10"/>
      <c r="AD62" s="10"/>
      <c r="AE62" s="21"/>
      <c r="AF62" s="10"/>
      <c r="AG62" s="10"/>
      <c r="AH62" s="21"/>
      <c r="AI62" s="21"/>
      <c r="AJ62" s="10"/>
      <c r="AK62" s="10"/>
      <c r="AL62" s="17"/>
      <c r="AM62" s="11"/>
      <c r="AN62" s="11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1"/>
      <c r="BF62" s="259"/>
    </row>
    <row r="63" spans="1:58" s="381" customFormat="1" ht="42" customHeight="1" x14ac:dyDescent="0.25">
      <c r="A63" s="367">
        <v>730007</v>
      </c>
      <c r="B63" s="12" t="s">
        <v>5</v>
      </c>
      <c r="C63" s="56" t="s">
        <v>208</v>
      </c>
      <c r="D63" s="12" t="s">
        <v>2337</v>
      </c>
      <c r="E63" s="12" t="s">
        <v>2338</v>
      </c>
      <c r="F63" s="16" t="s">
        <v>2339</v>
      </c>
      <c r="G63" s="10" t="s">
        <v>15</v>
      </c>
      <c r="H63" s="10" t="s">
        <v>145</v>
      </c>
      <c r="I63" s="16" t="s">
        <v>18</v>
      </c>
      <c r="J63" s="14">
        <v>45694</v>
      </c>
      <c r="K63" s="13" t="s">
        <v>2340</v>
      </c>
      <c r="L63" s="14">
        <f t="shared" si="13"/>
        <v>45701</v>
      </c>
      <c r="M63" s="14">
        <v>45701</v>
      </c>
      <c r="N63" s="92">
        <f t="shared" si="10"/>
        <v>0</v>
      </c>
      <c r="O63" s="10" t="s">
        <v>2368</v>
      </c>
      <c r="P63" s="10" t="s">
        <v>5</v>
      </c>
      <c r="Q63" s="21">
        <v>45985</v>
      </c>
      <c r="R63" s="10" t="s">
        <v>5026</v>
      </c>
      <c r="S63" s="14">
        <f t="shared" si="11"/>
        <v>45992</v>
      </c>
      <c r="T63" s="21">
        <v>45994</v>
      </c>
      <c r="U63" s="92">
        <f t="shared" si="12"/>
        <v>2</v>
      </c>
      <c r="V63" s="10" t="s">
        <v>5033</v>
      </c>
      <c r="W63" s="10"/>
      <c r="X63" s="21"/>
      <c r="Y63" s="10"/>
      <c r="Z63" s="10"/>
      <c r="AA63" s="21"/>
      <c r="AB63" s="21"/>
      <c r="AC63" s="10"/>
      <c r="AD63" s="10"/>
      <c r="AE63" s="21"/>
      <c r="AF63" s="10"/>
      <c r="AG63" s="10"/>
      <c r="AH63" s="21"/>
      <c r="AI63" s="21"/>
      <c r="AJ63" s="10"/>
      <c r="AK63" s="10"/>
      <c r="AL63" s="17"/>
      <c r="AM63" s="11"/>
      <c r="AN63" s="11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1"/>
      <c r="BF63" s="259"/>
    </row>
    <row r="64" spans="1:58" s="381" customFormat="1" ht="42" customHeight="1" x14ac:dyDescent="0.25">
      <c r="A64" s="367">
        <v>730007</v>
      </c>
      <c r="B64" s="12" t="s">
        <v>5</v>
      </c>
      <c r="C64" s="56" t="s">
        <v>208</v>
      </c>
      <c r="D64" s="12" t="s">
        <v>2429</v>
      </c>
      <c r="E64" s="12" t="s">
        <v>2431</v>
      </c>
      <c r="F64" s="16" t="s">
        <v>2433</v>
      </c>
      <c r="G64" s="10" t="s">
        <v>15</v>
      </c>
      <c r="H64" s="10" t="s">
        <v>145</v>
      </c>
      <c r="I64" s="16" t="s">
        <v>18</v>
      </c>
      <c r="J64" s="14">
        <v>45700</v>
      </c>
      <c r="K64" s="13" t="s">
        <v>2434</v>
      </c>
      <c r="L64" s="14">
        <f t="shared" si="13"/>
        <v>45707</v>
      </c>
      <c r="M64" s="14">
        <v>45703</v>
      </c>
      <c r="N64" s="92">
        <f t="shared" si="10"/>
        <v>-4</v>
      </c>
      <c r="O64" s="10" t="s">
        <v>2440</v>
      </c>
      <c r="P64" s="12" t="s">
        <v>5</v>
      </c>
      <c r="Q64" s="21">
        <v>46105</v>
      </c>
      <c r="R64" s="10" t="s">
        <v>6119</v>
      </c>
      <c r="S64" s="14">
        <f t="shared" si="11"/>
        <v>46112</v>
      </c>
      <c r="T64" s="21">
        <v>46124</v>
      </c>
      <c r="U64" s="92">
        <f t="shared" si="12"/>
        <v>12</v>
      </c>
      <c r="V64" s="10" t="s">
        <v>6283</v>
      </c>
      <c r="W64" s="10"/>
      <c r="X64" s="21"/>
      <c r="Y64" s="10"/>
      <c r="Z64" s="10"/>
      <c r="AA64" s="21"/>
      <c r="AB64" s="21"/>
      <c r="AC64" s="10"/>
      <c r="AD64" s="10"/>
      <c r="AE64" s="21"/>
      <c r="AF64" s="10"/>
      <c r="AG64" s="10"/>
      <c r="AH64" s="21"/>
      <c r="AI64" s="21"/>
      <c r="AJ64" s="10"/>
      <c r="AK64" s="10"/>
      <c r="AL64" s="17"/>
      <c r="AM64" s="11"/>
      <c r="AN64" s="11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1"/>
      <c r="BF64" s="259"/>
    </row>
    <row r="65" spans="1:58" s="381" customFormat="1" ht="42" customHeight="1" x14ac:dyDescent="0.25">
      <c r="A65" s="367">
        <v>730007</v>
      </c>
      <c r="B65" s="12" t="s">
        <v>5</v>
      </c>
      <c r="C65" s="56" t="s">
        <v>208</v>
      </c>
      <c r="D65" s="12" t="s">
        <v>2430</v>
      </c>
      <c r="E65" s="12" t="s">
        <v>2432</v>
      </c>
      <c r="F65" s="16" t="s">
        <v>2435</v>
      </c>
      <c r="G65" s="10" t="s">
        <v>15</v>
      </c>
      <c r="H65" s="10" t="s">
        <v>145</v>
      </c>
      <c r="I65" s="16" t="s">
        <v>18</v>
      </c>
      <c r="J65" s="14">
        <v>45700</v>
      </c>
      <c r="K65" s="13" t="s">
        <v>2436</v>
      </c>
      <c r="L65" s="14">
        <f t="shared" si="13"/>
        <v>45707</v>
      </c>
      <c r="M65" s="14">
        <v>45707</v>
      </c>
      <c r="N65" s="92">
        <f t="shared" si="10"/>
        <v>0</v>
      </c>
      <c r="O65" s="10" t="s">
        <v>2441</v>
      </c>
      <c r="P65" s="12" t="s">
        <v>5</v>
      </c>
      <c r="Q65" s="21">
        <v>46026</v>
      </c>
      <c r="R65" s="10" t="s">
        <v>5458</v>
      </c>
      <c r="S65" s="14">
        <f t="shared" si="11"/>
        <v>46033</v>
      </c>
      <c r="T65" s="21">
        <v>46035</v>
      </c>
      <c r="U65" s="92">
        <f t="shared" si="12"/>
        <v>2</v>
      </c>
      <c r="V65" s="10" t="s">
        <v>5461</v>
      </c>
      <c r="W65" s="10"/>
      <c r="X65" s="21"/>
      <c r="Y65" s="10"/>
      <c r="Z65" s="10"/>
      <c r="AA65" s="21"/>
      <c r="AB65" s="21"/>
      <c r="AC65" s="10"/>
      <c r="AD65" s="10"/>
      <c r="AE65" s="21"/>
      <c r="AF65" s="10"/>
      <c r="AG65" s="10"/>
      <c r="AH65" s="21"/>
      <c r="AI65" s="21"/>
      <c r="AJ65" s="10"/>
      <c r="AK65" s="10"/>
      <c r="AL65" s="17"/>
      <c r="AM65" s="11"/>
      <c r="AN65" s="11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1"/>
      <c r="BF65" s="259"/>
    </row>
    <row r="66" spans="1:58" s="381" customFormat="1" ht="42" customHeight="1" x14ac:dyDescent="0.25">
      <c r="A66" s="367">
        <v>730007</v>
      </c>
      <c r="B66" s="12" t="s">
        <v>5</v>
      </c>
      <c r="C66" s="56" t="s">
        <v>208</v>
      </c>
      <c r="D66" s="12" t="s">
        <v>2472</v>
      </c>
      <c r="E66" s="12" t="s">
        <v>2473</v>
      </c>
      <c r="F66" s="16" t="s">
        <v>2474</v>
      </c>
      <c r="G66" s="10" t="s">
        <v>15</v>
      </c>
      <c r="H66" s="10" t="s">
        <v>145</v>
      </c>
      <c r="I66" s="16" t="s">
        <v>18</v>
      </c>
      <c r="J66" s="14">
        <v>45704</v>
      </c>
      <c r="K66" s="13" t="s">
        <v>2483</v>
      </c>
      <c r="L66" s="14">
        <f t="shared" si="13"/>
        <v>45711</v>
      </c>
      <c r="M66" s="14">
        <v>45707</v>
      </c>
      <c r="N66" s="92">
        <f>M66-L66</f>
        <v>-4</v>
      </c>
      <c r="O66" s="10" t="s">
        <v>2496</v>
      </c>
      <c r="P66" s="10" t="s">
        <v>5</v>
      </c>
      <c r="Q66" s="21">
        <v>45977</v>
      </c>
      <c r="R66" s="10" t="s">
        <v>4924</v>
      </c>
      <c r="S66" s="14">
        <f t="shared" si="11"/>
        <v>45984</v>
      </c>
      <c r="T66" s="21">
        <v>45983</v>
      </c>
      <c r="U66" s="92">
        <f t="shared" si="12"/>
        <v>-1</v>
      </c>
      <c r="V66" s="10" t="s">
        <v>4943</v>
      </c>
      <c r="W66" s="10"/>
      <c r="X66" s="21"/>
      <c r="Y66" s="10"/>
      <c r="Z66" s="10"/>
      <c r="AA66" s="21"/>
      <c r="AB66" s="21"/>
      <c r="AC66" s="10"/>
      <c r="AD66" s="10"/>
      <c r="AE66" s="21"/>
      <c r="AF66" s="10"/>
      <c r="AG66" s="10"/>
      <c r="AH66" s="21"/>
      <c r="AI66" s="21"/>
      <c r="AJ66" s="10"/>
      <c r="AK66" s="10"/>
      <c r="AL66" s="17"/>
      <c r="AM66" s="11"/>
      <c r="AN66" s="11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1"/>
      <c r="BF66" s="259"/>
    </row>
    <row r="67" spans="1:58" s="381" customFormat="1" ht="42" customHeight="1" x14ac:dyDescent="0.25">
      <c r="A67" s="367">
        <v>730007</v>
      </c>
      <c r="B67" s="12" t="s">
        <v>5</v>
      </c>
      <c r="C67" s="56" t="s">
        <v>588</v>
      </c>
      <c r="D67" s="12" t="s">
        <v>2497</v>
      </c>
      <c r="E67" s="12" t="s">
        <v>2498</v>
      </c>
      <c r="F67" s="16" t="s">
        <v>2499</v>
      </c>
      <c r="G67" s="10" t="s">
        <v>15</v>
      </c>
      <c r="H67" s="10" t="s">
        <v>145</v>
      </c>
      <c r="I67" s="16" t="s">
        <v>18</v>
      </c>
      <c r="J67" s="14">
        <v>45705</v>
      </c>
      <c r="K67" s="13" t="s">
        <v>2500</v>
      </c>
      <c r="L67" s="14">
        <f t="shared" si="13"/>
        <v>45712</v>
      </c>
      <c r="M67" s="14">
        <v>45711</v>
      </c>
      <c r="N67" s="92">
        <f>M67-L67</f>
        <v>-1</v>
      </c>
      <c r="O67" s="10" t="s">
        <v>2525</v>
      </c>
      <c r="P67" s="10" t="s">
        <v>18</v>
      </c>
      <c r="Q67" s="21">
        <v>45971</v>
      </c>
      <c r="R67" s="10" t="s">
        <v>4801</v>
      </c>
      <c r="S67" s="14">
        <f t="shared" si="11"/>
        <v>45978</v>
      </c>
      <c r="T67" s="21">
        <v>45981</v>
      </c>
      <c r="U67" s="92">
        <f t="shared" si="12"/>
        <v>3</v>
      </c>
      <c r="V67" s="10" t="s">
        <v>4839</v>
      </c>
      <c r="W67" s="10" t="s">
        <v>5</v>
      </c>
      <c r="X67" s="21">
        <v>46006</v>
      </c>
      <c r="Y67" s="10" t="s">
        <v>5285</v>
      </c>
      <c r="Z67" s="14">
        <f>X67+7</f>
        <v>46013</v>
      </c>
      <c r="AA67" s="21">
        <v>46014</v>
      </c>
      <c r="AB67" s="92">
        <f>AA67-Z67</f>
        <v>1</v>
      </c>
      <c r="AC67" s="10" t="s">
        <v>5307</v>
      </c>
      <c r="AD67" s="10"/>
      <c r="AE67" s="21"/>
      <c r="AF67" s="10"/>
      <c r="AG67" s="10"/>
      <c r="AH67" s="21"/>
      <c r="AI67" s="21"/>
      <c r="AJ67" s="10"/>
      <c r="AK67" s="10"/>
      <c r="AL67" s="17"/>
      <c r="AM67" s="11"/>
      <c r="AN67" s="11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1"/>
      <c r="BF67" s="259"/>
    </row>
    <row r="68" spans="1:58" s="381" customFormat="1" ht="42" customHeight="1" x14ac:dyDescent="0.25">
      <c r="A68" s="367">
        <v>730007</v>
      </c>
      <c r="B68" s="12" t="s">
        <v>5</v>
      </c>
      <c r="C68" s="56" t="s">
        <v>588</v>
      </c>
      <c r="D68" s="12" t="s">
        <v>2640</v>
      </c>
      <c r="E68" s="12" t="s">
        <v>2641</v>
      </c>
      <c r="F68" s="16" t="s">
        <v>2639</v>
      </c>
      <c r="G68" s="10" t="s">
        <v>15</v>
      </c>
      <c r="H68" s="10" t="s">
        <v>145</v>
      </c>
      <c r="I68" s="16" t="s">
        <v>18</v>
      </c>
      <c r="J68" s="14">
        <v>45717</v>
      </c>
      <c r="K68" s="13" t="s">
        <v>2642</v>
      </c>
      <c r="L68" s="14">
        <f t="shared" ref="L68:L73" si="14">J68+7</f>
        <v>45724</v>
      </c>
      <c r="M68" s="14">
        <v>45725</v>
      </c>
      <c r="N68" s="92">
        <f>M68-L68</f>
        <v>1</v>
      </c>
      <c r="O68" s="10" t="s">
        <v>2665</v>
      </c>
      <c r="P68" s="12" t="s">
        <v>18</v>
      </c>
      <c r="Q68" s="21">
        <v>45935</v>
      </c>
      <c r="R68" s="10" t="s">
        <v>4379</v>
      </c>
      <c r="S68" s="14">
        <f t="shared" si="11"/>
        <v>45942</v>
      </c>
      <c r="T68" s="21">
        <v>45939</v>
      </c>
      <c r="U68" s="92">
        <f t="shared" si="12"/>
        <v>-3</v>
      </c>
      <c r="V68" s="10" t="s">
        <v>4391</v>
      </c>
      <c r="W68" s="10" t="s">
        <v>5</v>
      </c>
      <c r="X68" s="21">
        <v>45977</v>
      </c>
      <c r="Y68" s="10" t="s">
        <v>4925</v>
      </c>
      <c r="Z68" s="14">
        <f>X68+7</f>
        <v>45984</v>
      </c>
      <c r="AA68" s="21">
        <v>45983</v>
      </c>
      <c r="AB68" s="92">
        <f>AA68-Z68</f>
        <v>-1</v>
      </c>
      <c r="AC68" s="10" t="s">
        <v>4945</v>
      </c>
      <c r="AD68" s="10"/>
      <c r="AE68" s="21"/>
      <c r="AF68" s="10"/>
      <c r="AG68" s="10"/>
      <c r="AH68" s="21"/>
      <c r="AI68" s="21"/>
      <c r="AJ68" s="10"/>
      <c r="AK68" s="10"/>
      <c r="AL68" s="17"/>
      <c r="AM68" s="11"/>
      <c r="AN68" s="11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1"/>
      <c r="BF68" s="259"/>
    </row>
    <row r="69" spans="1:58" s="381" customFormat="1" ht="42" customHeight="1" x14ac:dyDescent="0.25">
      <c r="A69" s="367">
        <v>730007</v>
      </c>
      <c r="B69" s="12" t="s">
        <v>5</v>
      </c>
      <c r="C69" s="56" t="s">
        <v>208</v>
      </c>
      <c r="D69" s="12" t="s">
        <v>2643</v>
      </c>
      <c r="E69" s="12" t="s">
        <v>2644</v>
      </c>
      <c r="F69" s="16" t="s">
        <v>2645</v>
      </c>
      <c r="G69" s="10" t="s">
        <v>15</v>
      </c>
      <c r="H69" s="10" t="s">
        <v>145</v>
      </c>
      <c r="I69" s="16" t="s">
        <v>18</v>
      </c>
      <c r="J69" s="14">
        <v>45717</v>
      </c>
      <c r="K69" s="13" t="s">
        <v>2646</v>
      </c>
      <c r="L69" s="14">
        <f t="shared" si="14"/>
        <v>45724</v>
      </c>
      <c r="M69" s="14">
        <v>45725</v>
      </c>
      <c r="N69" s="92">
        <f>M69-L69</f>
        <v>1</v>
      </c>
      <c r="O69" s="10" t="s">
        <v>2666</v>
      </c>
      <c r="P69" s="10" t="s">
        <v>5</v>
      </c>
      <c r="Q69" s="21">
        <v>45985</v>
      </c>
      <c r="R69" s="10" t="s">
        <v>5027</v>
      </c>
      <c r="S69" s="14">
        <f t="shared" si="11"/>
        <v>45992</v>
      </c>
      <c r="T69" s="21">
        <v>45995</v>
      </c>
      <c r="U69" s="92">
        <f t="shared" si="12"/>
        <v>3</v>
      </c>
      <c r="V69" s="10" t="s">
        <v>5034</v>
      </c>
      <c r="W69" s="10"/>
      <c r="X69" s="21"/>
      <c r="Y69" s="10"/>
      <c r="Z69" s="10"/>
      <c r="AA69" s="21"/>
      <c r="AB69" s="21"/>
      <c r="AC69" s="10"/>
      <c r="AD69" s="10"/>
      <c r="AE69" s="21"/>
      <c r="AF69" s="10"/>
      <c r="AG69" s="10"/>
      <c r="AH69" s="21"/>
      <c r="AI69" s="21"/>
      <c r="AJ69" s="10"/>
      <c r="AK69" s="10"/>
      <c r="AL69" s="17"/>
      <c r="AM69" s="11"/>
      <c r="AN69" s="11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1"/>
      <c r="BF69" s="259"/>
    </row>
    <row r="70" spans="1:58" s="381" customFormat="1" ht="42" customHeight="1" x14ac:dyDescent="0.25">
      <c r="A70" s="367">
        <v>730007</v>
      </c>
      <c r="B70" s="12" t="s">
        <v>5</v>
      </c>
      <c r="C70" s="56" t="s">
        <v>208</v>
      </c>
      <c r="D70" s="12" t="s">
        <v>2680</v>
      </c>
      <c r="E70" s="12" t="s">
        <v>2681</v>
      </c>
      <c r="F70" s="16" t="s">
        <v>2682</v>
      </c>
      <c r="G70" s="10" t="s">
        <v>15</v>
      </c>
      <c r="H70" s="10" t="s">
        <v>145</v>
      </c>
      <c r="I70" s="16" t="s">
        <v>18</v>
      </c>
      <c r="J70" s="14">
        <v>45722</v>
      </c>
      <c r="K70" s="13" t="s">
        <v>2683</v>
      </c>
      <c r="L70" s="14">
        <f t="shared" si="14"/>
        <v>45729</v>
      </c>
      <c r="M70" s="14">
        <v>45729</v>
      </c>
      <c r="N70" s="92">
        <f>M70-L70</f>
        <v>0</v>
      </c>
      <c r="O70" s="10" t="s">
        <v>2694</v>
      </c>
      <c r="P70" s="10" t="s">
        <v>5</v>
      </c>
      <c r="Q70" s="21">
        <v>46006</v>
      </c>
      <c r="R70" s="10" t="s">
        <v>5244</v>
      </c>
      <c r="S70" s="14">
        <f t="shared" si="11"/>
        <v>46013</v>
      </c>
      <c r="T70" s="21">
        <v>46018</v>
      </c>
      <c r="U70" s="92">
        <f t="shared" si="12"/>
        <v>5</v>
      </c>
      <c r="V70" s="10" t="s">
        <v>5296</v>
      </c>
      <c r="W70" s="10"/>
      <c r="X70" s="21"/>
      <c r="Y70" s="10"/>
      <c r="Z70" s="10"/>
      <c r="AA70" s="21"/>
      <c r="AB70" s="21"/>
      <c r="AC70" s="10"/>
      <c r="AD70" s="10"/>
      <c r="AE70" s="21"/>
      <c r="AF70" s="10"/>
      <c r="AG70" s="10"/>
      <c r="AH70" s="21"/>
      <c r="AI70" s="21"/>
      <c r="AJ70" s="10"/>
      <c r="AK70" s="10"/>
      <c r="AL70" s="17"/>
      <c r="AM70" s="11"/>
      <c r="AN70" s="11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1"/>
      <c r="BF70" s="259"/>
    </row>
    <row r="71" spans="1:58" s="381" customFormat="1" ht="42" customHeight="1" x14ac:dyDescent="0.25">
      <c r="A71" s="367">
        <v>730007</v>
      </c>
      <c r="B71" s="12" t="s">
        <v>5</v>
      </c>
      <c r="C71" s="56" t="s">
        <v>208</v>
      </c>
      <c r="D71" s="12" t="s">
        <v>2705</v>
      </c>
      <c r="E71" s="12" t="s">
        <v>2706</v>
      </c>
      <c r="F71" s="16" t="s">
        <v>2707</v>
      </c>
      <c r="G71" s="10" t="s">
        <v>15</v>
      </c>
      <c r="H71" s="10" t="s">
        <v>145</v>
      </c>
      <c r="I71" s="16" t="s">
        <v>18</v>
      </c>
      <c r="J71" s="14">
        <v>45726</v>
      </c>
      <c r="K71" s="13" t="s">
        <v>2708</v>
      </c>
      <c r="L71" s="14">
        <f t="shared" si="14"/>
        <v>45733</v>
      </c>
      <c r="M71" s="14">
        <v>45732</v>
      </c>
      <c r="N71" s="92">
        <f t="shared" ref="N71:N77" si="15">M71-L71</f>
        <v>-1</v>
      </c>
      <c r="O71" s="10" t="s">
        <v>2741</v>
      </c>
      <c r="P71" s="10" t="s">
        <v>5</v>
      </c>
      <c r="Q71" s="21">
        <v>46053</v>
      </c>
      <c r="R71" s="10" t="s">
        <v>5706</v>
      </c>
      <c r="S71" s="21">
        <f t="shared" si="11"/>
        <v>46060</v>
      </c>
      <c r="T71" s="21">
        <v>46061</v>
      </c>
      <c r="U71" s="92">
        <f t="shared" si="12"/>
        <v>1</v>
      </c>
      <c r="V71" s="10" t="s">
        <v>5730</v>
      </c>
      <c r="W71" s="10"/>
      <c r="X71" s="21"/>
      <c r="Y71" s="10"/>
      <c r="Z71" s="10"/>
      <c r="AA71" s="21"/>
      <c r="AB71" s="21"/>
      <c r="AC71" s="10"/>
      <c r="AD71" s="10"/>
      <c r="AE71" s="21"/>
      <c r="AF71" s="10"/>
      <c r="AG71" s="10"/>
      <c r="AH71" s="21"/>
      <c r="AI71" s="21"/>
      <c r="AJ71" s="10"/>
      <c r="AK71" s="10"/>
      <c r="AL71" s="17"/>
      <c r="AM71" s="11"/>
      <c r="AN71" s="11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1"/>
      <c r="BF71" s="259"/>
    </row>
    <row r="72" spans="1:58" s="381" customFormat="1" ht="42" customHeight="1" x14ac:dyDescent="0.25">
      <c r="A72" s="367">
        <v>730007</v>
      </c>
      <c r="B72" s="12" t="s">
        <v>13</v>
      </c>
      <c r="C72" s="56" t="s">
        <v>54</v>
      </c>
      <c r="D72" s="12" t="s">
        <v>2710</v>
      </c>
      <c r="E72" s="12" t="s">
        <v>2709</v>
      </c>
      <c r="F72" s="16" t="s">
        <v>2711</v>
      </c>
      <c r="G72" s="10" t="s">
        <v>15</v>
      </c>
      <c r="H72" s="10" t="s">
        <v>145</v>
      </c>
      <c r="I72" s="16" t="s">
        <v>13</v>
      </c>
      <c r="J72" s="14">
        <v>45726</v>
      </c>
      <c r="K72" s="13" t="s">
        <v>2712</v>
      </c>
      <c r="L72" s="14">
        <f t="shared" si="14"/>
        <v>45733</v>
      </c>
      <c r="M72" s="14">
        <v>45732</v>
      </c>
      <c r="N72" s="92">
        <f t="shared" si="15"/>
        <v>-1</v>
      </c>
      <c r="O72" s="10" t="s">
        <v>2742</v>
      </c>
      <c r="P72" s="10"/>
      <c r="Q72" s="21"/>
      <c r="R72" s="10"/>
      <c r="S72" s="10"/>
      <c r="T72" s="21"/>
      <c r="U72" s="10"/>
      <c r="V72" s="10"/>
      <c r="W72" s="10"/>
      <c r="X72" s="21"/>
      <c r="Y72" s="10"/>
      <c r="Z72" s="10"/>
      <c r="AA72" s="21"/>
      <c r="AB72" s="21"/>
      <c r="AC72" s="10"/>
      <c r="AD72" s="10"/>
      <c r="AE72" s="21"/>
      <c r="AF72" s="10"/>
      <c r="AG72" s="10"/>
      <c r="AH72" s="21"/>
      <c r="AI72" s="21"/>
      <c r="AJ72" s="10"/>
      <c r="AK72" s="10"/>
      <c r="AL72" s="17"/>
      <c r="AM72" s="11"/>
      <c r="AN72" s="11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1"/>
      <c r="BF72" s="259"/>
    </row>
    <row r="73" spans="1:58" s="381" customFormat="1" ht="42" customHeight="1" x14ac:dyDescent="0.25">
      <c r="A73" s="367">
        <v>730007</v>
      </c>
      <c r="B73" s="12" t="s">
        <v>5</v>
      </c>
      <c r="C73" s="56" t="s">
        <v>54</v>
      </c>
      <c r="D73" s="12" t="s">
        <v>2749</v>
      </c>
      <c r="E73" s="12" t="s">
        <v>2750</v>
      </c>
      <c r="F73" s="16" t="s">
        <v>2751</v>
      </c>
      <c r="G73" s="10" t="s">
        <v>15</v>
      </c>
      <c r="H73" s="10" t="s">
        <v>145</v>
      </c>
      <c r="I73" s="16" t="s">
        <v>5</v>
      </c>
      <c r="J73" s="14">
        <v>45727</v>
      </c>
      <c r="K73" s="13" t="s">
        <v>2748</v>
      </c>
      <c r="L73" s="14">
        <f t="shared" si="14"/>
        <v>45734</v>
      </c>
      <c r="M73" s="14">
        <v>45733</v>
      </c>
      <c r="N73" s="92">
        <f t="shared" si="15"/>
        <v>-1</v>
      </c>
      <c r="O73" s="10" t="s">
        <v>2760</v>
      </c>
      <c r="P73" s="10"/>
      <c r="Q73" s="21"/>
      <c r="R73" s="10"/>
      <c r="S73" s="10"/>
      <c r="T73" s="21"/>
      <c r="U73" s="10"/>
      <c r="V73" s="10"/>
      <c r="W73" s="10"/>
      <c r="X73" s="21"/>
      <c r="Y73" s="10"/>
      <c r="Z73" s="10"/>
      <c r="AA73" s="21"/>
      <c r="AB73" s="21"/>
      <c r="AC73" s="10"/>
      <c r="AD73" s="10"/>
      <c r="AE73" s="21"/>
      <c r="AF73" s="10"/>
      <c r="AG73" s="10"/>
      <c r="AH73" s="21"/>
      <c r="AI73" s="21"/>
      <c r="AJ73" s="10"/>
      <c r="AK73" s="10"/>
      <c r="AL73" s="17"/>
      <c r="AM73" s="11"/>
      <c r="AN73" s="11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1"/>
      <c r="BF73" s="259"/>
    </row>
    <row r="74" spans="1:58" s="381" customFormat="1" ht="42" customHeight="1" x14ac:dyDescent="0.25">
      <c r="A74" s="367">
        <v>730007</v>
      </c>
      <c r="B74" s="12" t="s">
        <v>5</v>
      </c>
      <c r="C74" s="56" t="s">
        <v>208</v>
      </c>
      <c r="D74" s="12" t="s">
        <v>2789</v>
      </c>
      <c r="E74" s="12" t="s">
        <v>2790</v>
      </c>
      <c r="F74" s="16" t="s">
        <v>2791</v>
      </c>
      <c r="G74" s="10" t="s">
        <v>15</v>
      </c>
      <c r="H74" s="10" t="s">
        <v>145</v>
      </c>
      <c r="I74" s="16" t="s">
        <v>18</v>
      </c>
      <c r="J74" s="14">
        <v>45729</v>
      </c>
      <c r="K74" s="13" t="s">
        <v>2792</v>
      </c>
      <c r="L74" s="14">
        <f t="shared" ref="L74:L79" si="16">J74+7</f>
        <v>45736</v>
      </c>
      <c r="M74" s="14">
        <v>45736</v>
      </c>
      <c r="N74" s="92">
        <f t="shared" si="15"/>
        <v>0</v>
      </c>
      <c r="O74" s="10" t="s">
        <v>2793</v>
      </c>
      <c r="P74" s="10" t="s">
        <v>5</v>
      </c>
      <c r="Q74" s="21">
        <v>46006</v>
      </c>
      <c r="R74" s="10" t="s">
        <v>5245</v>
      </c>
      <c r="S74" s="14">
        <f t="shared" ref="S74:S81" si="17">Q74+7</f>
        <v>46013</v>
      </c>
      <c r="T74" s="21">
        <v>46018</v>
      </c>
      <c r="U74" s="10">
        <f t="shared" ref="U74:U81" si="18">T74-S74</f>
        <v>5</v>
      </c>
      <c r="V74" s="10" t="s">
        <v>5297</v>
      </c>
      <c r="W74" s="10"/>
      <c r="X74" s="21"/>
      <c r="Y74" s="10"/>
      <c r="Z74" s="10"/>
      <c r="AA74" s="21"/>
      <c r="AB74" s="21"/>
      <c r="AC74" s="10"/>
      <c r="AD74" s="10"/>
      <c r="AE74" s="21"/>
      <c r="AF74" s="10"/>
      <c r="AG74" s="10"/>
      <c r="AH74" s="21"/>
      <c r="AI74" s="21"/>
      <c r="AJ74" s="10"/>
      <c r="AK74" s="10"/>
      <c r="AL74" s="17"/>
      <c r="AM74" s="11"/>
      <c r="AN74" s="11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1"/>
      <c r="BF74" s="259"/>
    </row>
    <row r="75" spans="1:58" s="381" customFormat="1" ht="42" customHeight="1" x14ac:dyDescent="0.25">
      <c r="A75" s="367">
        <v>730007</v>
      </c>
      <c r="B75" s="12" t="s">
        <v>5</v>
      </c>
      <c r="C75" s="56" t="s">
        <v>208</v>
      </c>
      <c r="D75" s="12" t="s">
        <v>2829</v>
      </c>
      <c r="E75" s="12" t="s">
        <v>2830</v>
      </c>
      <c r="F75" s="16" t="s">
        <v>2831</v>
      </c>
      <c r="G75" s="10" t="s">
        <v>15</v>
      </c>
      <c r="H75" s="10" t="s">
        <v>145</v>
      </c>
      <c r="I75" s="16" t="s">
        <v>18</v>
      </c>
      <c r="J75" s="14">
        <v>45734</v>
      </c>
      <c r="K75" s="13" t="s">
        <v>2832</v>
      </c>
      <c r="L75" s="14">
        <f t="shared" si="16"/>
        <v>45741</v>
      </c>
      <c r="M75" s="14">
        <v>45741</v>
      </c>
      <c r="N75" s="92">
        <f t="shared" si="15"/>
        <v>0</v>
      </c>
      <c r="O75" s="10" t="s">
        <v>2845</v>
      </c>
      <c r="P75" s="10" t="s">
        <v>5</v>
      </c>
      <c r="Q75" s="21">
        <v>45957</v>
      </c>
      <c r="R75" s="10" t="s">
        <v>4610</v>
      </c>
      <c r="S75" s="14">
        <f t="shared" si="17"/>
        <v>45964</v>
      </c>
      <c r="T75" s="21">
        <v>45964</v>
      </c>
      <c r="U75" s="10">
        <f t="shared" si="18"/>
        <v>0</v>
      </c>
      <c r="V75" s="10" t="s">
        <v>4629</v>
      </c>
      <c r="W75" s="10"/>
      <c r="X75" s="21"/>
      <c r="Y75" s="10"/>
      <c r="Z75" s="10"/>
      <c r="AA75" s="21"/>
      <c r="AB75" s="21"/>
      <c r="AC75" s="10"/>
      <c r="AD75" s="10"/>
      <c r="AE75" s="21"/>
      <c r="AF75" s="10"/>
      <c r="AG75" s="10"/>
      <c r="AH75" s="21"/>
      <c r="AI75" s="21"/>
      <c r="AJ75" s="10"/>
      <c r="AK75" s="10"/>
      <c r="AL75" s="17"/>
      <c r="AM75" s="11"/>
      <c r="AN75" s="11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1"/>
      <c r="BF75" s="259"/>
    </row>
    <row r="76" spans="1:58" s="381" customFormat="1" ht="42" customHeight="1" x14ac:dyDescent="0.25">
      <c r="A76" s="367">
        <v>730007</v>
      </c>
      <c r="B76" s="12" t="s">
        <v>5</v>
      </c>
      <c r="C76" s="56" t="s">
        <v>208</v>
      </c>
      <c r="D76" s="12" t="s">
        <v>2849</v>
      </c>
      <c r="E76" s="12" t="s">
        <v>2850</v>
      </c>
      <c r="F76" s="16" t="s">
        <v>2851</v>
      </c>
      <c r="G76" s="10" t="s">
        <v>15</v>
      </c>
      <c r="H76" s="10" t="s">
        <v>145</v>
      </c>
      <c r="I76" s="16" t="s">
        <v>18</v>
      </c>
      <c r="J76" s="14">
        <v>45735</v>
      </c>
      <c r="K76" s="13" t="s">
        <v>2852</v>
      </c>
      <c r="L76" s="14">
        <f t="shared" si="16"/>
        <v>45742</v>
      </c>
      <c r="M76" s="14">
        <v>45742</v>
      </c>
      <c r="N76" s="92">
        <f t="shared" si="15"/>
        <v>0</v>
      </c>
      <c r="O76" s="10" t="s">
        <v>2855</v>
      </c>
      <c r="P76" s="10" t="s">
        <v>5</v>
      </c>
      <c r="Q76" s="21">
        <v>45979</v>
      </c>
      <c r="R76" s="10" t="s">
        <v>4973</v>
      </c>
      <c r="S76" s="14">
        <f t="shared" si="17"/>
        <v>45986</v>
      </c>
      <c r="T76" s="21">
        <v>45987</v>
      </c>
      <c r="U76" s="10">
        <f t="shared" si="18"/>
        <v>1</v>
      </c>
      <c r="V76" s="10" t="s">
        <v>4983</v>
      </c>
      <c r="W76" s="10"/>
      <c r="X76" s="21"/>
      <c r="Y76" s="10"/>
      <c r="Z76" s="10"/>
      <c r="AA76" s="21"/>
      <c r="AB76" s="21"/>
      <c r="AC76" s="10"/>
      <c r="AD76" s="10"/>
      <c r="AE76" s="21"/>
      <c r="AF76" s="10"/>
      <c r="AG76" s="10"/>
      <c r="AH76" s="21"/>
      <c r="AI76" s="21"/>
      <c r="AJ76" s="10"/>
      <c r="AK76" s="10"/>
      <c r="AL76" s="17"/>
      <c r="AM76" s="11"/>
      <c r="AN76" s="11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1"/>
      <c r="BF76" s="259"/>
    </row>
    <row r="77" spans="1:58" s="381" customFormat="1" ht="42" customHeight="1" x14ac:dyDescent="0.25">
      <c r="A77" s="367">
        <v>730007</v>
      </c>
      <c r="B77" s="12" t="s">
        <v>5</v>
      </c>
      <c r="C77" s="56" t="s">
        <v>208</v>
      </c>
      <c r="D77" s="12" t="s">
        <v>2996</v>
      </c>
      <c r="E77" s="12" t="s">
        <v>2997</v>
      </c>
      <c r="F77" s="16" t="s">
        <v>2998</v>
      </c>
      <c r="G77" s="10" t="s">
        <v>15</v>
      </c>
      <c r="H77" s="10" t="s">
        <v>145</v>
      </c>
      <c r="I77" s="16" t="s">
        <v>18</v>
      </c>
      <c r="J77" s="14">
        <v>45762</v>
      </c>
      <c r="K77" s="13" t="s">
        <v>2999</v>
      </c>
      <c r="L77" s="14">
        <f t="shared" si="16"/>
        <v>45769</v>
      </c>
      <c r="M77" s="14">
        <v>45771</v>
      </c>
      <c r="N77" s="92">
        <f t="shared" si="15"/>
        <v>2</v>
      </c>
      <c r="O77" s="10" t="s">
        <v>3008</v>
      </c>
      <c r="P77" s="10" t="s">
        <v>5</v>
      </c>
      <c r="Q77" s="21">
        <v>46006</v>
      </c>
      <c r="R77" s="10" t="s">
        <v>5286</v>
      </c>
      <c r="S77" s="14">
        <f t="shared" si="17"/>
        <v>46013</v>
      </c>
      <c r="T77" s="21">
        <v>46015</v>
      </c>
      <c r="U77" s="10">
        <f t="shared" si="18"/>
        <v>2</v>
      </c>
      <c r="V77" s="10" t="s">
        <v>5304</v>
      </c>
      <c r="W77" s="10"/>
      <c r="X77" s="21"/>
      <c r="Y77" s="10"/>
      <c r="Z77" s="10"/>
      <c r="AA77" s="21"/>
      <c r="AB77" s="21"/>
      <c r="AC77" s="10"/>
      <c r="AD77" s="10"/>
      <c r="AE77" s="21"/>
      <c r="AF77" s="10"/>
      <c r="AG77" s="10"/>
      <c r="AH77" s="21"/>
      <c r="AI77" s="21"/>
      <c r="AJ77" s="10"/>
      <c r="AK77" s="10"/>
      <c r="AL77" s="17"/>
      <c r="AM77" s="11"/>
      <c r="AN77" s="11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1"/>
      <c r="BF77" s="259"/>
    </row>
    <row r="78" spans="1:58" s="381" customFormat="1" ht="42" customHeight="1" x14ac:dyDescent="0.25">
      <c r="A78" s="367">
        <v>730007</v>
      </c>
      <c r="B78" s="12" t="s">
        <v>5</v>
      </c>
      <c r="C78" s="56" t="s">
        <v>725</v>
      </c>
      <c r="D78" s="12" t="s">
        <v>3022</v>
      </c>
      <c r="E78" s="12" t="s">
        <v>3023</v>
      </c>
      <c r="F78" s="16" t="s">
        <v>3024</v>
      </c>
      <c r="G78" s="10" t="s">
        <v>15</v>
      </c>
      <c r="H78" s="10" t="s">
        <v>145</v>
      </c>
      <c r="I78" s="16" t="s">
        <v>18</v>
      </c>
      <c r="J78" s="14">
        <v>45766</v>
      </c>
      <c r="K78" s="13" t="s">
        <v>3025</v>
      </c>
      <c r="L78" s="14">
        <f t="shared" si="16"/>
        <v>45773</v>
      </c>
      <c r="M78" s="14">
        <v>45771</v>
      </c>
      <c r="N78" s="92">
        <f>M78-L78</f>
        <v>-2</v>
      </c>
      <c r="O78" s="10" t="s">
        <v>3027</v>
      </c>
      <c r="P78" s="10" t="s">
        <v>18</v>
      </c>
      <c r="Q78" s="21">
        <v>46125</v>
      </c>
      <c r="R78" s="10" t="s">
        <v>6350</v>
      </c>
      <c r="S78" s="14">
        <f t="shared" si="17"/>
        <v>46132</v>
      </c>
      <c r="T78" s="21">
        <v>46133</v>
      </c>
      <c r="U78" s="10">
        <f t="shared" si="18"/>
        <v>1</v>
      </c>
      <c r="V78" s="10" t="s">
        <v>6382</v>
      </c>
      <c r="W78" s="10" t="s">
        <v>18</v>
      </c>
      <c r="X78" s="21">
        <v>46141</v>
      </c>
      <c r="Y78" s="10" t="s">
        <v>6586</v>
      </c>
      <c r="Z78" s="14">
        <f>X78+7</f>
        <v>46148</v>
      </c>
      <c r="AA78" s="21">
        <v>46153</v>
      </c>
      <c r="AB78" s="10">
        <f>AA78-Z78</f>
        <v>5</v>
      </c>
      <c r="AC78" s="10" t="s">
        <v>6609</v>
      </c>
      <c r="AD78" s="10" t="s">
        <v>5</v>
      </c>
      <c r="AE78" s="21">
        <v>46159</v>
      </c>
      <c r="AF78" s="10" t="s">
        <v>6837</v>
      </c>
      <c r="AG78" s="14">
        <f>AE78+7</f>
        <v>46166</v>
      </c>
      <c r="AH78" s="21">
        <v>46165</v>
      </c>
      <c r="AI78" s="13">
        <f>AH78-AG78</f>
        <v>-1</v>
      </c>
      <c r="AJ78" s="10" t="s">
        <v>6850</v>
      </c>
      <c r="AK78" s="10"/>
      <c r="AL78" s="17"/>
      <c r="AM78" s="11"/>
      <c r="AN78" s="11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1"/>
      <c r="BF78" s="259"/>
    </row>
    <row r="79" spans="1:58" s="407" customFormat="1" ht="42" customHeight="1" x14ac:dyDescent="0.25">
      <c r="A79" s="419">
        <v>730007</v>
      </c>
      <c r="B79" s="358" t="s">
        <v>5</v>
      </c>
      <c r="C79" s="346" t="s">
        <v>208</v>
      </c>
      <c r="D79" s="358" t="s">
        <v>3121</v>
      </c>
      <c r="E79" s="358" t="s">
        <v>3122</v>
      </c>
      <c r="F79" s="347" t="s">
        <v>3123</v>
      </c>
      <c r="G79" s="355" t="s">
        <v>15</v>
      </c>
      <c r="H79" s="355" t="s">
        <v>145</v>
      </c>
      <c r="I79" s="347" t="s">
        <v>18</v>
      </c>
      <c r="J79" s="357">
        <v>45777</v>
      </c>
      <c r="K79" s="362" t="s">
        <v>3124</v>
      </c>
      <c r="L79" s="357">
        <f t="shared" si="16"/>
        <v>45784</v>
      </c>
      <c r="M79" s="357">
        <v>45788</v>
      </c>
      <c r="N79" s="360">
        <f>M79-L79</f>
        <v>4</v>
      </c>
      <c r="O79" s="355" t="s">
        <v>3142</v>
      </c>
      <c r="P79" s="355" t="s">
        <v>5</v>
      </c>
      <c r="Q79" s="364">
        <v>46188</v>
      </c>
      <c r="R79" s="355" t="s">
        <v>7003</v>
      </c>
      <c r="S79" s="357">
        <f t="shared" si="17"/>
        <v>46195</v>
      </c>
      <c r="T79" s="364">
        <v>46191</v>
      </c>
      <c r="U79" s="355">
        <f t="shared" si="18"/>
        <v>-4</v>
      </c>
      <c r="V79" s="355" t="s">
        <v>7020</v>
      </c>
      <c r="W79" s="355"/>
      <c r="X79" s="364"/>
      <c r="Y79" s="355"/>
      <c r="Z79" s="355"/>
      <c r="AA79" s="364"/>
      <c r="AB79" s="364"/>
      <c r="AC79" s="355"/>
      <c r="AD79" s="355"/>
      <c r="AE79" s="364"/>
      <c r="AF79" s="355"/>
      <c r="AG79" s="355"/>
      <c r="AH79" s="364"/>
      <c r="AI79" s="364"/>
      <c r="AJ79" s="355"/>
      <c r="AK79" s="355"/>
      <c r="AL79" s="351"/>
      <c r="AM79" s="345"/>
      <c r="AN79" s="345"/>
      <c r="AO79" s="351"/>
      <c r="AP79" s="351"/>
      <c r="AQ79" s="351"/>
      <c r="AR79" s="351"/>
      <c r="AS79" s="351"/>
      <c r="AT79" s="351"/>
      <c r="AU79" s="351"/>
      <c r="AV79" s="351"/>
      <c r="AW79" s="351"/>
      <c r="AX79" s="351"/>
      <c r="AY79" s="351"/>
      <c r="AZ79" s="351"/>
      <c r="BA79" s="351"/>
      <c r="BB79" s="351"/>
      <c r="BC79" s="351"/>
      <c r="BD79" s="351"/>
      <c r="BE79" s="345"/>
      <c r="BF79" s="478" t="s">
        <v>7513</v>
      </c>
    </row>
    <row r="80" spans="1:58" s="381" customFormat="1" ht="42" customHeight="1" x14ac:dyDescent="0.25">
      <c r="A80" s="367">
        <v>730007</v>
      </c>
      <c r="B80" s="199" t="s">
        <v>508</v>
      </c>
      <c r="C80" s="56" t="s">
        <v>627</v>
      </c>
      <c r="D80" s="12" t="s">
        <v>3153</v>
      </c>
      <c r="E80" s="12" t="s">
        <v>3155</v>
      </c>
      <c r="F80" s="16" t="s">
        <v>3154</v>
      </c>
      <c r="G80" s="10" t="s">
        <v>15</v>
      </c>
      <c r="H80" s="10" t="s">
        <v>145</v>
      </c>
      <c r="I80" s="16" t="s">
        <v>18</v>
      </c>
      <c r="J80" s="14">
        <v>45780</v>
      </c>
      <c r="K80" s="13" t="s">
        <v>3156</v>
      </c>
      <c r="L80" s="14">
        <f>J80+7</f>
        <v>45787</v>
      </c>
      <c r="M80" s="14">
        <v>45788</v>
      </c>
      <c r="N80" s="92">
        <f>M80-L80</f>
        <v>1</v>
      </c>
      <c r="O80" s="10" t="s">
        <v>3167</v>
      </c>
      <c r="P80" s="10" t="s">
        <v>18</v>
      </c>
      <c r="Q80" s="21">
        <v>46188</v>
      </c>
      <c r="R80" s="10" t="s">
        <v>7002</v>
      </c>
      <c r="S80" s="14">
        <f t="shared" si="17"/>
        <v>46195</v>
      </c>
      <c r="T80" s="21">
        <v>46191</v>
      </c>
      <c r="U80" s="10">
        <f t="shared" si="18"/>
        <v>-4</v>
      </c>
      <c r="V80" s="10" t="s">
        <v>7021</v>
      </c>
      <c r="W80" s="10" t="s">
        <v>508</v>
      </c>
      <c r="X80" s="21">
        <v>46194</v>
      </c>
      <c r="Y80" s="10" t="s">
        <v>7043</v>
      </c>
      <c r="Z80" s="10" t="s">
        <v>626</v>
      </c>
      <c r="AA80" s="10" t="s">
        <v>626</v>
      </c>
      <c r="AB80" s="10" t="s">
        <v>626</v>
      </c>
      <c r="AC80" s="10" t="s">
        <v>626</v>
      </c>
      <c r="AD80" s="10"/>
      <c r="AE80" s="21"/>
      <c r="AF80" s="10"/>
      <c r="AG80" s="10"/>
      <c r="AH80" s="21"/>
      <c r="AI80" s="21"/>
      <c r="AJ80" s="10"/>
      <c r="AK80" s="10"/>
      <c r="AL80" s="17"/>
      <c r="AM80" s="11"/>
      <c r="AN80" s="11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1"/>
      <c r="BF80" s="259"/>
    </row>
    <row r="81" spans="1:58" s="381" customFormat="1" ht="42" customHeight="1" x14ac:dyDescent="0.25">
      <c r="A81" s="367">
        <v>730007</v>
      </c>
      <c r="B81" s="12" t="s">
        <v>5</v>
      </c>
      <c r="C81" s="56" t="s">
        <v>588</v>
      </c>
      <c r="D81" s="12" t="s">
        <v>3157</v>
      </c>
      <c r="E81" s="12" t="s">
        <v>3158</v>
      </c>
      <c r="F81" s="16" t="s">
        <v>3159</v>
      </c>
      <c r="G81" s="10" t="s">
        <v>15</v>
      </c>
      <c r="H81" s="10" t="s">
        <v>145</v>
      </c>
      <c r="I81" s="16" t="s">
        <v>3</v>
      </c>
      <c r="J81" s="14">
        <v>45780</v>
      </c>
      <c r="K81" s="13" t="s">
        <v>3160</v>
      </c>
      <c r="L81" s="14">
        <f>J81+7</f>
        <v>45787</v>
      </c>
      <c r="M81" s="14">
        <v>45784</v>
      </c>
      <c r="N81" s="92">
        <f t="shared" ref="N81:N94" si="19">M81-L81</f>
        <v>-3</v>
      </c>
      <c r="O81" s="10" t="s">
        <v>3168</v>
      </c>
      <c r="P81" s="10" t="s">
        <v>18</v>
      </c>
      <c r="Q81" s="21">
        <v>45799</v>
      </c>
      <c r="R81" s="10" t="s">
        <v>3336</v>
      </c>
      <c r="S81" s="14">
        <f t="shared" si="17"/>
        <v>45806</v>
      </c>
      <c r="T81" s="21">
        <v>45805</v>
      </c>
      <c r="U81" s="10">
        <f t="shared" si="18"/>
        <v>-1</v>
      </c>
      <c r="V81" s="10" t="s">
        <v>3343</v>
      </c>
      <c r="W81" s="10" t="s">
        <v>5</v>
      </c>
      <c r="X81" s="21">
        <v>46006</v>
      </c>
      <c r="Y81" s="10" t="s">
        <v>5282</v>
      </c>
      <c r="Z81" s="14">
        <f>X81+7</f>
        <v>46013</v>
      </c>
      <c r="AA81" s="21">
        <v>46015</v>
      </c>
      <c r="AB81" s="10">
        <f>AA81-Z81</f>
        <v>2</v>
      </c>
      <c r="AC81" s="10" t="s">
        <v>5302</v>
      </c>
      <c r="AD81" s="10"/>
      <c r="AE81" s="21"/>
      <c r="AF81" s="10"/>
      <c r="AG81" s="10"/>
      <c r="AH81" s="21"/>
      <c r="AI81" s="21"/>
      <c r="AJ81" s="10"/>
      <c r="AK81" s="10"/>
      <c r="AL81" s="17"/>
      <c r="AM81" s="11"/>
      <c r="AN81" s="11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1"/>
      <c r="BF81" s="259"/>
    </row>
    <row r="82" spans="1:58" s="381" customFormat="1" ht="42" customHeight="1" x14ac:dyDescent="0.25">
      <c r="A82" s="367">
        <v>730007</v>
      </c>
      <c r="B82" s="199" t="s">
        <v>508</v>
      </c>
      <c r="C82" s="56" t="s">
        <v>627</v>
      </c>
      <c r="D82" s="12" t="s">
        <v>3553</v>
      </c>
      <c r="E82" s="12" t="s">
        <v>3554</v>
      </c>
      <c r="F82" s="16" t="s">
        <v>3555</v>
      </c>
      <c r="G82" s="10" t="s">
        <v>15</v>
      </c>
      <c r="H82" s="10" t="s">
        <v>145</v>
      </c>
      <c r="I82" s="23" t="s">
        <v>3</v>
      </c>
      <c r="J82" s="14">
        <v>45838</v>
      </c>
      <c r="K82" s="13" t="s">
        <v>3556</v>
      </c>
      <c r="L82" s="14">
        <f>J82+7</f>
        <v>45845</v>
      </c>
      <c r="M82" s="14">
        <v>45848</v>
      </c>
      <c r="N82" s="92">
        <f t="shared" si="19"/>
        <v>3</v>
      </c>
      <c r="O82" s="10" t="s">
        <v>3566</v>
      </c>
      <c r="P82" s="10" t="s">
        <v>508</v>
      </c>
      <c r="Q82" s="21">
        <v>45970</v>
      </c>
      <c r="R82" s="10" t="s">
        <v>4795</v>
      </c>
      <c r="S82" s="10" t="s">
        <v>626</v>
      </c>
      <c r="T82" s="21" t="s">
        <v>626</v>
      </c>
      <c r="U82" s="10" t="s">
        <v>626</v>
      </c>
      <c r="V82" s="10" t="s">
        <v>626</v>
      </c>
      <c r="W82" s="10"/>
      <c r="X82" s="21"/>
      <c r="Y82" s="10"/>
      <c r="Z82" s="10"/>
      <c r="AA82" s="21"/>
      <c r="AB82" s="21"/>
      <c r="AC82" s="10"/>
      <c r="AD82" s="10"/>
      <c r="AE82" s="21"/>
      <c r="AF82" s="10"/>
      <c r="AG82" s="10"/>
      <c r="AH82" s="21"/>
      <c r="AI82" s="21"/>
      <c r="AJ82" s="10"/>
      <c r="AK82" s="10"/>
      <c r="AL82" s="17"/>
      <c r="AM82" s="11"/>
      <c r="AN82" s="11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1"/>
      <c r="BF82" s="259"/>
    </row>
    <row r="83" spans="1:58" s="381" customFormat="1" ht="42" customHeight="1" x14ac:dyDescent="0.25">
      <c r="A83" s="367">
        <v>730007</v>
      </c>
      <c r="B83" s="12"/>
      <c r="C83" s="11"/>
      <c r="D83" s="12" t="s">
        <v>3619</v>
      </c>
      <c r="E83" s="12"/>
      <c r="F83" s="9" t="s">
        <v>3936</v>
      </c>
      <c r="G83" s="10" t="s">
        <v>15</v>
      </c>
      <c r="H83" s="10" t="s">
        <v>145</v>
      </c>
      <c r="I83" s="16"/>
      <c r="J83" s="14"/>
      <c r="K83" s="13"/>
      <c r="L83" s="13"/>
      <c r="M83" s="14"/>
      <c r="N83" s="92"/>
      <c r="O83" s="10"/>
      <c r="P83" s="10"/>
      <c r="Q83" s="21"/>
      <c r="R83" s="10"/>
      <c r="S83" s="10"/>
      <c r="T83" s="21"/>
      <c r="U83" s="10"/>
      <c r="V83" s="10"/>
      <c r="W83" s="10"/>
      <c r="X83" s="21"/>
      <c r="Y83" s="10"/>
      <c r="Z83" s="10"/>
      <c r="AA83" s="21"/>
      <c r="AB83" s="21"/>
      <c r="AC83" s="10"/>
      <c r="AD83" s="10"/>
      <c r="AE83" s="21"/>
      <c r="AF83" s="10"/>
      <c r="AG83" s="10"/>
      <c r="AH83" s="21"/>
      <c r="AI83" s="21"/>
      <c r="AJ83" s="10"/>
      <c r="AK83" s="10"/>
      <c r="AL83" s="17"/>
      <c r="AM83" s="11"/>
      <c r="AN83" s="11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1"/>
      <c r="BF83" s="259"/>
    </row>
    <row r="84" spans="1:58" s="381" customFormat="1" ht="42" customHeight="1" x14ac:dyDescent="0.25">
      <c r="A84" s="367">
        <v>730007</v>
      </c>
      <c r="B84" s="12" t="s">
        <v>5</v>
      </c>
      <c r="C84" s="56" t="s">
        <v>2456</v>
      </c>
      <c r="D84" s="12" t="s">
        <v>3620</v>
      </c>
      <c r="E84" s="12" t="s">
        <v>3621</v>
      </c>
      <c r="F84" s="16" t="s">
        <v>4354</v>
      </c>
      <c r="G84" s="10" t="s">
        <v>15</v>
      </c>
      <c r="H84" s="10" t="s">
        <v>145</v>
      </c>
      <c r="I84" s="16" t="s">
        <v>18</v>
      </c>
      <c r="J84" s="14">
        <v>45847</v>
      </c>
      <c r="K84" s="13" t="s">
        <v>3622</v>
      </c>
      <c r="L84" s="14">
        <f t="shared" ref="L84:L89" si="20">J84+7</f>
        <v>45854</v>
      </c>
      <c r="M84" s="14">
        <v>45853</v>
      </c>
      <c r="N84" s="92">
        <f t="shared" si="19"/>
        <v>-1</v>
      </c>
      <c r="O84" s="10" t="s">
        <v>3630</v>
      </c>
      <c r="P84" s="10" t="s">
        <v>3</v>
      </c>
      <c r="Q84" s="21">
        <v>45931</v>
      </c>
      <c r="R84" s="10" t="s">
        <v>4355</v>
      </c>
      <c r="S84" s="14">
        <f>Q84+7</f>
        <v>45938</v>
      </c>
      <c r="T84" s="21">
        <v>45937</v>
      </c>
      <c r="U84" s="13">
        <f>T84-S84</f>
        <v>-1</v>
      </c>
      <c r="V84" s="10" t="s">
        <v>4367</v>
      </c>
      <c r="W84" s="10" t="s">
        <v>18</v>
      </c>
      <c r="X84" s="21">
        <v>45998</v>
      </c>
      <c r="Y84" s="10" t="s">
        <v>5145</v>
      </c>
      <c r="Z84" s="14">
        <f>X84+7</f>
        <v>46005</v>
      </c>
      <c r="AA84" s="21">
        <v>46007</v>
      </c>
      <c r="AB84" s="13">
        <f>AA84-Z84</f>
        <v>2</v>
      </c>
      <c r="AC84" s="10" t="s">
        <v>5169</v>
      </c>
      <c r="AD84" s="10" t="s">
        <v>18</v>
      </c>
      <c r="AE84" s="21">
        <v>46131</v>
      </c>
      <c r="AF84" s="10" t="s">
        <v>6448</v>
      </c>
      <c r="AG84" s="14">
        <f>AE84+7</f>
        <v>46138</v>
      </c>
      <c r="AH84" s="21">
        <v>46139</v>
      </c>
      <c r="AI84" s="13">
        <f>AH84-AG84</f>
        <v>1</v>
      </c>
      <c r="AJ84" s="10" t="s">
        <v>6459</v>
      </c>
      <c r="AK84" s="10" t="s">
        <v>5</v>
      </c>
      <c r="AL84" s="17">
        <v>46237</v>
      </c>
      <c r="AM84" s="150" t="s">
        <v>7417</v>
      </c>
      <c r="AN84" s="14">
        <f>AL84+7</f>
        <v>46244</v>
      </c>
      <c r="AO84" s="21">
        <v>46247</v>
      </c>
      <c r="AP84" s="13">
        <f>AO84-AN84</f>
        <v>3</v>
      </c>
      <c r="AQ84" s="10" t="s">
        <v>7422</v>
      </c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1"/>
      <c r="BF84" s="259"/>
    </row>
    <row r="85" spans="1:58" s="381" customFormat="1" ht="42" customHeight="1" x14ac:dyDescent="0.25">
      <c r="A85" s="367">
        <v>730007</v>
      </c>
      <c r="B85" s="23" t="s">
        <v>18</v>
      </c>
      <c r="C85" s="56" t="s">
        <v>208</v>
      </c>
      <c r="D85" s="12" t="s">
        <v>3744</v>
      </c>
      <c r="E85" s="12" t="s">
        <v>3745</v>
      </c>
      <c r="F85" s="16" t="s">
        <v>3746</v>
      </c>
      <c r="G85" s="10" t="s">
        <v>15</v>
      </c>
      <c r="H85" s="10" t="s">
        <v>145</v>
      </c>
      <c r="I85" s="23" t="s">
        <v>3</v>
      </c>
      <c r="J85" s="14">
        <v>45859</v>
      </c>
      <c r="K85" s="13" t="s">
        <v>3747</v>
      </c>
      <c r="L85" s="14">
        <f t="shared" si="20"/>
        <v>45866</v>
      </c>
      <c r="M85" s="14">
        <v>45861</v>
      </c>
      <c r="N85" s="92">
        <f t="shared" si="19"/>
        <v>-5</v>
      </c>
      <c r="O85" s="10" t="s">
        <v>3748</v>
      </c>
      <c r="P85" s="10" t="s">
        <v>18</v>
      </c>
      <c r="Q85" s="21">
        <v>45882</v>
      </c>
      <c r="R85" s="10" t="s">
        <v>3923</v>
      </c>
      <c r="S85" s="14">
        <f>Q85+7</f>
        <v>45889</v>
      </c>
      <c r="T85" s="21">
        <v>45887</v>
      </c>
      <c r="U85" s="13">
        <f>T85-S85</f>
        <v>-2</v>
      </c>
      <c r="V85" s="10" t="s">
        <v>3945</v>
      </c>
      <c r="W85" s="10"/>
      <c r="X85" s="21"/>
      <c r="Y85" s="10"/>
      <c r="Z85" s="10"/>
      <c r="AA85" s="21"/>
      <c r="AB85" s="21"/>
      <c r="AC85" s="10"/>
      <c r="AD85" s="10"/>
      <c r="AE85" s="21"/>
      <c r="AF85" s="10"/>
      <c r="AG85" s="10"/>
      <c r="AH85" s="21"/>
      <c r="AI85" s="21"/>
      <c r="AJ85" s="10"/>
      <c r="AK85" s="10"/>
      <c r="AL85" s="17"/>
      <c r="AM85" s="11"/>
      <c r="AN85" s="11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1"/>
      <c r="BF85" s="259"/>
    </row>
    <row r="86" spans="1:58" s="381" customFormat="1" ht="42" customHeight="1" x14ac:dyDescent="0.25">
      <c r="A86" s="367">
        <v>730007</v>
      </c>
      <c r="B86" s="199" t="s">
        <v>508</v>
      </c>
      <c r="C86" s="56" t="s">
        <v>627</v>
      </c>
      <c r="D86" s="12" t="s">
        <v>3767</v>
      </c>
      <c r="E86" s="12" t="s">
        <v>3768</v>
      </c>
      <c r="F86" s="16" t="s">
        <v>3769</v>
      </c>
      <c r="G86" s="10" t="s">
        <v>15</v>
      </c>
      <c r="H86" s="10" t="s">
        <v>145</v>
      </c>
      <c r="I86" s="183" t="s">
        <v>14</v>
      </c>
      <c r="J86" s="14">
        <v>45861</v>
      </c>
      <c r="K86" s="13" t="s">
        <v>3770</v>
      </c>
      <c r="L86" s="14">
        <f t="shared" si="20"/>
        <v>45868</v>
      </c>
      <c r="M86" s="14">
        <v>45889</v>
      </c>
      <c r="N86" s="92">
        <f t="shared" si="19"/>
        <v>21</v>
      </c>
      <c r="O86" s="10" t="s">
        <v>4003</v>
      </c>
      <c r="P86" s="9" t="s">
        <v>508</v>
      </c>
      <c r="Q86" s="21">
        <v>46061</v>
      </c>
      <c r="R86" s="10" t="s">
        <v>5798</v>
      </c>
      <c r="S86" s="10" t="s">
        <v>626</v>
      </c>
      <c r="T86" s="21" t="s">
        <v>626</v>
      </c>
      <c r="U86" s="10" t="s">
        <v>626</v>
      </c>
      <c r="V86" s="10" t="s">
        <v>626</v>
      </c>
      <c r="W86" s="10"/>
      <c r="X86" s="21"/>
      <c r="Y86" s="10"/>
      <c r="Z86" s="10"/>
      <c r="AA86" s="21"/>
      <c r="AB86" s="21"/>
      <c r="AC86" s="10"/>
      <c r="AD86" s="10"/>
      <c r="AE86" s="21"/>
      <c r="AF86" s="10"/>
      <c r="AG86" s="10"/>
      <c r="AH86" s="21"/>
      <c r="AI86" s="21"/>
      <c r="AJ86" s="10"/>
      <c r="AK86" s="10"/>
      <c r="AL86" s="17"/>
      <c r="AM86" s="11"/>
      <c r="AN86" s="11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1"/>
      <c r="BF86" s="259" t="s">
        <v>3934</v>
      </c>
    </row>
    <row r="87" spans="1:58" s="381" customFormat="1" ht="42" customHeight="1" x14ac:dyDescent="0.25">
      <c r="A87" s="367">
        <v>730007</v>
      </c>
      <c r="B87" s="199" t="s">
        <v>508</v>
      </c>
      <c r="C87" s="56" t="s">
        <v>627</v>
      </c>
      <c r="D87" s="12" t="s">
        <v>3849</v>
      </c>
      <c r="E87" s="12" t="s">
        <v>3850</v>
      </c>
      <c r="F87" s="16" t="s">
        <v>3851</v>
      </c>
      <c r="G87" s="10" t="s">
        <v>15</v>
      </c>
      <c r="H87" s="10" t="s">
        <v>145</v>
      </c>
      <c r="I87" s="16" t="s">
        <v>3</v>
      </c>
      <c r="J87" s="14">
        <v>45869</v>
      </c>
      <c r="K87" s="13" t="s">
        <v>3852</v>
      </c>
      <c r="L87" s="14">
        <f t="shared" si="20"/>
        <v>45876</v>
      </c>
      <c r="M87" s="14">
        <v>45876</v>
      </c>
      <c r="N87" s="92">
        <f t="shared" si="19"/>
        <v>0</v>
      </c>
      <c r="O87" s="10" t="s">
        <v>3866</v>
      </c>
      <c r="P87" s="9" t="s">
        <v>4796</v>
      </c>
      <c r="Q87" s="21">
        <v>45970</v>
      </c>
      <c r="R87" s="10" t="s">
        <v>4797</v>
      </c>
      <c r="S87" s="10" t="s">
        <v>626</v>
      </c>
      <c r="T87" s="21" t="s">
        <v>626</v>
      </c>
      <c r="U87" s="10" t="s">
        <v>626</v>
      </c>
      <c r="V87" s="10" t="s">
        <v>626</v>
      </c>
      <c r="W87" s="10"/>
      <c r="X87" s="21"/>
      <c r="Y87" s="10"/>
      <c r="Z87" s="10"/>
      <c r="AA87" s="21"/>
      <c r="AB87" s="21"/>
      <c r="AC87" s="10"/>
      <c r="AD87" s="10"/>
      <c r="AE87" s="21"/>
      <c r="AF87" s="10"/>
      <c r="AG87" s="10"/>
      <c r="AH87" s="21"/>
      <c r="AI87" s="21"/>
      <c r="AJ87" s="10"/>
      <c r="AK87" s="10"/>
      <c r="AL87" s="17"/>
      <c r="AM87" s="11"/>
      <c r="AN87" s="11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1"/>
      <c r="BF87" s="259"/>
    </row>
    <row r="88" spans="1:58" s="381" customFormat="1" ht="42" customHeight="1" x14ac:dyDescent="0.25">
      <c r="A88" s="367">
        <v>730007</v>
      </c>
      <c r="B88" s="12" t="s">
        <v>5</v>
      </c>
      <c r="C88" s="56" t="s">
        <v>208</v>
      </c>
      <c r="D88" s="12" t="s">
        <v>3915</v>
      </c>
      <c r="E88" s="12" t="s">
        <v>3916</v>
      </c>
      <c r="F88" s="16" t="s">
        <v>3917</v>
      </c>
      <c r="G88" s="10" t="s">
        <v>15</v>
      </c>
      <c r="H88" s="10" t="s">
        <v>145</v>
      </c>
      <c r="I88" s="16" t="s">
        <v>18</v>
      </c>
      <c r="J88" s="14">
        <v>45880</v>
      </c>
      <c r="K88" s="13" t="s">
        <v>3918</v>
      </c>
      <c r="L88" s="14">
        <f t="shared" si="20"/>
        <v>45887</v>
      </c>
      <c r="M88" s="14">
        <v>45887</v>
      </c>
      <c r="N88" s="92">
        <f t="shared" si="19"/>
        <v>0</v>
      </c>
      <c r="O88" s="10" t="s">
        <v>3922</v>
      </c>
      <c r="P88" s="10" t="s">
        <v>5</v>
      </c>
      <c r="Q88" s="21">
        <v>45983</v>
      </c>
      <c r="R88" s="10" t="s">
        <v>5008</v>
      </c>
      <c r="S88" s="14">
        <f t="shared" ref="S88:S93" si="21">Q88+7</f>
        <v>45990</v>
      </c>
      <c r="T88" s="21">
        <v>45993</v>
      </c>
      <c r="U88" s="13">
        <f t="shared" ref="U88:U93" si="22">T88-S88</f>
        <v>3</v>
      </c>
      <c r="V88" s="10" t="s">
        <v>5020</v>
      </c>
      <c r="W88" s="10"/>
      <c r="X88" s="21"/>
      <c r="Y88" s="10"/>
      <c r="Z88" s="10"/>
      <c r="AA88" s="21"/>
      <c r="AB88" s="21"/>
      <c r="AC88" s="10"/>
      <c r="AD88" s="10"/>
      <c r="AE88" s="21"/>
      <c r="AF88" s="10"/>
      <c r="AG88" s="10"/>
      <c r="AH88" s="21"/>
      <c r="AI88" s="21"/>
      <c r="AJ88" s="10"/>
      <c r="AK88" s="10"/>
      <c r="AL88" s="17"/>
      <c r="AM88" s="11"/>
      <c r="AN88" s="11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1"/>
      <c r="BF88" s="259"/>
    </row>
    <row r="89" spans="1:58" s="381" customFormat="1" ht="42" customHeight="1" x14ac:dyDescent="0.25">
      <c r="A89" s="367">
        <v>730007</v>
      </c>
      <c r="B89" s="12" t="s">
        <v>5</v>
      </c>
      <c r="C89" s="56" t="s">
        <v>208</v>
      </c>
      <c r="D89" s="12" t="s">
        <v>4125</v>
      </c>
      <c r="E89" s="12" t="s">
        <v>4126</v>
      </c>
      <c r="F89" s="16" t="s">
        <v>4127</v>
      </c>
      <c r="G89" s="10" t="s">
        <v>15</v>
      </c>
      <c r="H89" s="10" t="s">
        <v>145</v>
      </c>
      <c r="I89" s="16" t="s">
        <v>18</v>
      </c>
      <c r="J89" s="14">
        <v>45907</v>
      </c>
      <c r="K89" s="13" t="s">
        <v>4128</v>
      </c>
      <c r="L89" s="14">
        <f t="shared" si="20"/>
        <v>45914</v>
      </c>
      <c r="M89" s="14">
        <v>45920</v>
      </c>
      <c r="N89" s="92">
        <f t="shared" si="19"/>
        <v>6</v>
      </c>
      <c r="O89" s="10" t="s">
        <v>4135</v>
      </c>
      <c r="P89" s="10" t="s">
        <v>5</v>
      </c>
      <c r="Q89" s="21">
        <v>46006</v>
      </c>
      <c r="R89" s="10" t="s">
        <v>5246</v>
      </c>
      <c r="S89" s="14">
        <f t="shared" si="21"/>
        <v>46013</v>
      </c>
      <c r="T89" s="21">
        <v>46015</v>
      </c>
      <c r="U89" s="13">
        <f t="shared" si="22"/>
        <v>2</v>
      </c>
      <c r="V89" s="10" t="s">
        <v>5298</v>
      </c>
      <c r="W89" s="10"/>
      <c r="X89" s="21"/>
      <c r="Y89" s="10"/>
      <c r="Z89" s="10"/>
      <c r="AA89" s="21"/>
      <c r="AB89" s="21"/>
      <c r="AC89" s="10"/>
      <c r="AD89" s="10"/>
      <c r="AE89" s="21"/>
      <c r="AF89" s="10"/>
      <c r="AG89" s="10"/>
      <c r="AH89" s="21"/>
      <c r="AI89" s="21"/>
      <c r="AJ89" s="10"/>
      <c r="AK89" s="10"/>
      <c r="AL89" s="17"/>
      <c r="AM89" s="11"/>
      <c r="AN89" s="11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1"/>
      <c r="BF89" s="259"/>
    </row>
    <row r="90" spans="1:58" s="381" customFormat="1" ht="42" customHeight="1" x14ac:dyDescent="0.25">
      <c r="A90" s="367">
        <v>730007</v>
      </c>
      <c r="B90" s="12" t="s">
        <v>5</v>
      </c>
      <c r="C90" s="56" t="s">
        <v>208</v>
      </c>
      <c r="D90" s="12" t="s">
        <v>4211</v>
      </c>
      <c r="E90" s="12" t="s">
        <v>4213</v>
      </c>
      <c r="F90" s="16" t="s">
        <v>4212</v>
      </c>
      <c r="G90" s="10" t="s">
        <v>15</v>
      </c>
      <c r="H90" s="10" t="s">
        <v>145</v>
      </c>
      <c r="I90" s="16" t="s">
        <v>18</v>
      </c>
      <c r="J90" s="14">
        <v>45917</v>
      </c>
      <c r="K90" s="13" t="s">
        <v>4214</v>
      </c>
      <c r="L90" s="14">
        <f>J90+7</f>
        <v>45924</v>
      </c>
      <c r="M90" s="14">
        <v>45925</v>
      </c>
      <c r="N90" s="92">
        <f t="shared" si="19"/>
        <v>1</v>
      </c>
      <c r="O90" s="10" t="s">
        <v>4225</v>
      </c>
      <c r="P90" s="10" t="s">
        <v>5</v>
      </c>
      <c r="Q90" s="21">
        <v>45978</v>
      </c>
      <c r="R90" s="10" t="s">
        <v>4947</v>
      </c>
      <c r="S90" s="14">
        <f t="shared" si="21"/>
        <v>45985</v>
      </c>
      <c r="T90" s="21">
        <v>45987</v>
      </c>
      <c r="U90" s="13">
        <f t="shared" si="22"/>
        <v>2</v>
      </c>
      <c r="V90" s="10" t="s">
        <v>4962</v>
      </c>
      <c r="W90" s="16"/>
      <c r="X90" s="21"/>
      <c r="Y90" s="10"/>
      <c r="Z90" s="10"/>
      <c r="AA90" s="21"/>
      <c r="AB90" s="21"/>
      <c r="AC90" s="10"/>
      <c r="AD90" s="16"/>
      <c r="AE90" s="21"/>
      <c r="AF90" s="10"/>
      <c r="AG90" s="10"/>
      <c r="AH90" s="21"/>
      <c r="AI90" s="21"/>
      <c r="AJ90" s="10"/>
      <c r="AK90" s="10"/>
      <c r="AL90" s="17"/>
      <c r="AM90" s="11"/>
      <c r="AN90" s="11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1"/>
      <c r="BF90" s="259"/>
    </row>
    <row r="91" spans="1:58" s="381" customFormat="1" ht="42" customHeight="1" x14ac:dyDescent="0.25">
      <c r="A91" s="367">
        <v>730007</v>
      </c>
      <c r="B91" s="12" t="s">
        <v>5</v>
      </c>
      <c r="C91" s="56" t="s">
        <v>208</v>
      </c>
      <c r="D91" s="12" t="s">
        <v>4217</v>
      </c>
      <c r="E91" s="12" t="s">
        <v>4218</v>
      </c>
      <c r="F91" s="16" t="s">
        <v>4215</v>
      </c>
      <c r="G91" s="10" t="s">
        <v>15</v>
      </c>
      <c r="H91" s="10" t="s">
        <v>145</v>
      </c>
      <c r="I91" s="16" t="s">
        <v>18</v>
      </c>
      <c r="J91" s="14">
        <v>45917</v>
      </c>
      <c r="K91" s="13" t="s">
        <v>4216</v>
      </c>
      <c r="L91" s="14">
        <f>J91+7</f>
        <v>45924</v>
      </c>
      <c r="M91" s="14">
        <v>45929</v>
      </c>
      <c r="N91" s="92">
        <f t="shared" si="19"/>
        <v>5</v>
      </c>
      <c r="O91" s="10" t="s">
        <v>4229</v>
      </c>
      <c r="P91" s="10" t="s">
        <v>5</v>
      </c>
      <c r="Q91" s="21">
        <v>45978</v>
      </c>
      <c r="R91" s="10" t="s">
        <v>4964</v>
      </c>
      <c r="S91" s="14">
        <f t="shared" si="21"/>
        <v>45985</v>
      </c>
      <c r="T91" s="21">
        <v>45985</v>
      </c>
      <c r="U91" s="13">
        <f t="shared" si="22"/>
        <v>0</v>
      </c>
      <c r="V91" s="10" t="s">
        <v>4963</v>
      </c>
      <c r="W91" s="10"/>
      <c r="X91" s="21"/>
      <c r="Y91" s="10"/>
      <c r="Z91" s="10"/>
      <c r="AA91" s="21"/>
      <c r="AB91" s="21"/>
      <c r="AC91" s="10"/>
      <c r="AD91" s="10"/>
      <c r="AE91" s="21"/>
      <c r="AF91" s="10"/>
      <c r="AG91" s="10"/>
      <c r="AH91" s="21"/>
      <c r="AI91" s="21"/>
      <c r="AJ91" s="10"/>
      <c r="AK91" s="10"/>
      <c r="AL91" s="17"/>
      <c r="AM91" s="11"/>
      <c r="AN91" s="11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1"/>
      <c r="BF91" s="259"/>
    </row>
    <row r="92" spans="1:58" s="381" customFormat="1" ht="42" customHeight="1" x14ac:dyDescent="0.25">
      <c r="A92" s="367">
        <v>730007</v>
      </c>
      <c r="B92" s="12" t="s">
        <v>5</v>
      </c>
      <c r="C92" s="56" t="s">
        <v>208</v>
      </c>
      <c r="D92" s="12" t="s">
        <v>4400</v>
      </c>
      <c r="E92" s="12" t="s">
        <v>4401</v>
      </c>
      <c r="F92" s="16" t="s">
        <v>4402</v>
      </c>
      <c r="G92" s="10" t="s">
        <v>15</v>
      </c>
      <c r="H92" s="10" t="s">
        <v>145</v>
      </c>
      <c r="I92" s="16" t="s">
        <v>18</v>
      </c>
      <c r="J92" s="14">
        <v>45936</v>
      </c>
      <c r="K92" s="13" t="s">
        <v>4403</v>
      </c>
      <c r="L92" s="14">
        <f>J92+7</f>
        <v>45943</v>
      </c>
      <c r="M92" s="14">
        <v>45949</v>
      </c>
      <c r="N92" s="92">
        <f t="shared" si="19"/>
        <v>6</v>
      </c>
      <c r="O92" s="10" t="s">
        <v>4411</v>
      </c>
      <c r="P92" s="10" t="s">
        <v>5</v>
      </c>
      <c r="Q92" s="21">
        <v>45978</v>
      </c>
      <c r="R92" s="10" t="s">
        <v>4969</v>
      </c>
      <c r="S92" s="14">
        <f t="shared" si="21"/>
        <v>45985</v>
      </c>
      <c r="T92" s="21">
        <v>45987</v>
      </c>
      <c r="U92" s="13">
        <f t="shared" si="22"/>
        <v>2</v>
      </c>
      <c r="V92" s="10" t="s">
        <v>4981</v>
      </c>
      <c r="W92" s="10"/>
      <c r="X92" s="21"/>
      <c r="Y92" s="10"/>
      <c r="Z92" s="10"/>
      <c r="AA92" s="21"/>
      <c r="AB92" s="21"/>
      <c r="AC92" s="10"/>
      <c r="AD92" s="10"/>
      <c r="AE92" s="21"/>
      <c r="AF92" s="10"/>
      <c r="AG92" s="10"/>
      <c r="AH92" s="21"/>
      <c r="AI92" s="21"/>
      <c r="AJ92" s="10"/>
      <c r="AK92" s="10"/>
      <c r="AL92" s="17"/>
      <c r="AM92" s="11"/>
      <c r="AN92" s="11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1"/>
      <c r="BF92" s="259"/>
    </row>
    <row r="93" spans="1:58" s="381" customFormat="1" ht="42" customHeight="1" x14ac:dyDescent="0.25">
      <c r="A93" s="367">
        <v>730007</v>
      </c>
      <c r="B93" s="12" t="s">
        <v>5</v>
      </c>
      <c r="C93" s="56" t="s">
        <v>208</v>
      </c>
      <c r="D93" s="12" t="s">
        <v>4414</v>
      </c>
      <c r="E93" s="12" t="s">
        <v>4415</v>
      </c>
      <c r="F93" s="16" t="s">
        <v>4416</v>
      </c>
      <c r="G93" s="10" t="s">
        <v>15</v>
      </c>
      <c r="H93" s="10" t="s">
        <v>145</v>
      </c>
      <c r="I93" s="16" t="s">
        <v>18</v>
      </c>
      <c r="J93" s="14">
        <v>45937</v>
      </c>
      <c r="K93" s="13" t="s">
        <v>4417</v>
      </c>
      <c r="L93" s="14">
        <f>J93+7</f>
        <v>45944</v>
      </c>
      <c r="M93" s="14">
        <v>45950</v>
      </c>
      <c r="N93" s="92">
        <f t="shared" si="19"/>
        <v>6</v>
      </c>
      <c r="O93" s="10" t="s">
        <v>4427</v>
      </c>
      <c r="P93" s="10" t="s">
        <v>5</v>
      </c>
      <c r="Q93" s="21">
        <v>45979</v>
      </c>
      <c r="R93" s="10" t="s">
        <v>4972</v>
      </c>
      <c r="S93" s="14">
        <f t="shared" si="21"/>
        <v>45986</v>
      </c>
      <c r="T93" s="21">
        <v>45991</v>
      </c>
      <c r="U93" s="13">
        <f t="shared" si="22"/>
        <v>5</v>
      </c>
      <c r="V93" s="10" t="s">
        <v>4982</v>
      </c>
      <c r="W93" s="10"/>
      <c r="X93" s="21"/>
      <c r="Y93" s="10"/>
      <c r="Z93" s="10"/>
      <c r="AA93" s="21"/>
      <c r="AB93" s="21"/>
      <c r="AC93" s="10"/>
      <c r="AD93" s="10"/>
      <c r="AE93" s="21"/>
      <c r="AF93" s="10"/>
      <c r="AG93" s="10"/>
      <c r="AH93" s="21"/>
      <c r="AI93" s="21"/>
      <c r="AJ93" s="10"/>
      <c r="AK93" s="10"/>
      <c r="AL93" s="17"/>
      <c r="AM93" s="11"/>
      <c r="AN93" s="11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1"/>
      <c r="BF93" s="259"/>
    </row>
    <row r="94" spans="1:58" s="381" customFormat="1" ht="42" customHeight="1" x14ac:dyDescent="0.25">
      <c r="A94" s="367">
        <v>730007</v>
      </c>
      <c r="B94" s="57" t="s">
        <v>508</v>
      </c>
      <c r="C94" s="56" t="s">
        <v>627</v>
      </c>
      <c r="D94" s="12" t="s">
        <v>4483</v>
      </c>
      <c r="E94" s="12" t="s">
        <v>4484</v>
      </c>
      <c r="F94" s="16" t="s">
        <v>4491</v>
      </c>
      <c r="G94" s="10" t="s">
        <v>15</v>
      </c>
      <c r="H94" s="10" t="s">
        <v>145</v>
      </c>
      <c r="I94" s="16" t="s">
        <v>3</v>
      </c>
      <c r="J94" s="14">
        <v>45946</v>
      </c>
      <c r="K94" s="13" t="s">
        <v>4492</v>
      </c>
      <c r="L94" s="14">
        <f>J94+7</f>
        <v>45953</v>
      </c>
      <c r="M94" s="14">
        <v>45957</v>
      </c>
      <c r="N94" s="92">
        <f t="shared" si="19"/>
        <v>4</v>
      </c>
      <c r="O94" s="10" t="s">
        <v>4503</v>
      </c>
      <c r="P94" s="10" t="s">
        <v>508</v>
      </c>
      <c r="Q94" s="21">
        <v>45970</v>
      </c>
      <c r="R94" s="10" t="s">
        <v>4790</v>
      </c>
      <c r="S94" s="14" t="s">
        <v>626</v>
      </c>
      <c r="T94" s="21" t="s">
        <v>626</v>
      </c>
      <c r="U94" s="92" t="s">
        <v>626</v>
      </c>
      <c r="V94" s="10" t="s">
        <v>626</v>
      </c>
      <c r="W94" s="10"/>
      <c r="X94" s="21"/>
      <c r="Y94" s="10"/>
      <c r="Z94" s="10"/>
      <c r="AA94" s="21"/>
      <c r="AB94" s="21"/>
      <c r="AC94" s="10"/>
      <c r="AD94" s="10"/>
      <c r="AE94" s="21"/>
      <c r="AF94" s="10"/>
      <c r="AG94" s="10"/>
      <c r="AH94" s="21"/>
      <c r="AI94" s="21"/>
      <c r="AJ94" s="10"/>
      <c r="AK94" s="10"/>
      <c r="AL94" s="17"/>
      <c r="AM94" s="11"/>
      <c r="AN94" s="11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1"/>
      <c r="BF94" s="259" t="s">
        <v>4630</v>
      </c>
    </row>
    <row r="95" spans="1:58" s="381" customFormat="1" ht="42" customHeight="1" x14ac:dyDescent="0.25">
      <c r="A95" s="367">
        <v>730007</v>
      </c>
      <c r="B95" s="57" t="s">
        <v>508</v>
      </c>
      <c r="C95" s="56" t="s">
        <v>627</v>
      </c>
      <c r="D95" s="12" t="s">
        <v>4564</v>
      </c>
      <c r="E95" s="12" t="s">
        <v>4565</v>
      </c>
      <c r="F95" s="16" t="s">
        <v>4566</v>
      </c>
      <c r="G95" s="10" t="s">
        <v>15</v>
      </c>
      <c r="H95" s="10" t="s">
        <v>145</v>
      </c>
      <c r="I95" s="16" t="s">
        <v>508</v>
      </c>
      <c r="J95" s="14">
        <v>45970</v>
      </c>
      <c r="K95" s="13" t="s">
        <v>4791</v>
      </c>
      <c r="L95" s="14" t="s">
        <v>626</v>
      </c>
      <c r="M95" s="14" t="s">
        <v>626</v>
      </c>
      <c r="N95" s="92" t="s">
        <v>626</v>
      </c>
      <c r="O95" s="10" t="s">
        <v>626</v>
      </c>
      <c r="P95" s="10"/>
      <c r="Q95" s="21"/>
      <c r="R95" s="10"/>
      <c r="S95" s="10"/>
      <c r="T95" s="21"/>
      <c r="U95" s="10"/>
      <c r="V95" s="10"/>
      <c r="W95" s="10"/>
      <c r="X95" s="21"/>
      <c r="Y95" s="10"/>
      <c r="Z95" s="10"/>
      <c r="AA95" s="21"/>
      <c r="AB95" s="21"/>
      <c r="AC95" s="10"/>
      <c r="AD95" s="10"/>
      <c r="AE95" s="21"/>
      <c r="AF95" s="10"/>
      <c r="AG95" s="10"/>
      <c r="AH95" s="21"/>
      <c r="AI95" s="21"/>
      <c r="AJ95" s="10"/>
      <c r="AK95" s="10"/>
      <c r="AL95" s="17"/>
      <c r="AM95" s="11"/>
      <c r="AN95" s="11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1"/>
      <c r="BF95" s="259" t="s">
        <v>4630</v>
      </c>
    </row>
    <row r="96" spans="1:58" s="381" customFormat="1" ht="42" customHeight="1" x14ac:dyDescent="0.25">
      <c r="A96" s="367">
        <v>730007</v>
      </c>
      <c r="B96" s="12" t="s">
        <v>5</v>
      </c>
      <c r="C96" s="56" t="s">
        <v>208</v>
      </c>
      <c r="D96" s="12" t="s">
        <v>4646</v>
      </c>
      <c r="E96" s="12" t="s">
        <v>4647</v>
      </c>
      <c r="F96" s="16" t="s">
        <v>4648</v>
      </c>
      <c r="G96" s="10" t="s">
        <v>15</v>
      </c>
      <c r="H96" s="10" t="s">
        <v>145</v>
      </c>
      <c r="I96" s="16" t="s">
        <v>18</v>
      </c>
      <c r="J96" s="14">
        <v>45960</v>
      </c>
      <c r="K96" s="13" t="s">
        <v>4649</v>
      </c>
      <c r="L96" s="14">
        <f t="shared" ref="L96:L101" si="23">J96+7</f>
        <v>45967</v>
      </c>
      <c r="M96" s="14">
        <v>45971</v>
      </c>
      <c r="N96" s="92">
        <f t="shared" ref="N96:N105" si="24">M96-L96</f>
        <v>4</v>
      </c>
      <c r="O96" s="10" t="s">
        <v>4679</v>
      </c>
      <c r="P96" s="10" t="s">
        <v>5</v>
      </c>
      <c r="Q96" s="21">
        <v>46006</v>
      </c>
      <c r="R96" s="10" t="s">
        <v>5242</v>
      </c>
      <c r="S96" s="14">
        <f>Q96+7</f>
        <v>46013</v>
      </c>
      <c r="T96" s="21">
        <v>46013</v>
      </c>
      <c r="U96" s="13">
        <f>T96-S96</f>
        <v>0</v>
      </c>
      <c r="V96" s="10" t="s">
        <v>5294</v>
      </c>
      <c r="W96" s="10"/>
      <c r="X96" s="21"/>
      <c r="Y96" s="10"/>
      <c r="Z96" s="10"/>
      <c r="AA96" s="21"/>
      <c r="AB96" s="21"/>
      <c r="AC96" s="10"/>
      <c r="AD96" s="10"/>
      <c r="AE96" s="21"/>
      <c r="AF96" s="10"/>
      <c r="AG96" s="10"/>
      <c r="AH96" s="21"/>
      <c r="AI96" s="21"/>
      <c r="AJ96" s="10"/>
      <c r="AK96" s="10"/>
      <c r="AL96" s="17"/>
      <c r="AM96" s="11"/>
      <c r="AN96" s="11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1"/>
      <c r="BF96" s="259"/>
    </row>
    <row r="97" spans="1:58" s="381" customFormat="1" ht="42" customHeight="1" x14ac:dyDescent="0.25">
      <c r="A97" s="367">
        <v>730007</v>
      </c>
      <c r="B97" s="12" t="s">
        <v>5</v>
      </c>
      <c r="C97" s="56" t="s">
        <v>725</v>
      </c>
      <c r="D97" s="12" t="s">
        <v>4700</v>
      </c>
      <c r="E97" s="12" t="s">
        <v>4701</v>
      </c>
      <c r="F97" s="16" t="s">
        <v>4702</v>
      </c>
      <c r="G97" s="10" t="s">
        <v>15</v>
      </c>
      <c r="H97" s="10" t="s">
        <v>145</v>
      </c>
      <c r="I97" s="16" t="s">
        <v>18</v>
      </c>
      <c r="J97" s="14">
        <v>45964</v>
      </c>
      <c r="K97" s="13" t="s">
        <v>4703</v>
      </c>
      <c r="L97" s="14">
        <f t="shared" si="23"/>
        <v>45971</v>
      </c>
      <c r="M97" s="14">
        <v>45974</v>
      </c>
      <c r="N97" s="92">
        <f t="shared" si="24"/>
        <v>3</v>
      </c>
      <c r="O97" s="10" t="s">
        <v>4741</v>
      </c>
      <c r="P97" s="10" t="s">
        <v>18</v>
      </c>
      <c r="Q97" s="21">
        <v>46046</v>
      </c>
      <c r="R97" s="10" t="s">
        <v>5653</v>
      </c>
      <c r="S97" s="14">
        <f>Q97+7</f>
        <v>46053</v>
      </c>
      <c r="T97" s="21">
        <v>46054</v>
      </c>
      <c r="U97" s="13">
        <f>T97-S97</f>
        <v>1</v>
      </c>
      <c r="V97" s="10" t="s">
        <v>5665</v>
      </c>
      <c r="W97" s="10" t="s">
        <v>18</v>
      </c>
      <c r="X97" s="21">
        <v>46060</v>
      </c>
      <c r="Y97" s="10" t="s">
        <v>5789</v>
      </c>
      <c r="Z97" s="14">
        <f>X97+7</f>
        <v>46067</v>
      </c>
      <c r="AA97" s="21">
        <v>46069</v>
      </c>
      <c r="AB97" s="13">
        <f>AA97-Z97</f>
        <v>2</v>
      </c>
      <c r="AC97" s="10" t="s">
        <v>5793</v>
      </c>
      <c r="AD97" s="10" t="s">
        <v>5</v>
      </c>
      <c r="AE97" s="21">
        <v>46133</v>
      </c>
      <c r="AF97" s="10" t="s">
        <v>6467</v>
      </c>
      <c r="AG97" s="14">
        <f>AE97+7</f>
        <v>46140</v>
      </c>
      <c r="AH97" s="21">
        <v>46139</v>
      </c>
      <c r="AI97" s="13">
        <f>AH97-AG97</f>
        <v>-1</v>
      </c>
      <c r="AJ97" s="10" t="s">
        <v>6470</v>
      </c>
      <c r="AK97" s="10"/>
      <c r="AL97" s="17"/>
      <c r="AM97" s="11"/>
      <c r="AN97" s="11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1"/>
      <c r="BF97" s="259"/>
    </row>
    <row r="98" spans="1:58" s="381" customFormat="1" ht="42" customHeight="1" x14ac:dyDescent="0.25">
      <c r="A98" s="367">
        <v>730007</v>
      </c>
      <c r="B98" s="57" t="s">
        <v>508</v>
      </c>
      <c r="C98" s="56" t="s">
        <v>627</v>
      </c>
      <c r="D98" s="12" t="s">
        <v>4988</v>
      </c>
      <c r="E98" s="12" t="s">
        <v>4989</v>
      </c>
      <c r="F98" s="16" t="s">
        <v>4990</v>
      </c>
      <c r="G98" s="10" t="s">
        <v>15</v>
      </c>
      <c r="H98" s="10" t="s">
        <v>145</v>
      </c>
      <c r="I98" s="16" t="s">
        <v>3</v>
      </c>
      <c r="J98" s="14">
        <v>45983</v>
      </c>
      <c r="K98" s="13" t="s">
        <v>5009</v>
      </c>
      <c r="L98" s="14">
        <f t="shared" si="23"/>
        <v>45990</v>
      </c>
      <c r="M98" s="14">
        <v>45994</v>
      </c>
      <c r="N98" s="92">
        <f t="shared" si="24"/>
        <v>4</v>
      </c>
      <c r="O98" s="10" t="s">
        <v>5021</v>
      </c>
      <c r="P98" s="10" t="s">
        <v>508</v>
      </c>
      <c r="Q98" s="21">
        <v>46036</v>
      </c>
      <c r="R98" s="10" t="s">
        <v>5568</v>
      </c>
      <c r="S98" s="10"/>
      <c r="T98" s="21"/>
      <c r="U98" s="10"/>
      <c r="V98" s="10"/>
      <c r="W98" s="10"/>
      <c r="X98" s="21"/>
      <c r="Y98" s="10"/>
      <c r="Z98" s="10"/>
      <c r="AA98" s="21"/>
      <c r="AB98" s="21"/>
      <c r="AC98" s="10"/>
      <c r="AD98" s="10"/>
      <c r="AE98" s="21"/>
      <c r="AF98" s="10"/>
      <c r="AG98" s="10"/>
      <c r="AH98" s="21"/>
      <c r="AI98" s="21"/>
      <c r="AJ98" s="10"/>
      <c r="AK98" s="10"/>
      <c r="AL98" s="17"/>
      <c r="AM98" s="11"/>
      <c r="AN98" s="11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1"/>
      <c r="BF98" s="259"/>
    </row>
    <row r="99" spans="1:58" s="381" customFormat="1" ht="42" customHeight="1" x14ac:dyDescent="0.25">
      <c r="A99" s="367">
        <v>730007</v>
      </c>
      <c r="B99" s="12" t="s">
        <v>5</v>
      </c>
      <c r="C99" s="56" t="s">
        <v>208</v>
      </c>
      <c r="D99" s="12" t="s">
        <v>5352</v>
      </c>
      <c r="E99" s="12" t="s">
        <v>5353</v>
      </c>
      <c r="F99" s="16" t="s">
        <v>5354</v>
      </c>
      <c r="G99" s="10" t="s">
        <v>15</v>
      </c>
      <c r="H99" s="10" t="s">
        <v>145</v>
      </c>
      <c r="I99" s="16" t="s">
        <v>3</v>
      </c>
      <c r="J99" s="14">
        <v>46012</v>
      </c>
      <c r="K99" s="13" t="s">
        <v>5355</v>
      </c>
      <c r="L99" s="14">
        <f t="shared" si="23"/>
        <v>46019</v>
      </c>
      <c r="M99" s="14">
        <v>46022</v>
      </c>
      <c r="N99" s="92">
        <f t="shared" si="24"/>
        <v>3</v>
      </c>
      <c r="O99" s="10" t="s">
        <v>5357</v>
      </c>
      <c r="P99" s="10" t="s">
        <v>5</v>
      </c>
      <c r="Q99" s="21">
        <v>46023</v>
      </c>
      <c r="R99" s="10" t="s">
        <v>5437</v>
      </c>
      <c r="S99" s="14">
        <f t="shared" ref="S99:S104" si="25">Q99+7</f>
        <v>46030</v>
      </c>
      <c r="T99" s="21">
        <v>46035</v>
      </c>
      <c r="U99" s="13">
        <f t="shared" ref="U99:U104" si="26">T99-S99</f>
        <v>5</v>
      </c>
      <c r="V99" s="10" t="s">
        <v>5447</v>
      </c>
      <c r="W99" s="10"/>
      <c r="X99" s="21"/>
      <c r="Y99" s="10"/>
      <c r="Z99" s="10"/>
      <c r="AA99" s="21"/>
      <c r="AB99" s="21"/>
      <c r="AC99" s="10"/>
      <c r="AD99" s="10"/>
      <c r="AE99" s="21"/>
      <c r="AF99" s="10"/>
      <c r="AG99" s="10"/>
      <c r="AH99" s="21"/>
      <c r="AI99" s="21"/>
      <c r="AJ99" s="10"/>
      <c r="AK99" s="10"/>
      <c r="AL99" s="17"/>
      <c r="AM99" s="11"/>
      <c r="AN99" s="11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1"/>
      <c r="BF99" s="259"/>
    </row>
    <row r="100" spans="1:58" s="381" customFormat="1" ht="42" customHeight="1" x14ac:dyDescent="0.25">
      <c r="A100" s="367">
        <v>730007</v>
      </c>
      <c r="B100" s="12" t="s">
        <v>5</v>
      </c>
      <c r="C100" s="56" t="s">
        <v>208</v>
      </c>
      <c r="D100" s="12" t="s">
        <v>5377</v>
      </c>
      <c r="E100" s="12" t="s">
        <v>5378</v>
      </c>
      <c r="F100" s="16" t="s">
        <v>5379</v>
      </c>
      <c r="G100" s="10" t="s">
        <v>15</v>
      </c>
      <c r="H100" s="10" t="s">
        <v>145</v>
      </c>
      <c r="I100" s="16" t="s">
        <v>18</v>
      </c>
      <c r="J100" s="14">
        <v>46016</v>
      </c>
      <c r="K100" s="13" t="s">
        <v>5380</v>
      </c>
      <c r="L100" s="14">
        <f t="shared" si="23"/>
        <v>46023</v>
      </c>
      <c r="M100" s="14">
        <v>46027</v>
      </c>
      <c r="N100" s="92">
        <f t="shared" si="24"/>
        <v>4</v>
      </c>
      <c r="O100" s="10" t="s">
        <v>5385</v>
      </c>
      <c r="P100" s="10" t="s">
        <v>5</v>
      </c>
      <c r="Q100" s="21">
        <v>46027</v>
      </c>
      <c r="R100" s="10" t="s">
        <v>5467</v>
      </c>
      <c r="S100" s="14">
        <f t="shared" si="25"/>
        <v>46034</v>
      </c>
      <c r="T100" s="21">
        <v>46037</v>
      </c>
      <c r="U100" s="13">
        <f t="shared" si="26"/>
        <v>3</v>
      </c>
      <c r="V100" s="10" t="s">
        <v>5486</v>
      </c>
      <c r="W100" s="10"/>
      <c r="X100" s="21"/>
      <c r="Y100" s="10"/>
      <c r="Z100" s="10"/>
      <c r="AA100" s="21"/>
      <c r="AB100" s="21"/>
      <c r="AC100" s="10"/>
      <c r="AD100" s="10"/>
      <c r="AE100" s="21"/>
      <c r="AF100" s="10"/>
      <c r="AG100" s="10"/>
      <c r="AH100" s="21"/>
      <c r="AI100" s="21"/>
      <c r="AJ100" s="10"/>
      <c r="AK100" s="10"/>
      <c r="AL100" s="17"/>
      <c r="AM100" s="11"/>
      <c r="AN100" s="11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1"/>
      <c r="BF100" s="259"/>
    </row>
    <row r="101" spans="1:58" s="381" customFormat="1" ht="42" customHeight="1" x14ac:dyDescent="0.25">
      <c r="A101" s="367">
        <v>730007</v>
      </c>
      <c r="B101" s="12" t="s">
        <v>5</v>
      </c>
      <c r="C101" s="56" t="s">
        <v>208</v>
      </c>
      <c r="D101" s="12" t="s">
        <v>5401</v>
      </c>
      <c r="E101" s="12" t="s">
        <v>5400</v>
      </c>
      <c r="F101" s="16" t="s">
        <v>5402</v>
      </c>
      <c r="G101" s="10" t="s">
        <v>15</v>
      </c>
      <c r="H101" s="10" t="s">
        <v>145</v>
      </c>
      <c r="I101" s="16" t="s">
        <v>18</v>
      </c>
      <c r="J101" s="14">
        <v>46018</v>
      </c>
      <c r="K101" s="13" t="s">
        <v>5403</v>
      </c>
      <c r="L101" s="14">
        <f t="shared" si="23"/>
        <v>46025</v>
      </c>
      <c r="M101" s="14">
        <v>46029</v>
      </c>
      <c r="N101" s="92">
        <f t="shared" si="24"/>
        <v>4</v>
      </c>
      <c r="O101" s="10" t="s">
        <v>5408</v>
      </c>
      <c r="P101" s="10" t="s">
        <v>5</v>
      </c>
      <c r="Q101" s="21">
        <v>46039</v>
      </c>
      <c r="R101" s="116">
        <v>46046</v>
      </c>
      <c r="S101" s="14">
        <f t="shared" si="25"/>
        <v>46046</v>
      </c>
      <c r="T101" s="21"/>
      <c r="U101" s="13">
        <f t="shared" si="26"/>
        <v>-46046</v>
      </c>
      <c r="V101" s="10" t="s">
        <v>5588</v>
      </c>
      <c r="W101" s="10"/>
      <c r="X101" s="21"/>
      <c r="Y101" s="10"/>
      <c r="Z101" s="10"/>
      <c r="AA101" s="21"/>
      <c r="AB101" s="21"/>
      <c r="AC101" s="10"/>
      <c r="AD101" s="10"/>
      <c r="AE101" s="21"/>
      <c r="AF101" s="10"/>
      <c r="AG101" s="10"/>
      <c r="AH101" s="21"/>
      <c r="AI101" s="21"/>
      <c r="AJ101" s="10"/>
      <c r="AK101" s="10"/>
      <c r="AL101" s="17"/>
      <c r="AM101" s="11"/>
      <c r="AN101" s="11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1"/>
      <c r="BF101" s="259"/>
    </row>
    <row r="102" spans="1:58" s="381" customFormat="1" ht="42" customHeight="1" x14ac:dyDescent="0.25">
      <c r="A102" s="367">
        <v>730007</v>
      </c>
      <c r="B102" s="12" t="s">
        <v>5</v>
      </c>
      <c r="C102" s="56" t="s">
        <v>208</v>
      </c>
      <c r="D102" s="12" t="s">
        <v>5410</v>
      </c>
      <c r="E102" s="12" t="s">
        <v>5411</v>
      </c>
      <c r="F102" s="16" t="s">
        <v>5409</v>
      </c>
      <c r="G102" s="10" t="s">
        <v>15</v>
      </c>
      <c r="H102" s="10" t="s">
        <v>145</v>
      </c>
      <c r="I102" s="16" t="s">
        <v>18</v>
      </c>
      <c r="J102" s="14">
        <v>46019</v>
      </c>
      <c r="K102" s="13" t="s">
        <v>5412</v>
      </c>
      <c r="L102" s="14">
        <f t="shared" ref="L102:L107" si="27">J102+7</f>
        <v>46026</v>
      </c>
      <c r="M102" s="14">
        <v>46027</v>
      </c>
      <c r="N102" s="92">
        <f t="shared" si="24"/>
        <v>1</v>
      </c>
      <c r="O102" s="10" t="s">
        <v>5414</v>
      </c>
      <c r="P102" s="10" t="s">
        <v>5</v>
      </c>
      <c r="Q102" s="21">
        <v>46027</v>
      </c>
      <c r="R102" s="10" t="s">
        <v>5465</v>
      </c>
      <c r="S102" s="14">
        <f t="shared" si="25"/>
        <v>46034</v>
      </c>
      <c r="T102" s="14">
        <v>46037</v>
      </c>
      <c r="U102" s="92">
        <f t="shared" si="26"/>
        <v>3</v>
      </c>
      <c r="V102" s="10" t="s">
        <v>5487</v>
      </c>
      <c r="W102" s="10"/>
      <c r="X102" s="21"/>
      <c r="Y102" s="10"/>
      <c r="Z102" s="10"/>
      <c r="AA102" s="21"/>
      <c r="AB102" s="21"/>
      <c r="AC102" s="10"/>
      <c r="AD102" s="10"/>
      <c r="AE102" s="21"/>
      <c r="AF102" s="10"/>
      <c r="AG102" s="10"/>
      <c r="AH102" s="21"/>
      <c r="AI102" s="21"/>
      <c r="AJ102" s="10"/>
      <c r="AK102" s="10"/>
      <c r="AL102" s="17"/>
      <c r="AM102" s="11"/>
      <c r="AN102" s="11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1"/>
      <c r="BF102" s="259"/>
    </row>
    <row r="103" spans="1:58" s="381" customFormat="1" ht="42" customHeight="1" x14ac:dyDescent="0.25">
      <c r="A103" s="367">
        <v>730007</v>
      </c>
      <c r="B103" s="12" t="s">
        <v>5</v>
      </c>
      <c r="C103" s="56" t="s">
        <v>208</v>
      </c>
      <c r="D103" s="12" t="s">
        <v>5754</v>
      </c>
      <c r="E103" s="12" t="s">
        <v>5756</v>
      </c>
      <c r="F103" s="16" t="s">
        <v>5755</v>
      </c>
      <c r="G103" s="10" t="s">
        <v>15</v>
      </c>
      <c r="H103" s="10" t="s">
        <v>145</v>
      </c>
      <c r="I103" s="16" t="s">
        <v>18</v>
      </c>
      <c r="J103" s="14">
        <v>46057</v>
      </c>
      <c r="K103" s="13" t="s">
        <v>5757</v>
      </c>
      <c r="L103" s="14">
        <f t="shared" si="27"/>
        <v>46064</v>
      </c>
      <c r="M103" s="14">
        <v>46069</v>
      </c>
      <c r="N103" s="92">
        <f t="shared" si="24"/>
        <v>5</v>
      </c>
      <c r="O103" s="10" t="s">
        <v>5762</v>
      </c>
      <c r="P103" s="10" t="s">
        <v>5</v>
      </c>
      <c r="Q103" s="21">
        <v>46082</v>
      </c>
      <c r="R103" s="10" t="s">
        <v>5916</v>
      </c>
      <c r="S103" s="14">
        <f t="shared" si="25"/>
        <v>46089</v>
      </c>
      <c r="T103" s="21">
        <v>46089</v>
      </c>
      <c r="U103" s="92">
        <f t="shared" si="26"/>
        <v>0</v>
      </c>
      <c r="V103" s="10" t="s">
        <v>5917</v>
      </c>
      <c r="W103" s="10"/>
      <c r="X103" s="21"/>
      <c r="Y103" s="10"/>
      <c r="Z103" s="10"/>
      <c r="AA103" s="21"/>
      <c r="AB103" s="21"/>
      <c r="AC103" s="10"/>
      <c r="AD103" s="10"/>
      <c r="AE103" s="21"/>
      <c r="AF103" s="10"/>
      <c r="AG103" s="10"/>
      <c r="AH103" s="21"/>
      <c r="AI103" s="21"/>
      <c r="AJ103" s="10"/>
      <c r="AK103" s="10"/>
      <c r="AL103" s="17"/>
      <c r="AM103" s="11"/>
      <c r="AN103" s="11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1"/>
      <c r="BF103" s="259"/>
    </row>
    <row r="104" spans="1:58" s="381" customFormat="1" ht="42" customHeight="1" x14ac:dyDescent="0.25">
      <c r="A104" s="367">
        <v>730007</v>
      </c>
      <c r="B104" s="12" t="s">
        <v>5</v>
      </c>
      <c r="C104" s="56" t="s">
        <v>208</v>
      </c>
      <c r="D104" s="12" t="s">
        <v>5830</v>
      </c>
      <c r="E104" s="12" t="s">
        <v>5831</v>
      </c>
      <c r="F104" s="16" t="s">
        <v>5832</v>
      </c>
      <c r="G104" s="10" t="s">
        <v>15</v>
      </c>
      <c r="H104" s="10" t="s">
        <v>145</v>
      </c>
      <c r="I104" s="16" t="s">
        <v>18</v>
      </c>
      <c r="J104" s="14">
        <v>46065</v>
      </c>
      <c r="K104" s="13" t="s">
        <v>5833</v>
      </c>
      <c r="L104" s="14">
        <f t="shared" si="27"/>
        <v>46072</v>
      </c>
      <c r="M104" s="14">
        <v>46070</v>
      </c>
      <c r="N104" s="92">
        <f t="shared" si="24"/>
        <v>-2</v>
      </c>
      <c r="O104" s="10" t="s">
        <v>5844</v>
      </c>
      <c r="P104" s="10" t="s">
        <v>5</v>
      </c>
      <c r="Q104" s="21">
        <v>46083</v>
      </c>
      <c r="R104" s="10" t="s">
        <v>5923</v>
      </c>
      <c r="S104" s="14">
        <f t="shared" si="25"/>
        <v>46090</v>
      </c>
      <c r="T104" s="21">
        <v>46093</v>
      </c>
      <c r="U104" s="92">
        <f t="shared" si="26"/>
        <v>3</v>
      </c>
      <c r="V104" s="10" t="s">
        <v>5939</v>
      </c>
      <c r="W104" s="10"/>
      <c r="X104" s="21"/>
      <c r="Y104" s="10"/>
      <c r="Z104" s="10"/>
      <c r="AA104" s="21"/>
      <c r="AB104" s="21"/>
      <c r="AC104" s="10"/>
      <c r="AD104" s="10"/>
      <c r="AE104" s="21"/>
      <c r="AF104" s="10"/>
      <c r="AG104" s="10"/>
      <c r="AH104" s="21"/>
      <c r="AI104" s="21"/>
      <c r="AJ104" s="10"/>
      <c r="AK104" s="10"/>
      <c r="AL104" s="17"/>
      <c r="AM104" s="11"/>
      <c r="AN104" s="11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1"/>
      <c r="BF104" s="259"/>
    </row>
    <row r="105" spans="1:58" s="381" customFormat="1" ht="42" customHeight="1" x14ac:dyDescent="0.25">
      <c r="A105" s="367">
        <v>730007</v>
      </c>
      <c r="B105" s="12" t="s">
        <v>13</v>
      </c>
      <c r="C105" s="56" t="s">
        <v>54</v>
      </c>
      <c r="D105" s="12" t="s">
        <v>5986</v>
      </c>
      <c r="E105" s="12" t="s">
        <v>5988</v>
      </c>
      <c r="F105" s="16" t="s">
        <v>5987</v>
      </c>
      <c r="G105" s="10" t="s">
        <v>15</v>
      </c>
      <c r="H105" s="10" t="s">
        <v>145</v>
      </c>
      <c r="I105" s="16" t="s">
        <v>13</v>
      </c>
      <c r="J105" s="14">
        <v>46089</v>
      </c>
      <c r="K105" s="13" t="s">
        <v>5989</v>
      </c>
      <c r="L105" s="14">
        <f t="shared" si="27"/>
        <v>46096</v>
      </c>
      <c r="M105" s="14">
        <v>46098</v>
      </c>
      <c r="N105" s="92">
        <f t="shared" si="24"/>
        <v>2</v>
      </c>
      <c r="O105" s="10" t="s">
        <v>6001</v>
      </c>
      <c r="P105" s="10"/>
      <c r="Q105" s="21"/>
      <c r="R105" s="10"/>
      <c r="S105" s="10"/>
      <c r="T105" s="21"/>
      <c r="U105" s="10"/>
      <c r="V105" s="10"/>
      <c r="W105" s="10"/>
      <c r="X105" s="21"/>
      <c r="Y105" s="10"/>
      <c r="Z105" s="10"/>
      <c r="AA105" s="21"/>
      <c r="AB105" s="21"/>
      <c r="AC105" s="10"/>
      <c r="AD105" s="10"/>
      <c r="AE105" s="21"/>
      <c r="AF105" s="10"/>
      <c r="AG105" s="10"/>
      <c r="AH105" s="21"/>
      <c r="AI105" s="21"/>
      <c r="AJ105" s="10"/>
      <c r="AK105" s="10"/>
      <c r="AL105" s="17"/>
      <c r="AM105" s="11"/>
      <c r="AN105" s="11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1"/>
      <c r="BF105" s="259"/>
    </row>
    <row r="106" spans="1:58" s="381" customFormat="1" ht="42" customHeight="1" x14ac:dyDescent="0.25">
      <c r="A106" s="367">
        <v>730007</v>
      </c>
      <c r="B106" s="12" t="s">
        <v>5</v>
      </c>
      <c r="C106" s="56" t="s">
        <v>208</v>
      </c>
      <c r="D106" s="12" t="s">
        <v>6035</v>
      </c>
      <c r="E106" s="12" t="s">
        <v>6036</v>
      </c>
      <c r="F106" s="16" t="s">
        <v>6037</v>
      </c>
      <c r="G106" s="10" t="s">
        <v>15</v>
      </c>
      <c r="H106" s="10" t="s">
        <v>145</v>
      </c>
      <c r="I106" s="16" t="s">
        <v>18</v>
      </c>
      <c r="J106" s="14">
        <v>46093</v>
      </c>
      <c r="K106" s="13" t="s">
        <v>6038</v>
      </c>
      <c r="L106" s="14">
        <f t="shared" si="27"/>
        <v>46100</v>
      </c>
      <c r="M106" s="14">
        <v>46098</v>
      </c>
      <c r="N106" s="92">
        <f t="shared" ref="N106:N111" si="28">M106-L106</f>
        <v>-2</v>
      </c>
      <c r="O106" s="10" t="s">
        <v>6061</v>
      </c>
      <c r="P106" s="10" t="s">
        <v>5</v>
      </c>
      <c r="Q106" s="21">
        <v>46117</v>
      </c>
      <c r="R106" s="10" t="s">
        <v>6255</v>
      </c>
      <c r="S106" s="14">
        <f>Q106+7</f>
        <v>46124</v>
      </c>
      <c r="T106" s="21">
        <v>46125</v>
      </c>
      <c r="U106" s="92">
        <f>T106-S106</f>
        <v>1</v>
      </c>
      <c r="V106" s="10" t="s">
        <v>6263</v>
      </c>
      <c r="W106" s="10"/>
      <c r="X106" s="21"/>
      <c r="Y106" s="10"/>
      <c r="Z106" s="10"/>
      <c r="AA106" s="21"/>
      <c r="AB106" s="21"/>
      <c r="AC106" s="10"/>
      <c r="AD106" s="10"/>
      <c r="AE106" s="21"/>
      <c r="AF106" s="10"/>
      <c r="AG106" s="10"/>
      <c r="AH106" s="21"/>
      <c r="AI106" s="21"/>
      <c r="AJ106" s="10"/>
      <c r="AK106" s="10"/>
      <c r="AL106" s="17"/>
      <c r="AM106" s="11"/>
      <c r="AN106" s="11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1"/>
      <c r="BF106" s="259"/>
    </row>
    <row r="107" spans="1:58" s="381" customFormat="1" ht="42" customHeight="1" x14ac:dyDescent="0.25">
      <c r="A107" s="367">
        <v>730007</v>
      </c>
      <c r="B107" s="16" t="s">
        <v>5</v>
      </c>
      <c r="C107" s="56" t="s">
        <v>725</v>
      </c>
      <c r="D107" s="12" t="s">
        <v>6248</v>
      </c>
      <c r="E107" s="12" t="s">
        <v>6247</v>
      </c>
      <c r="F107" s="16" t="s">
        <v>6250</v>
      </c>
      <c r="G107" s="10" t="s">
        <v>15</v>
      </c>
      <c r="H107" s="10" t="s">
        <v>145</v>
      </c>
      <c r="I107" s="16" t="s">
        <v>3</v>
      </c>
      <c r="J107" s="14">
        <v>46117</v>
      </c>
      <c r="K107" s="13" t="s">
        <v>6249</v>
      </c>
      <c r="L107" s="14">
        <f t="shared" si="27"/>
        <v>46124</v>
      </c>
      <c r="M107" s="14">
        <v>46132</v>
      </c>
      <c r="N107" s="92">
        <f t="shared" si="28"/>
        <v>8</v>
      </c>
      <c r="O107" s="10" t="s">
        <v>6431</v>
      </c>
      <c r="P107" s="16" t="s">
        <v>3</v>
      </c>
      <c r="Q107" s="21">
        <v>46148</v>
      </c>
      <c r="R107" s="10" t="s">
        <v>6676</v>
      </c>
      <c r="S107" s="14">
        <f>Q107+7</f>
        <v>46155</v>
      </c>
      <c r="T107" s="21">
        <v>46160</v>
      </c>
      <c r="U107" s="92">
        <f>T107-S107</f>
        <v>5</v>
      </c>
      <c r="V107" s="10" t="s">
        <v>6679</v>
      </c>
      <c r="W107" s="10" t="s">
        <v>18</v>
      </c>
      <c r="X107" s="21">
        <v>46176</v>
      </c>
      <c r="Y107" s="10" t="s">
        <v>6936</v>
      </c>
      <c r="Z107" s="14">
        <f>X107+7</f>
        <v>46183</v>
      </c>
      <c r="AA107" s="21">
        <v>46183</v>
      </c>
      <c r="AB107" s="92">
        <f>AA107-Z107</f>
        <v>0</v>
      </c>
      <c r="AC107" s="10" t="s">
        <v>6939</v>
      </c>
      <c r="AD107" s="10" t="s">
        <v>5</v>
      </c>
      <c r="AE107" s="21">
        <v>46191</v>
      </c>
      <c r="AF107" s="10" t="s">
        <v>7030</v>
      </c>
      <c r="AG107" s="14">
        <f>AE107+7</f>
        <v>46198</v>
      </c>
      <c r="AH107" s="21">
        <v>46194</v>
      </c>
      <c r="AI107" s="13">
        <f>AH107-AG107</f>
        <v>-4</v>
      </c>
      <c r="AJ107" s="10" t="s">
        <v>7041</v>
      </c>
      <c r="AK107" s="10"/>
      <c r="AL107" s="17"/>
      <c r="AM107" s="11"/>
      <c r="AN107" s="11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1"/>
      <c r="BF107" s="259"/>
    </row>
    <row r="108" spans="1:58" s="381" customFormat="1" ht="42" customHeight="1" x14ac:dyDescent="0.25">
      <c r="A108" s="367">
        <v>730007</v>
      </c>
      <c r="B108" s="12" t="s">
        <v>18</v>
      </c>
      <c r="C108" s="56" t="s">
        <v>208</v>
      </c>
      <c r="D108" s="12" t="s">
        <v>6450</v>
      </c>
      <c r="E108" s="12" t="s">
        <v>6453</v>
      </c>
      <c r="F108" s="16" t="s">
        <v>6452</v>
      </c>
      <c r="G108" s="10" t="s">
        <v>15</v>
      </c>
      <c r="H108" s="10" t="s">
        <v>145</v>
      </c>
      <c r="I108" s="16" t="s">
        <v>18</v>
      </c>
      <c r="J108" s="14">
        <v>46131</v>
      </c>
      <c r="K108" s="13" t="s">
        <v>6451</v>
      </c>
      <c r="L108" s="14">
        <f>J108+7</f>
        <v>46138</v>
      </c>
      <c r="M108" s="14">
        <v>46141</v>
      </c>
      <c r="N108" s="92">
        <f t="shared" si="28"/>
        <v>3</v>
      </c>
      <c r="O108" s="10" t="s">
        <v>6460</v>
      </c>
      <c r="P108" s="10" t="s">
        <v>18</v>
      </c>
      <c r="Q108" s="21">
        <v>46188</v>
      </c>
      <c r="R108" s="10" t="s">
        <v>7001</v>
      </c>
      <c r="S108" s="14">
        <f>Q108+7</f>
        <v>46195</v>
      </c>
      <c r="T108" s="21">
        <v>46196</v>
      </c>
      <c r="U108" s="92">
        <f>T108-S108</f>
        <v>1</v>
      </c>
      <c r="V108" s="10" t="s">
        <v>7010</v>
      </c>
      <c r="W108" s="10"/>
      <c r="X108" s="21"/>
      <c r="Y108" s="10"/>
      <c r="Z108" s="10"/>
      <c r="AA108" s="21"/>
      <c r="AB108" s="21"/>
      <c r="AC108" s="10"/>
      <c r="AD108" s="10"/>
      <c r="AE108" s="21"/>
      <c r="AF108" s="10"/>
      <c r="AG108" s="10"/>
      <c r="AH108" s="21"/>
      <c r="AI108" s="21"/>
      <c r="AJ108" s="10"/>
      <c r="AK108" s="10"/>
      <c r="AL108" s="17"/>
      <c r="AM108" s="11"/>
      <c r="AN108" s="11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1"/>
      <c r="BF108" s="259"/>
    </row>
    <row r="109" spans="1:58" s="381" customFormat="1" ht="42" customHeight="1" x14ac:dyDescent="0.25">
      <c r="A109" s="367">
        <v>730007</v>
      </c>
      <c r="B109" s="12" t="s">
        <v>18</v>
      </c>
      <c r="C109" s="56" t="s">
        <v>54</v>
      </c>
      <c r="D109" s="12" t="s">
        <v>6840</v>
      </c>
      <c r="E109" s="12" t="s">
        <v>6842</v>
      </c>
      <c r="F109" s="16" t="s">
        <v>6841</v>
      </c>
      <c r="G109" s="10" t="s">
        <v>15</v>
      </c>
      <c r="H109" s="10" t="s">
        <v>145</v>
      </c>
      <c r="I109" s="16" t="s">
        <v>18</v>
      </c>
      <c r="J109" s="14">
        <v>46160</v>
      </c>
      <c r="K109" s="13" t="s">
        <v>6843</v>
      </c>
      <c r="L109" s="14">
        <f>J109+7</f>
        <v>46167</v>
      </c>
      <c r="M109" s="14">
        <v>46174</v>
      </c>
      <c r="N109" s="92">
        <f t="shared" si="28"/>
        <v>7</v>
      </c>
      <c r="O109" s="10" t="s">
        <v>6870</v>
      </c>
      <c r="P109" s="10"/>
      <c r="Q109" s="21"/>
      <c r="R109" s="10"/>
      <c r="S109" s="10"/>
      <c r="T109" s="21"/>
      <c r="U109" s="10"/>
      <c r="V109" s="10"/>
      <c r="W109" s="10"/>
      <c r="X109" s="21"/>
      <c r="Y109" s="10"/>
      <c r="Z109" s="10"/>
      <c r="AA109" s="21"/>
      <c r="AB109" s="21"/>
      <c r="AC109" s="10"/>
      <c r="AD109" s="10"/>
      <c r="AE109" s="21"/>
      <c r="AF109" s="10"/>
      <c r="AG109" s="10"/>
      <c r="AH109" s="21"/>
      <c r="AI109" s="21"/>
      <c r="AJ109" s="10"/>
      <c r="AK109" s="10"/>
      <c r="AL109" s="17"/>
      <c r="AM109" s="11"/>
      <c r="AN109" s="11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1"/>
      <c r="BF109" s="259"/>
    </row>
    <row r="110" spans="1:58" s="381" customFormat="1" ht="42" customHeight="1" x14ac:dyDescent="0.25">
      <c r="A110" s="367">
        <v>730007</v>
      </c>
      <c r="B110" s="16" t="s">
        <v>14</v>
      </c>
      <c r="C110" s="56" t="s">
        <v>54</v>
      </c>
      <c r="D110" s="12" t="s">
        <v>7015</v>
      </c>
      <c r="E110" s="12" t="s">
        <v>7016</v>
      </c>
      <c r="F110" s="16" t="s">
        <v>7017</v>
      </c>
      <c r="G110" s="10" t="s">
        <v>15</v>
      </c>
      <c r="H110" s="10" t="s">
        <v>145</v>
      </c>
      <c r="I110" s="16" t="s">
        <v>14</v>
      </c>
      <c r="J110" s="14">
        <v>46190</v>
      </c>
      <c r="K110" s="13" t="s">
        <v>7018</v>
      </c>
      <c r="L110" s="14">
        <f>J110+7</f>
        <v>46197</v>
      </c>
      <c r="M110" s="14">
        <v>46242</v>
      </c>
      <c r="N110" s="92">
        <f t="shared" si="28"/>
        <v>45</v>
      </c>
      <c r="O110" s="10" t="s">
        <v>7032</v>
      </c>
      <c r="P110" s="10"/>
      <c r="Q110" s="21"/>
      <c r="R110" s="10"/>
      <c r="S110" s="10"/>
      <c r="T110" s="21"/>
      <c r="U110" s="10"/>
      <c r="V110" s="10"/>
      <c r="W110" s="10"/>
      <c r="X110" s="21"/>
      <c r="Y110" s="10"/>
      <c r="Z110" s="10"/>
      <c r="AA110" s="21"/>
      <c r="AB110" s="21"/>
      <c r="AC110" s="10"/>
      <c r="AD110" s="10"/>
      <c r="AE110" s="21"/>
      <c r="AF110" s="10"/>
      <c r="AG110" s="10"/>
      <c r="AH110" s="21"/>
      <c r="AI110" s="21"/>
      <c r="AJ110" s="10"/>
      <c r="AK110" s="10"/>
      <c r="AL110" s="17"/>
      <c r="AM110" s="11"/>
      <c r="AN110" s="11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1"/>
      <c r="BF110" s="259"/>
    </row>
    <row r="111" spans="1:58" s="381" customFormat="1" ht="42" customHeight="1" x14ac:dyDescent="0.25">
      <c r="A111" s="367">
        <v>730007</v>
      </c>
      <c r="B111" s="494" t="s">
        <v>4</v>
      </c>
      <c r="C111" s="56" t="s">
        <v>54</v>
      </c>
      <c r="D111" s="12" t="s">
        <v>7534</v>
      </c>
      <c r="E111" s="12" t="s">
        <v>7536</v>
      </c>
      <c r="F111" s="494" t="s">
        <v>7535</v>
      </c>
      <c r="G111" s="10" t="s">
        <v>15</v>
      </c>
      <c r="H111" s="10" t="s">
        <v>145</v>
      </c>
      <c r="I111" s="494" t="s">
        <v>4</v>
      </c>
      <c r="J111" s="510">
        <v>46261</v>
      </c>
      <c r="K111" s="504" t="s">
        <v>7537</v>
      </c>
      <c r="L111" s="510">
        <f>J111+7</f>
        <v>46268</v>
      </c>
      <c r="M111" s="510"/>
      <c r="N111" s="92">
        <f t="shared" si="28"/>
        <v>-46268</v>
      </c>
      <c r="O111" s="496"/>
      <c r="P111" s="496"/>
      <c r="Q111" s="505"/>
      <c r="R111" s="496"/>
      <c r="S111" s="496"/>
      <c r="T111" s="505"/>
      <c r="U111" s="496"/>
      <c r="V111" s="496"/>
      <c r="W111" s="496"/>
      <c r="X111" s="505"/>
      <c r="Y111" s="496"/>
      <c r="Z111" s="496"/>
      <c r="AA111" s="505"/>
      <c r="AB111" s="505"/>
      <c r="AC111" s="496"/>
      <c r="AD111" s="496"/>
      <c r="AE111" s="505"/>
      <c r="AF111" s="496"/>
      <c r="AG111" s="496"/>
      <c r="AH111" s="505"/>
      <c r="AI111" s="505"/>
      <c r="AJ111" s="496"/>
      <c r="AK111" s="496"/>
      <c r="AL111" s="507"/>
      <c r="AM111" s="502"/>
      <c r="AN111" s="502"/>
      <c r="AO111" s="507"/>
      <c r="AP111" s="507"/>
      <c r="AQ111" s="507"/>
      <c r="AR111" s="507"/>
      <c r="AS111" s="507"/>
      <c r="AT111" s="507"/>
      <c r="AU111" s="507"/>
      <c r="AV111" s="507"/>
      <c r="AW111" s="507"/>
      <c r="AX111" s="507"/>
      <c r="AY111" s="507"/>
      <c r="AZ111" s="507"/>
      <c r="BA111" s="507"/>
      <c r="BB111" s="507"/>
      <c r="BC111" s="507"/>
      <c r="BD111" s="507"/>
      <c r="BE111" s="502"/>
      <c r="BF111" s="501"/>
    </row>
    <row r="112" spans="1:58" s="381" customFormat="1" ht="42" customHeight="1" thickBot="1" x14ac:dyDescent="0.3">
      <c r="A112" s="369"/>
      <c r="B112" s="370"/>
      <c r="C112" s="477"/>
      <c r="D112" s="371"/>
      <c r="E112" s="370"/>
      <c r="F112" s="262"/>
      <c r="G112" s="263"/>
      <c r="H112" s="263"/>
      <c r="I112" s="262"/>
      <c r="J112" s="474"/>
      <c r="K112" s="373"/>
      <c r="L112" s="373"/>
      <c r="M112" s="474"/>
      <c r="N112" s="425"/>
      <c r="O112" s="263"/>
      <c r="P112" s="263"/>
      <c r="Q112" s="374"/>
      <c r="R112" s="263"/>
      <c r="S112" s="263"/>
      <c r="T112" s="374"/>
      <c r="U112" s="263"/>
      <c r="V112" s="263"/>
      <c r="W112" s="263"/>
      <c r="X112" s="374"/>
      <c r="Y112" s="263"/>
      <c r="Z112" s="263"/>
      <c r="AA112" s="374"/>
      <c r="AB112" s="374"/>
      <c r="AC112" s="263"/>
      <c r="AD112" s="263"/>
      <c r="AE112" s="374"/>
      <c r="AF112" s="263"/>
      <c r="AG112" s="263"/>
      <c r="AH112" s="374"/>
      <c r="AI112" s="374"/>
      <c r="AJ112" s="263"/>
      <c r="AK112" s="263"/>
      <c r="AL112" s="376"/>
      <c r="AM112" s="371"/>
      <c r="AN112" s="371"/>
      <c r="AO112" s="376"/>
      <c r="AP112" s="376"/>
      <c r="AQ112" s="376"/>
      <c r="AR112" s="376"/>
      <c r="AS112" s="376"/>
      <c r="AT112" s="376"/>
      <c r="AU112" s="376"/>
      <c r="AV112" s="376"/>
      <c r="AW112" s="376"/>
      <c r="AX112" s="376"/>
      <c r="AY112" s="376"/>
      <c r="AZ112" s="376"/>
      <c r="BA112" s="376"/>
      <c r="BB112" s="376"/>
      <c r="BC112" s="376"/>
      <c r="BD112" s="376"/>
      <c r="BE112" s="371"/>
      <c r="BF112" s="266"/>
    </row>
  </sheetData>
  <autoFilter ref="A11:BF11" xr:uid="{00000000-0001-0000-0F00-000000000000}"/>
  <mergeCells count="18">
    <mergeCell ref="A10:A11"/>
    <mergeCell ref="H1:H2"/>
    <mergeCell ref="I1:I2"/>
    <mergeCell ref="AR10:AX10"/>
    <mergeCell ref="AY10:BE10"/>
    <mergeCell ref="G10:G11"/>
    <mergeCell ref="B10:B11"/>
    <mergeCell ref="C10:C11"/>
    <mergeCell ref="D10:D11"/>
    <mergeCell ref="E10:E11"/>
    <mergeCell ref="F10:F11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0:XFD10">
    <cfRule type="cellIs" dxfId="3957" priority="1" operator="equal">
      <formula>"E - Review not Required - Proceed"</formula>
    </cfRule>
    <cfRule type="cellIs" dxfId="3956" priority="2" operator="equal">
      <formula>"D - Rejected"</formula>
    </cfRule>
    <cfRule type="cellIs" dxfId="3955" priority="3" operator="equal">
      <formula>"B- Incorporate Comments - Proceed"</formula>
    </cfRule>
    <cfRule type="cellIs" dxfId="3954" priority="4" operator="equal">
      <formula>"C - Revise and Resubmit - Do Not Proceed"</formula>
    </cfRule>
    <cfRule type="cellIs" dxfId="3953" priority="5" operator="equal">
      <formula>"A - Work May Proceed"</formula>
    </cfRule>
  </conditionalFormatting>
  <conditionalFormatting sqref="B80">
    <cfRule type="cellIs" dxfId="3952" priority="10" stopIfTrue="1" operator="equal">
      <formula>"A - Work May Proceed"</formula>
    </cfRule>
  </conditionalFormatting>
  <conditionalFormatting sqref="B82">
    <cfRule type="cellIs" dxfId="3951" priority="51" stopIfTrue="1" operator="equal">
      <formula>"A - Work May Proceed"</formula>
    </cfRule>
  </conditionalFormatting>
  <conditionalFormatting sqref="B85:B86">
    <cfRule type="cellIs" dxfId="3950" priority="41" stopIfTrue="1" operator="equal">
      <formula>"A - Work May Proceed"</formula>
    </cfRule>
  </conditionalFormatting>
  <conditionalFormatting sqref="B86:B87">
    <cfRule type="cellIs" dxfId="3949" priority="31" stopIfTrue="1" operator="equal">
      <formula>"A - Work May Proceed"</formula>
    </cfRule>
  </conditionalFormatting>
  <conditionalFormatting sqref="B86:C86 B87:D90 X1:XFD9 B12:BE79 BF12:XFD86 C80:BE80 B81:BE81 K81:K92 C82:D82 G82:H82 J82 L82:BE83 E82:F84 B83:D84 G83:J84 L84:AL84 AN84:BE84 C85:D86 G85:H86 J85:J86 L85:BE86 E85:E90 F85:F92 G87:J89 L87:XFD89 G90:XFD92 B91:E93 F93:XFD93 B94:XFD111 B110:B112 D112:XFD112">
    <cfRule type="cellIs" dxfId="3948" priority="61" operator="equal">
      <formula>"A - Work May Proceed"</formula>
    </cfRule>
  </conditionalFormatting>
  <conditionalFormatting sqref="B82:F94 B94:XFD111 B110:B112 D112:XFD112">
    <cfRule type="cellIs" dxfId="3947" priority="40" operator="equal">
      <formula>"C - Revise and Resubmit - Do Not Proceed"</formula>
    </cfRule>
    <cfRule type="cellIs" dxfId="3946" priority="39" operator="equal">
      <formula>"B- Incorporate Comments - Proceed"</formula>
    </cfRule>
    <cfRule type="cellIs" dxfId="3945" priority="38" operator="equal">
      <formula>"D - Rejected"</formula>
    </cfRule>
    <cfRule type="cellIs" dxfId="3944" priority="37" operator="equal">
      <formula>"E - Review not Required - Proceed"</formula>
    </cfRule>
  </conditionalFormatting>
  <conditionalFormatting sqref="B12:XFD81">
    <cfRule type="cellIs" dxfId="3943" priority="6" operator="equal">
      <formula>"E - Review not Required - Proceed"</formula>
    </cfRule>
    <cfRule type="cellIs" dxfId="3942" priority="8" operator="equal">
      <formula>"B- Incorporate Comments - Proceed"</formula>
    </cfRule>
    <cfRule type="cellIs" dxfId="3941" priority="9" operator="equal">
      <formula>"C - Revise and Resubmit - Do Not Proceed"</formula>
    </cfRule>
    <cfRule type="cellIs" dxfId="3940" priority="7" operator="equal">
      <formula>"D - Rejected"</formula>
    </cfRule>
  </conditionalFormatting>
  <conditionalFormatting sqref="D11:BE11 B1:G2 B3:H4 B9:H9">
    <cfRule type="cellIs" dxfId="3939" priority="104" operator="equal">
      <formula>"B- Incorporate Comments - Proceed"</formula>
    </cfRule>
    <cfRule type="cellIs" dxfId="3938" priority="106" operator="equal">
      <formula>"A - Work May Proceed"</formula>
    </cfRule>
    <cfRule type="cellIs" dxfId="3937" priority="105" operator="equal">
      <formula>"C - Revise and Resubmit - Do Not Proceed"</formula>
    </cfRule>
    <cfRule type="cellIs" dxfId="3936" priority="102" operator="equal">
      <formula>"E - Review not Required - Proceed"</formula>
    </cfRule>
    <cfRule type="cellIs" dxfId="3935" priority="103" operator="equal">
      <formula>"D - Rejected"</formula>
    </cfRule>
  </conditionalFormatting>
  <conditionalFormatting sqref="G82:J89 G90:I91 G92:H111">
    <cfRule type="cellIs" dxfId="3934" priority="34" operator="equal">
      <formula>"B- Incorporate Comments - Proceed"</formula>
    </cfRule>
    <cfRule type="cellIs" dxfId="3933" priority="35" operator="equal">
      <formula>"C - Revise and Resubmit - Do Not Proceed"</formula>
    </cfRule>
    <cfRule type="cellIs" dxfId="3932" priority="32" operator="equal">
      <formula>"E - Review not Required - Proceed"</formula>
    </cfRule>
    <cfRule type="cellIs" dxfId="3931" priority="33" operator="equal">
      <formula>"D - Rejected"</formula>
    </cfRule>
  </conditionalFormatting>
  <conditionalFormatting sqref="I11">
    <cfRule type="cellIs" dxfId="3930" priority="181" operator="between">
      <formula>"E - Review not Required - Proceed"</formula>
      <formula>"E - Review not Required - Proceed"</formula>
    </cfRule>
    <cfRule type="cellIs" dxfId="3929" priority="180" operator="between">
      <formula>"B - Incorporate Comments - Proceed"</formula>
      <formula>"B - Incorporate Comments - Proceed"</formula>
    </cfRule>
    <cfRule type="cellIs" dxfId="3928" priority="185" operator="between">
      <formula>"C - Revise and Resubmit - Do Not Proceed"</formula>
      <formula>"C - Revise and Resubmit - Do Not Proceed"</formula>
    </cfRule>
    <cfRule type="cellIs" dxfId="3927" priority="172" operator="equal">
      <formula>"For Information"</formula>
    </cfRule>
    <cfRule type="cellIs" dxfId="3926" priority="173" operator="equal">
      <formula>"B - Incorporate Comments - Proceed "</formula>
    </cfRule>
    <cfRule type="cellIs" dxfId="3925" priority="186" stopIfTrue="1" operator="between">
      <formula>"B - Incorporate Comments - Proceed "</formula>
      <formula>"B - Incorporate Comments - Proceed "</formula>
    </cfRule>
    <cfRule type="cellIs" dxfId="3924" priority="171" operator="equal">
      <formula>"B - Incorporate Comments - Proceed"</formula>
    </cfRule>
    <cfRule type="cellIs" dxfId="3923" priority="174" operator="equal">
      <formula>"E - Review Not Required - Proceed"</formula>
    </cfRule>
    <cfRule type="cellIs" dxfId="3922" priority="175" operator="between">
      <formula>"E - Review not Required - Proceed"</formula>
      <formula>"E - Review not Required - Proceed"</formula>
    </cfRule>
    <cfRule type="cellIs" dxfId="3921" priority="176" operator="between">
      <formula>"'D - Rejected "</formula>
      <formula>"'D - Rejected "</formula>
    </cfRule>
    <cfRule type="cellIs" dxfId="3920" priority="177" operator="between">
      <formula>"C - Revise and Resubmit - Do Not Proceed"</formula>
      <formula>"C - Revise and Resubmit - Do Not Proceed"</formula>
    </cfRule>
    <cfRule type="cellIs" dxfId="3919" priority="178" operator="between">
      <formula>"B - Incorporate Comments - Proceed"</formula>
      <formula>"B - Incorporate Comments - Proceed"</formula>
    </cfRule>
    <cfRule type="cellIs" dxfId="3918" priority="179" operator="between">
      <formula>"A - Work May Proceed"</formula>
      <formula>"A - Work May Proceed"</formula>
    </cfRule>
    <cfRule type="cellIs" dxfId="3917" priority="182" operator="between">
      <formula>"D - Rejected "</formula>
      <formula>"D - Rejected "</formula>
    </cfRule>
    <cfRule type="cellIs" dxfId="3916" priority="184" operator="between">
      <formula>"A - Work May Proceed"</formula>
      <formula>"A - Work May Proceed"</formula>
    </cfRule>
    <cfRule type="cellIs" dxfId="3915" priority="183" operator="between">
      <formula>"CANCELLED"</formula>
      <formula>"CANCELLED"</formula>
    </cfRule>
  </conditionalFormatting>
  <conditionalFormatting sqref="I82">
    <cfRule type="cellIs" dxfId="3914" priority="46" stopIfTrue="1" operator="equal">
      <formula>"A - Work May Proceed"</formula>
    </cfRule>
  </conditionalFormatting>
  <conditionalFormatting sqref="I85:I86">
    <cfRule type="cellIs" dxfId="3913" priority="36" stopIfTrue="1" operator="equal">
      <formula>"A - Work May Proceed"</formula>
    </cfRule>
  </conditionalFormatting>
  <conditionalFormatting sqref="J5:J6 B5:I7 B8:J8">
    <cfRule type="cellIs" dxfId="3912" priority="53" operator="equal">
      <formula>"D - Rejected"</formula>
    </cfRule>
    <cfRule type="cellIs" dxfId="3911" priority="54" operator="equal">
      <formula>"B- Incorporate Comments - Proceed"</formula>
    </cfRule>
    <cfRule type="cellIs" dxfId="3910" priority="55" operator="equal">
      <formula>"C - Revise and Resubmit - Do Not Proceed"</formula>
    </cfRule>
    <cfRule type="cellIs" dxfId="3909" priority="56" stopIfTrue="1" operator="equal">
      <formula>"A - Work May Proceed"</formula>
    </cfRule>
    <cfRule type="cellIs" dxfId="3908" priority="52" operator="equal">
      <formula>"E - Review not Required - Proceed"</formula>
    </cfRule>
  </conditionalFormatting>
  <conditionalFormatting sqref="P11">
    <cfRule type="cellIs" dxfId="3907" priority="163" operator="between">
      <formula>"A - Work May Proceed"</formula>
      <formula>"A - Work May Proceed"</formula>
    </cfRule>
    <cfRule type="cellIs" dxfId="3906" priority="165" operator="between">
      <formula>"E - Review not Required - Proceed"</formula>
      <formula>"E - Review not Required - Proceed"</formula>
    </cfRule>
    <cfRule type="cellIs" dxfId="3905" priority="166" operator="between">
      <formula>"D - Rejected "</formula>
      <formula>"D - Rejected "</formula>
    </cfRule>
    <cfRule type="cellIs" dxfId="3904" priority="167" operator="between">
      <formula>"CANCELLED"</formula>
      <formula>"CANCELLED"</formula>
    </cfRule>
    <cfRule type="cellIs" dxfId="3903" priority="168" operator="between">
      <formula>"A - Work May Proceed"</formula>
      <formula>"A - Work May Proceed"</formula>
    </cfRule>
    <cfRule type="cellIs" dxfId="3902" priority="169" operator="between">
      <formula>"C - Revise and Resubmit - Do Not Proceed"</formula>
      <formula>"C - Revise and Resubmit - Do Not Proceed"</formula>
    </cfRule>
    <cfRule type="cellIs" dxfId="3901" priority="170" stopIfTrue="1" operator="between">
      <formula>"B - Incorporate Comments - Proceed "</formula>
      <formula>"B - Incorporate Comments - Proceed "</formula>
    </cfRule>
    <cfRule type="cellIs" dxfId="3900" priority="164" operator="between">
      <formula>"B - Incorporate Comments - Proceed"</formula>
      <formula>"B - Incorporate Comments - Proceed"</formula>
    </cfRule>
    <cfRule type="cellIs" dxfId="3899" priority="155" operator="equal">
      <formula>"B - Incorporate Comments - Proceed"</formula>
    </cfRule>
    <cfRule type="cellIs" dxfId="3898" priority="156" operator="equal">
      <formula>"For Information"</formula>
    </cfRule>
    <cfRule type="cellIs" dxfId="3897" priority="157" operator="equal">
      <formula>"B - Incorporate Comments - Proceed "</formula>
    </cfRule>
    <cfRule type="cellIs" dxfId="3896" priority="158" operator="equal">
      <formula>"E - Review Not Required - Proceed"</formula>
    </cfRule>
    <cfRule type="cellIs" dxfId="3895" priority="159" operator="between">
      <formula>"E - Review not Required - Proceed"</formula>
      <formula>"E - Review not Required - Proceed"</formula>
    </cfRule>
    <cfRule type="cellIs" dxfId="3894" priority="160" operator="between">
      <formula>"'D - Rejected "</formula>
      <formula>"'D - Rejected "</formula>
    </cfRule>
    <cfRule type="cellIs" dxfId="3893" priority="161" operator="between">
      <formula>"C - Revise and Resubmit - Do Not Proceed"</formula>
      <formula>"C - Revise and Resubmit - Do Not Proceed"</formula>
    </cfRule>
    <cfRule type="cellIs" dxfId="3892" priority="162" operator="between">
      <formula>"B - Incorporate Comments - Proceed"</formula>
      <formula>"B - Incorporate Comments - Proceed"</formula>
    </cfRule>
  </conditionalFormatting>
  <conditionalFormatting sqref="S96:U96 S97 U97">
    <cfRule type="cellIs" dxfId="3891" priority="27" operator="equal">
      <formula>"E - Review not Required - Proceed"</formula>
    </cfRule>
    <cfRule type="cellIs" dxfId="3890" priority="28" operator="equal">
      <formula>"D - Rejected"</formula>
    </cfRule>
    <cfRule type="cellIs" dxfId="3889" priority="29" operator="equal">
      <formula>"B- Incorporate Comments - Proceed"</formula>
    </cfRule>
    <cfRule type="cellIs" dxfId="3888" priority="30" operator="equal">
      <formula>"C - Revise and Resubmit - Do Not Proceed"</formula>
    </cfRule>
  </conditionalFormatting>
  <conditionalFormatting sqref="S99:U100 S101 U101">
    <cfRule type="cellIs" dxfId="3887" priority="26" operator="equal">
      <formula>"C - Revise and Resubmit - Do Not Proceed"</formula>
    </cfRule>
    <cfRule type="cellIs" dxfId="3886" priority="23" operator="equal">
      <formula>"E - Review not Required - Proceed"</formula>
    </cfRule>
    <cfRule type="cellIs" dxfId="3885" priority="24" operator="equal">
      <formula>"D - Rejected"</formula>
    </cfRule>
    <cfRule type="cellIs" dxfId="3884" priority="25" operator="equal">
      <formula>"B- Incorporate Comments - Proceed"</formula>
    </cfRule>
  </conditionalFormatting>
  <conditionalFormatting sqref="W11">
    <cfRule type="cellIs" dxfId="3883" priority="145" operator="between">
      <formula>"C - Revise and Resubmit - Do Not Proceed"</formula>
      <formula>"C - Revise and Resubmit - Do Not Proceed"</formula>
    </cfRule>
    <cfRule type="cellIs" dxfId="3882" priority="142" operator="equal">
      <formula>"E - Review Not Required - Proceed"</formula>
    </cfRule>
    <cfRule type="cellIs" dxfId="3881" priority="148" operator="between">
      <formula>"B - Incorporate Comments - Proceed"</formula>
      <formula>"B - Incorporate Comments - Proceed"</formula>
    </cfRule>
    <cfRule type="cellIs" dxfId="3880" priority="153" operator="between">
      <formula>"C - Revise and Resubmit - Do Not Proceed"</formula>
      <formula>"C - Revise and Resubmit - Do Not Proceed"</formula>
    </cfRule>
    <cfRule type="cellIs" dxfId="3879" priority="152" operator="between">
      <formula>"A - Work May Proceed"</formula>
      <formula>"A - Work May Proceed"</formula>
    </cfRule>
    <cfRule type="cellIs" dxfId="3878" priority="151" operator="between">
      <formula>"CANCELLED"</formula>
      <formula>"CANCELLED"</formula>
    </cfRule>
    <cfRule type="cellIs" dxfId="3877" priority="150" operator="between">
      <formula>"D - Rejected "</formula>
      <formula>"D - Rejected "</formula>
    </cfRule>
    <cfRule type="cellIs" dxfId="3876" priority="149" operator="between">
      <formula>"E - Review not Required - Proceed"</formula>
      <formula>"E - Review not Required - Proceed"</formula>
    </cfRule>
    <cfRule type="cellIs" dxfId="3875" priority="147" operator="between">
      <formula>"A - Work May Proceed"</formula>
      <formula>"A - Work May Proceed"</formula>
    </cfRule>
    <cfRule type="cellIs" dxfId="3874" priority="146" operator="between">
      <formula>"B - Incorporate Comments - Proceed"</formula>
      <formula>"B - Incorporate Comments - Proceed"</formula>
    </cfRule>
    <cfRule type="cellIs" dxfId="3873" priority="144" operator="between">
      <formula>"'D - Rejected "</formula>
      <formula>"'D - Rejected "</formula>
    </cfRule>
    <cfRule type="cellIs" dxfId="3872" priority="143" operator="between">
      <formula>"E - Review not Required - Proceed"</formula>
      <formula>"E - Review not Required - Proceed"</formula>
    </cfRule>
    <cfRule type="cellIs" dxfId="3871" priority="154" stopIfTrue="1" operator="between">
      <formula>"B - Incorporate Comments - Proceed "</formula>
      <formula>"B - Incorporate Comments - Proceed "</formula>
    </cfRule>
    <cfRule type="cellIs" dxfId="3870" priority="141" operator="equal">
      <formula>"B - Incorporate Comments - Proceed "</formula>
    </cfRule>
    <cfRule type="cellIs" dxfId="3869" priority="140" operator="equal">
      <formula>"For Information"</formula>
    </cfRule>
    <cfRule type="cellIs" dxfId="3868" priority="139" operator="equal">
      <formula>"B - Incorporate Comments - Proceed"</formula>
    </cfRule>
  </conditionalFormatting>
  <conditionalFormatting sqref="X1:XFD9 K81:K92 L82:BE83 BF82:XFD86 L84:AL84 AN84:BE84 L85:BE86 L87:XFD89 G90:XFD93">
    <cfRule type="cellIs" dxfId="3867" priority="58" operator="equal">
      <formula>"D - Rejected"</formula>
    </cfRule>
    <cfRule type="cellIs" dxfId="3866" priority="59" operator="equal">
      <formula>"B- Incorporate Comments - Proceed"</formula>
    </cfRule>
    <cfRule type="cellIs" dxfId="3865" priority="60" operator="equal">
      <formula>"C - Revise and Resubmit - Do Not Proceed"</formula>
    </cfRule>
    <cfRule type="cellIs" dxfId="3864" priority="57" operator="equal">
      <formula>"E - Review not Required - Proceed"</formula>
    </cfRule>
  </conditionalFormatting>
  <conditionalFormatting sqref="Z97 AB97">
    <cfRule type="cellIs" dxfId="3863" priority="19" operator="equal">
      <formula>"E - Review not Required - Proceed"</formula>
    </cfRule>
    <cfRule type="cellIs" dxfId="3862" priority="20" operator="equal">
      <formula>"D - Rejected"</formula>
    </cfRule>
    <cfRule type="cellIs" dxfId="3861" priority="21" operator="equal">
      <formula>"B- Incorporate Comments - Proceed"</formula>
    </cfRule>
    <cfRule type="cellIs" dxfId="3860" priority="22" operator="equal">
      <formula>"C - Revise and Resubmit - Do Not Proceed"</formula>
    </cfRule>
  </conditionalFormatting>
  <conditionalFormatting sqref="AD11">
    <cfRule type="cellIs" dxfId="3859" priority="127" operator="between">
      <formula>"E - Review not Required - Proceed"</formula>
      <formula>"E - Review not Required - Proceed"</formula>
    </cfRule>
    <cfRule type="cellIs" dxfId="3858" priority="128" operator="between">
      <formula>"'D - Rejected "</formula>
      <formula>"'D - Rejected "</formula>
    </cfRule>
    <cfRule type="cellIs" dxfId="3857" priority="129" operator="between">
      <formula>"C - Revise and Resubmit - Do Not Proceed"</formula>
      <formula>"C - Revise and Resubmit - Do Not Proceed"</formula>
    </cfRule>
    <cfRule type="cellIs" dxfId="3856" priority="131" operator="between">
      <formula>"A - Work May Proceed"</formula>
      <formula>"A - Work May Proceed"</formula>
    </cfRule>
    <cfRule type="cellIs" dxfId="3855" priority="130" operator="between">
      <formula>"B - Incorporate Comments - Proceed"</formula>
      <formula>"B - Incorporate Comments - Proceed"</formula>
    </cfRule>
    <cfRule type="cellIs" dxfId="3854" priority="138" stopIfTrue="1" operator="between">
      <formula>"B - Incorporate Comments - Proceed "</formula>
      <formula>"B - Incorporate Comments - Proceed "</formula>
    </cfRule>
    <cfRule type="cellIs" dxfId="3853" priority="137" operator="between">
      <formula>"C - Revise and Resubmit - Do Not Proceed"</formula>
      <formula>"C - Revise and Resubmit - Do Not Proceed"</formula>
    </cfRule>
    <cfRule type="cellIs" dxfId="3852" priority="136" operator="between">
      <formula>"A - Work May Proceed"</formula>
      <formula>"A - Work May Proceed"</formula>
    </cfRule>
    <cfRule type="cellIs" dxfId="3851" priority="135" operator="between">
      <formula>"CANCELLED"</formula>
      <formula>"CANCELLED"</formula>
    </cfRule>
    <cfRule type="cellIs" dxfId="3850" priority="134" operator="between">
      <formula>"D - Rejected "</formula>
      <formula>"D - Rejected "</formula>
    </cfRule>
    <cfRule type="cellIs" dxfId="3849" priority="133" operator="between">
      <formula>"E - Review not Required - Proceed"</formula>
      <formula>"E - Review not Required - Proceed"</formula>
    </cfRule>
    <cfRule type="cellIs" dxfId="3848" priority="132" operator="between">
      <formula>"B - Incorporate Comments - Proceed"</formula>
      <formula>"B - Incorporate Comments - Proceed"</formula>
    </cfRule>
    <cfRule type="cellIs" dxfId="3847" priority="123" operator="equal">
      <formula>"B - Incorporate Comments - Proceed"</formula>
    </cfRule>
    <cfRule type="cellIs" dxfId="3846" priority="124" operator="equal">
      <formula>"For Information"</formula>
    </cfRule>
    <cfRule type="cellIs" dxfId="3845" priority="125" operator="equal">
      <formula>"B - Incorporate Comments - Proceed "</formula>
    </cfRule>
    <cfRule type="cellIs" dxfId="3844" priority="126" operator="equal">
      <formula>"E - Review Not Required - Proceed"</formula>
    </cfRule>
  </conditionalFormatting>
  <conditionalFormatting sqref="AG97 AI97">
    <cfRule type="cellIs" dxfId="3843" priority="15" operator="equal">
      <formula>"E - Review not Required - Proceed"</formula>
    </cfRule>
    <cfRule type="cellIs" dxfId="3842" priority="16" operator="equal">
      <formula>"D - Rejected"</formula>
    </cfRule>
    <cfRule type="cellIs" dxfId="3841" priority="18" operator="equal">
      <formula>"C - Revise and Resubmit - Do Not Proceed"</formula>
    </cfRule>
    <cfRule type="cellIs" dxfId="3840" priority="17" operator="equal">
      <formula>"B- Incorporate Comments - Proceed"</formula>
    </cfRule>
  </conditionalFormatting>
  <conditionalFormatting sqref="AG107 AI107">
    <cfRule type="cellIs" dxfId="3839" priority="12" operator="equal">
      <formula>"D - Rejected"</formula>
    </cfRule>
    <cfRule type="cellIs" dxfId="3838" priority="13" operator="equal">
      <formula>"B- Incorporate Comments - Proceed"</formula>
    </cfRule>
    <cfRule type="cellIs" dxfId="3837" priority="14" operator="equal">
      <formula>"C - Revise and Resubmit - Do Not Proceed"</formula>
    </cfRule>
    <cfRule type="cellIs" dxfId="3836" priority="11" operator="equal">
      <formula>"E - Review not Required - Proceed"</formula>
    </cfRule>
  </conditionalFormatting>
  <conditionalFormatting sqref="AK11">
    <cfRule type="cellIs" dxfId="3835" priority="115" operator="between">
      <formula>"A - Work May Proceed"</formula>
      <formula>"A - Work May Proceed"</formula>
    </cfRule>
    <cfRule type="cellIs" dxfId="3834" priority="122" stopIfTrue="1" operator="between">
      <formula>"B - Incorporate Comments - Proceed "</formula>
      <formula>"B - Incorporate Comments - Proceed "</formula>
    </cfRule>
    <cfRule type="cellIs" dxfId="3833" priority="121" operator="between">
      <formula>"C - Revise and Resubmit - Do Not Proceed"</formula>
      <formula>"C - Revise and Resubmit - Do Not Proceed"</formula>
    </cfRule>
    <cfRule type="cellIs" dxfId="3832" priority="112" operator="between">
      <formula>"'D - Rejected "</formula>
      <formula>"'D - Rejected "</formula>
    </cfRule>
    <cfRule type="cellIs" dxfId="3831" priority="119" operator="between">
      <formula>"CANCELLED"</formula>
      <formula>"CANCELLED"</formula>
    </cfRule>
    <cfRule type="cellIs" dxfId="3830" priority="118" operator="between">
      <formula>"D - Rejected "</formula>
      <formula>"D - Rejected "</formula>
    </cfRule>
    <cfRule type="cellIs" dxfId="3829" priority="116" operator="between">
      <formula>"B - Incorporate Comments - Proceed"</formula>
      <formula>"B - Incorporate Comments - Proceed"</formula>
    </cfRule>
    <cfRule type="cellIs" dxfId="3828" priority="117" operator="between">
      <formula>"E - Review not Required - Proceed"</formula>
      <formula>"E - Review not Required - Proceed"</formula>
    </cfRule>
    <cfRule type="cellIs" dxfId="3827" priority="114" operator="between">
      <formula>"B - Incorporate Comments - Proceed"</formula>
      <formula>"B - Incorporate Comments - Proceed"</formula>
    </cfRule>
    <cfRule type="cellIs" dxfId="3826" priority="120" operator="between">
      <formula>"A - Work May Proceed"</formula>
      <formula>"A - Work May Proceed"</formula>
    </cfRule>
    <cfRule type="cellIs" dxfId="3825" priority="107" operator="equal">
      <formula>"B - Incorporate Comments - Proceed"</formula>
    </cfRule>
    <cfRule type="cellIs" dxfId="3824" priority="111" operator="between">
      <formula>"E - Review not Required - Proceed"</formula>
      <formula>"E - Review not Required - Proceed"</formula>
    </cfRule>
    <cfRule type="cellIs" dxfId="3823" priority="110" operator="equal">
      <formula>"E - Review Not Required - Proceed"</formula>
    </cfRule>
    <cfRule type="cellIs" dxfId="3822" priority="109" operator="equal">
      <formula>"B - Incorporate Comments - Proceed "</formula>
    </cfRule>
    <cfRule type="cellIs" dxfId="3821" priority="108" operator="equal">
      <formula>"For Information"</formula>
    </cfRule>
    <cfRule type="cellIs" dxfId="3820" priority="113" operator="between">
      <formula>"C - Revise and Resubmit - Do Not Proceed"</formula>
      <formula>"C - Revise and Resubmit - Do Not Proceed"</formula>
    </cfRule>
  </conditionalFormatting>
  <conditionalFormatting sqref="AR11">
    <cfRule type="cellIs" dxfId="3819" priority="74" operator="between">
      <formula>"A - Work May Proceed"</formula>
      <formula>"A - Work May Proceed"</formula>
    </cfRule>
    <cfRule type="cellIs" dxfId="3818" priority="73" operator="between">
      <formula>"B - Incorporate Comments - Proceed"</formula>
      <formula>"B - Incorporate Comments - Proceed"</formula>
    </cfRule>
    <cfRule type="cellIs" dxfId="3817" priority="62" operator="equal">
      <formula>"E - Review not Required - Proceed"</formula>
    </cfRule>
    <cfRule type="cellIs" dxfId="3816" priority="72" operator="between">
      <formula>"C - Revise and Resubmit - Do Not Proceed"</formula>
      <formula>"C - Revise and Resubmit - Do Not Proceed"</formula>
    </cfRule>
    <cfRule type="cellIs" dxfId="3815" priority="71" operator="between">
      <formula>"'D - Rejected "</formula>
      <formula>"'D - Rejected "</formula>
    </cfRule>
    <cfRule type="cellIs" dxfId="3814" priority="70" operator="between">
      <formula>"E - Review not Required - Proceed"</formula>
      <formula>"E - Review not Required - Proceed"</formula>
    </cfRule>
    <cfRule type="cellIs" dxfId="3813" priority="69" operator="equal">
      <formula>"E - Review Not Required - Proceed"</formula>
    </cfRule>
    <cfRule type="cellIs" dxfId="3812" priority="68" operator="equal">
      <formula>"B - Incorporate Comments - Proceed "</formula>
    </cfRule>
    <cfRule type="cellIs" dxfId="3811" priority="67" operator="equal">
      <formula>"For Information"</formula>
    </cfRule>
    <cfRule type="cellIs" dxfId="3810" priority="65" operator="equal">
      <formula>"C - Revise and Resubmit - Do Not Proceed"</formula>
    </cfRule>
    <cfRule type="cellIs" dxfId="3809" priority="64" operator="equal">
      <formula>"B - Incorporate Comments - Proceed"</formula>
    </cfRule>
    <cfRule type="cellIs" dxfId="3808" priority="63" operator="equal">
      <formula>"D - Rejected"</formula>
    </cfRule>
    <cfRule type="cellIs" dxfId="3807" priority="66" operator="equal">
      <formula>"A - Work May Proceed"</formula>
    </cfRule>
    <cfRule type="cellIs" dxfId="3806" priority="76" operator="between">
      <formula>"E - Review not Required - Proceed"</formula>
      <formula>"E - Review not Required - Proceed"</formula>
    </cfRule>
    <cfRule type="cellIs" dxfId="3805" priority="75" operator="between">
      <formula>"B - Incorporate Comments - Proceed"</formula>
      <formula>"B - Incorporate Comments - Proceed"</formula>
    </cfRule>
    <cfRule type="cellIs" dxfId="3804" priority="81" stopIfTrue="1" operator="between">
      <formula>"B - Incorporate Comments - Proceed "</formula>
      <formula>"B - Incorporate Comments - Proceed "</formula>
    </cfRule>
    <cfRule type="cellIs" dxfId="3803" priority="80" operator="between">
      <formula>"C - Revise and Resubmit - Do Not Proceed"</formula>
      <formula>"C - Revise and Resubmit - Do Not Proceed"</formula>
    </cfRule>
    <cfRule type="cellIs" dxfId="3802" priority="79" operator="between">
      <formula>"A - Work May Proceed"</formula>
      <formula>"A - Work May Proceed"</formula>
    </cfRule>
    <cfRule type="cellIs" dxfId="3801" priority="78" operator="between">
      <formula>"CANCELLED"</formula>
      <formula>"CANCELLED"</formula>
    </cfRule>
    <cfRule type="cellIs" dxfId="3800" priority="77" operator="between">
      <formula>"D - Rejected "</formula>
      <formula>"D - Rejected "</formula>
    </cfRule>
  </conditionalFormatting>
  <conditionalFormatting sqref="AY11">
    <cfRule type="cellIs" dxfId="3799" priority="99" operator="between">
      <formula>"A - Work May Proceed"</formula>
      <formula>"A - Work May Proceed"</formula>
    </cfRule>
    <cfRule type="cellIs" dxfId="3798" priority="92" operator="between">
      <formula>"C - Revise and Resubmit - Do Not Proceed"</formula>
      <formula>"C - Revise and Resubmit - Do Not Proceed"</formula>
    </cfRule>
    <cfRule type="cellIs" dxfId="3797" priority="98" operator="between">
      <formula>"CANCELLED"</formula>
      <formula>"CANCELLED"</formula>
    </cfRule>
    <cfRule type="cellIs" dxfId="3796" priority="94" operator="between">
      <formula>"A - Work May Proceed"</formula>
      <formula>"A - Work May Proceed"</formula>
    </cfRule>
    <cfRule type="cellIs" dxfId="3795" priority="91" operator="between">
      <formula>"'D - Rejected "</formula>
      <formula>"'D - Rejected "</formula>
    </cfRule>
    <cfRule type="cellIs" dxfId="3794" priority="97" operator="between">
      <formula>"D - Rejected "</formula>
      <formula>"D - Rejected "</formula>
    </cfRule>
    <cfRule type="cellIs" dxfId="3793" priority="89" operator="equal">
      <formula>"E - Review Not Required - Proceed"</formula>
    </cfRule>
    <cfRule type="cellIs" dxfId="3792" priority="88" operator="equal">
      <formula>"B - Incorporate Comments - Proceed "</formula>
    </cfRule>
    <cfRule type="cellIs" dxfId="3791" priority="87" operator="equal">
      <formula>"For Information"</formula>
    </cfRule>
    <cfRule type="cellIs" dxfId="3790" priority="86" operator="equal">
      <formula>"A - Work May Proceed"</formula>
    </cfRule>
    <cfRule type="cellIs" dxfId="3789" priority="85" operator="equal">
      <formula>"C - Revise and Resubmit - Do Not Proceed"</formula>
    </cfRule>
    <cfRule type="cellIs" dxfId="3788" priority="84" operator="equal">
      <formula>"B - Incorporate Comments - Proceed"</formula>
    </cfRule>
    <cfRule type="cellIs" dxfId="3787" priority="83" operator="equal">
      <formula>"D - Rejected"</formula>
    </cfRule>
    <cfRule type="cellIs" dxfId="3786" priority="82" operator="equal">
      <formula>"E - Review not Required - Proceed"</formula>
    </cfRule>
    <cfRule type="cellIs" dxfId="3785" priority="93" operator="between">
      <formula>"B - Incorporate Comments - Proceed"</formula>
      <formula>"B - Incorporate Comments - Proceed"</formula>
    </cfRule>
    <cfRule type="cellIs" dxfId="3784" priority="101" stopIfTrue="1" operator="between">
      <formula>"B - Incorporate Comments - Proceed "</formula>
      <formula>"B - Incorporate Comments - Proceed "</formula>
    </cfRule>
    <cfRule type="cellIs" dxfId="3783" priority="95" operator="between">
      <formula>"B - Incorporate Comments - Proceed"</formula>
      <formula>"B - Incorporate Comments - Proceed"</formula>
    </cfRule>
    <cfRule type="cellIs" dxfId="3782" priority="100" operator="between">
      <formula>"C - Revise and Resubmit - Do Not Proceed"</formula>
      <formula>"C - Revise and Resubmit - Do Not Proceed"</formula>
    </cfRule>
    <cfRule type="cellIs" dxfId="3781" priority="96" operator="between">
      <formula>"E - Review not Required - Proceed"</formula>
      <formula>"E - Review not Required - Proceed"</formula>
    </cfRule>
    <cfRule type="cellIs" dxfId="3780" priority="90" operator="between">
      <formula>"E - Review not Required - Proceed"</formula>
      <formula>"E - Review not Required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5"/>
  </sheetPr>
  <dimension ref="A1:BF14"/>
  <sheetViews>
    <sheetView zoomScale="55" zoomScaleNormal="55" zoomScaleSheetLayoutView="55" workbookViewId="0">
      <pane ySplit="11" topLeftCell="A12" activePane="bottomLeft" state="frozen"/>
      <selection activeCell="A14" sqref="A14"/>
      <selection pane="bottomLeft" sqref="A1:A1048576"/>
    </sheetView>
  </sheetViews>
  <sheetFormatPr defaultColWidth="9.140625" defaultRowHeight="15" x14ac:dyDescent="0.25"/>
  <cols>
    <col min="1" max="1" width="22.7109375" style="393" customWidth="1"/>
    <col min="2" max="3" width="32" style="1" customWidth="1"/>
    <col min="4" max="5" width="57.85546875" style="1" customWidth="1"/>
    <col min="6" max="6" width="77.7109375" style="2" bestFit="1" customWidth="1"/>
    <col min="7" max="7" width="29.28515625" style="1" customWidth="1"/>
    <col min="8" max="8" width="30.140625" style="1" customWidth="1"/>
    <col min="9" max="9" width="33.7109375" style="2" customWidth="1"/>
    <col min="10" max="10" width="30.140625" style="19" customWidth="1"/>
    <col min="11" max="12" width="30.140625" style="2" customWidth="1"/>
    <col min="13" max="14" width="30.140625" style="19" customWidth="1"/>
    <col min="15" max="16" width="30.140625" style="1" customWidth="1"/>
    <col min="17" max="17" width="30.140625" style="4" customWidth="1"/>
    <col min="18" max="19" width="30.140625" style="1" customWidth="1"/>
    <col min="20" max="21" width="30.140625" style="4" customWidth="1"/>
    <col min="22" max="23" width="30.140625" style="1" customWidth="1"/>
    <col min="24" max="24" width="30.140625" style="4" customWidth="1"/>
    <col min="25" max="26" width="30.140625" style="1" customWidth="1"/>
    <col min="27" max="28" width="30.140625" style="4" customWidth="1"/>
    <col min="29" max="30" width="30.140625" style="1" customWidth="1"/>
    <col min="31" max="31" width="30.140625" style="4" customWidth="1"/>
    <col min="32" max="33" width="30.140625" style="1" customWidth="1"/>
    <col min="34" max="35" width="30.140625" style="4" customWidth="1"/>
    <col min="36" max="37" width="30.140625" style="1" customWidth="1"/>
    <col min="38" max="38" width="30.140625" style="4" customWidth="1"/>
    <col min="39" max="40" width="36.85546875" style="3" customWidth="1"/>
    <col min="41" max="56" width="30.140625" style="4" customWidth="1"/>
    <col min="57" max="57" width="32.85546875" style="1" customWidth="1"/>
    <col min="58" max="58" width="50.7109375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"/>
    </row>
    <row r="2" spans="1:58" s="379" customFormat="1" ht="24" customHeight="1" x14ac:dyDescent="0.35">
      <c r="A2" s="8"/>
      <c r="B2" s="25" t="s">
        <v>28</v>
      </c>
      <c r="C2" s="26" t="s">
        <v>16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/>
      <c r="V2"/>
      <c r="W2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"/>
    </row>
    <row r="3" spans="1:58" s="379" customFormat="1" ht="24" customHeight="1" x14ac:dyDescent="0.35">
      <c r="A3" s="8"/>
      <c r="B3" s="25" t="s">
        <v>507</v>
      </c>
      <c r="C3" s="49" t="s">
        <v>147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/>
      <c r="V5"/>
      <c r="W5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"/>
    </row>
    <row r="6" spans="1:58" s="379" customFormat="1" ht="24" customHeight="1" x14ac:dyDescent="0.35">
      <c r="A6" s="8"/>
      <c r="B6" s="64">
        <f>COUNTIF(B11:B14,"A - Work May Proceed")</f>
        <v>2</v>
      </c>
      <c r="C6" s="65">
        <f>COUNTIF(B11:B14,"B- Incorporate Comments - Proceed")</f>
        <v>0</v>
      </c>
      <c r="D6" s="65">
        <f>COUNTIF(B11:B14,"C - Revise and Resubmit - Do Not Proceed")</f>
        <v>0</v>
      </c>
      <c r="E6" s="65">
        <f>COUNTIF(B11:B14,"D - Rejected")</f>
        <v>0</v>
      </c>
      <c r="F6" s="65">
        <f>COUNTIF(B11:B14,"E - Review not Required - Proceed")</f>
        <v>0</v>
      </c>
      <c r="G6" s="66">
        <f>COUNTIF(B11:B14,"UR")</f>
        <v>0</v>
      </c>
      <c r="H6" s="66">
        <f>COUNTIF(B11:B14,"FA")</f>
        <v>0</v>
      </c>
      <c r="I6" s="66">
        <f>COUNTIF(B11:B14,"Terminated")</f>
        <v>0</v>
      </c>
      <c r="J6" s="66">
        <f>COUNTIF(B11:B14,"Cancelled")</f>
        <v>0</v>
      </c>
      <c r="K6"/>
      <c r="L6"/>
      <c r="M6"/>
      <c r="N6"/>
      <c r="O6"/>
      <c r="P6"/>
      <c r="Q6"/>
      <c r="R6"/>
      <c r="S6"/>
      <c r="T6"/>
      <c r="U6"/>
      <c r="V6"/>
      <c r="W6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/>
      <c r="V7"/>
      <c r="W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"/>
    </row>
    <row r="8" spans="1:58" s="379" customFormat="1" ht="24" customHeight="1" x14ac:dyDescent="0.35">
      <c r="A8" s="8"/>
      <c r="B8" s="72" t="s">
        <v>509</v>
      </c>
      <c r="C8" s="73">
        <f>SUM(B6:J6)</f>
        <v>2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/>
      <c r="V8"/>
      <c r="W8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"/>
    </row>
    <row r="10" spans="1:58" s="405" customFormat="1" ht="36.75" customHeight="1" x14ac:dyDescent="0.2">
      <c r="A10" s="550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51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11" t="s">
        <v>5</v>
      </c>
      <c r="C12" s="56" t="s">
        <v>208</v>
      </c>
      <c r="D12" s="10" t="s">
        <v>251</v>
      </c>
      <c r="E12" s="12" t="s">
        <v>252</v>
      </c>
      <c r="F12" s="16" t="s">
        <v>250</v>
      </c>
      <c r="G12" s="10" t="s">
        <v>15</v>
      </c>
      <c r="H12" s="10" t="s">
        <v>147</v>
      </c>
      <c r="I12" s="16" t="s">
        <v>18</v>
      </c>
      <c r="J12" s="14">
        <v>45565</v>
      </c>
      <c r="K12" s="12" t="s">
        <v>253</v>
      </c>
      <c r="L12" s="20">
        <f>J12+7</f>
        <v>45572</v>
      </c>
      <c r="M12" s="14">
        <v>45568</v>
      </c>
      <c r="N12" s="92">
        <f>M12-L12</f>
        <v>-4</v>
      </c>
      <c r="O12" s="12" t="s">
        <v>261</v>
      </c>
      <c r="P12" s="16" t="s">
        <v>5</v>
      </c>
      <c r="Q12" s="20">
        <v>46053</v>
      </c>
      <c r="R12" s="12" t="s">
        <v>5705</v>
      </c>
      <c r="S12" s="20">
        <f>Q12+7</f>
        <v>46060</v>
      </c>
      <c r="T12" s="14">
        <v>46064</v>
      </c>
      <c r="U12" s="92">
        <f>T12-S12</f>
        <v>4</v>
      </c>
      <c r="V12" s="12" t="s">
        <v>5733</v>
      </c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368"/>
    </row>
    <row r="13" spans="1:58" s="381" customFormat="1" ht="42" customHeight="1" x14ac:dyDescent="0.25">
      <c r="A13" s="367">
        <v>730007</v>
      </c>
      <c r="B13" s="11" t="s">
        <v>5</v>
      </c>
      <c r="C13" s="56" t="s">
        <v>208</v>
      </c>
      <c r="D13" s="10" t="s">
        <v>3716</v>
      </c>
      <c r="E13" s="204" t="s">
        <v>3717</v>
      </c>
      <c r="F13" s="200" t="s">
        <v>3718</v>
      </c>
      <c r="G13" s="10" t="s">
        <v>15</v>
      </c>
      <c r="H13" s="10" t="s">
        <v>147</v>
      </c>
      <c r="I13" s="16" t="s">
        <v>18</v>
      </c>
      <c r="J13" s="14">
        <v>45857</v>
      </c>
      <c r="K13" s="150" t="s">
        <v>3719</v>
      </c>
      <c r="L13" s="20">
        <f>J13+7</f>
        <v>45864</v>
      </c>
      <c r="M13" s="14">
        <v>45862</v>
      </c>
      <c r="N13" s="92">
        <f>M13-L13</f>
        <v>-2</v>
      </c>
      <c r="O13" s="12" t="s">
        <v>3727</v>
      </c>
      <c r="P13" s="11" t="s">
        <v>5</v>
      </c>
      <c r="Q13" s="21">
        <v>45979</v>
      </c>
      <c r="R13" s="10" t="s">
        <v>4974</v>
      </c>
      <c r="S13" s="20">
        <f>Q13+7</f>
        <v>45986</v>
      </c>
      <c r="T13" s="14">
        <v>45987</v>
      </c>
      <c r="U13" s="92">
        <f>T13-S13</f>
        <v>1</v>
      </c>
      <c r="V13" s="10" t="s">
        <v>4984</v>
      </c>
      <c r="W13" s="10"/>
      <c r="X13" s="21"/>
      <c r="Y13" s="10"/>
      <c r="Z13" s="10"/>
      <c r="AA13" s="21"/>
      <c r="AB13" s="21"/>
      <c r="AC13" s="10"/>
      <c r="AD13" s="10"/>
      <c r="AE13" s="21"/>
      <c r="AF13" s="10"/>
      <c r="AG13" s="10"/>
      <c r="AH13" s="21"/>
      <c r="AI13" s="21"/>
      <c r="AJ13" s="10"/>
      <c r="AK13" s="10"/>
      <c r="AL13" s="17"/>
      <c r="AM13" s="11"/>
      <c r="AN13" s="11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1"/>
      <c r="BF13" s="368"/>
    </row>
    <row r="14" spans="1:58" s="381" customFormat="1" ht="42" customHeight="1" thickBot="1" x14ac:dyDescent="0.3">
      <c r="A14" s="369"/>
      <c r="B14" s="371"/>
      <c r="C14" s="371"/>
      <c r="D14" s="370"/>
      <c r="E14" s="370"/>
      <c r="F14" s="262"/>
      <c r="G14" s="263"/>
      <c r="H14" s="263"/>
      <c r="I14" s="262"/>
      <c r="J14" s="474"/>
      <c r="K14" s="373"/>
      <c r="L14" s="373"/>
      <c r="M14" s="474"/>
      <c r="N14" s="474"/>
      <c r="O14" s="263"/>
      <c r="P14" s="263"/>
      <c r="Q14" s="374"/>
      <c r="R14" s="263"/>
      <c r="S14" s="263"/>
      <c r="T14" s="374"/>
      <c r="U14" s="374"/>
      <c r="V14" s="263"/>
      <c r="W14" s="263"/>
      <c r="X14" s="374"/>
      <c r="Y14" s="263"/>
      <c r="Z14" s="263"/>
      <c r="AA14" s="374"/>
      <c r="AB14" s="374"/>
      <c r="AC14" s="263"/>
      <c r="AD14" s="263"/>
      <c r="AE14" s="374"/>
      <c r="AF14" s="263"/>
      <c r="AG14" s="263"/>
      <c r="AH14" s="374"/>
      <c r="AI14" s="374"/>
      <c r="AJ14" s="263"/>
      <c r="AK14" s="263"/>
      <c r="AL14" s="376"/>
      <c r="AM14" s="371"/>
      <c r="AN14" s="371"/>
      <c r="AO14" s="376"/>
      <c r="AP14" s="376"/>
      <c r="AQ14" s="376"/>
      <c r="AR14" s="376"/>
      <c r="AS14" s="376"/>
      <c r="AT14" s="376"/>
      <c r="AU14" s="376"/>
      <c r="AV14" s="376"/>
      <c r="AW14" s="376"/>
      <c r="AX14" s="376"/>
      <c r="AY14" s="376"/>
      <c r="AZ14" s="376"/>
      <c r="BA14" s="376"/>
      <c r="BB14" s="376"/>
      <c r="BC14" s="376"/>
      <c r="BD14" s="376"/>
      <c r="BE14" s="371"/>
      <c r="BF14" s="378"/>
    </row>
  </sheetData>
  <autoFilter ref="A11:BF11" xr:uid="{00000000-0001-0000-1000-000000000000}"/>
  <mergeCells count="18">
    <mergeCell ref="A10:A11"/>
    <mergeCell ref="H1:H2"/>
    <mergeCell ref="I1:I2"/>
    <mergeCell ref="AR10:AX10"/>
    <mergeCell ref="AY10:BE10"/>
    <mergeCell ref="G10:G11"/>
    <mergeCell ref="B10:B11"/>
    <mergeCell ref="C10:C11"/>
    <mergeCell ref="D10:D11"/>
    <mergeCell ref="E10:E11"/>
    <mergeCell ref="F10:F11"/>
    <mergeCell ref="BF10:BF11"/>
    <mergeCell ref="H10:H11"/>
    <mergeCell ref="I10:O10"/>
    <mergeCell ref="P10:V10"/>
    <mergeCell ref="W10:AC10"/>
    <mergeCell ref="AD10:AJ10"/>
    <mergeCell ref="AK10:AQ10"/>
  </mergeCells>
  <conditionalFormatting sqref="A10:XFD10">
    <cfRule type="cellIs" dxfId="3779" priority="1" operator="equal">
      <formula>"E - Review not Required - Proceed"</formula>
    </cfRule>
    <cfRule type="cellIs" dxfId="3778" priority="2" operator="equal">
      <formula>"D - Rejected"</formula>
    </cfRule>
    <cfRule type="cellIs" dxfId="3777" priority="3" operator="equal">
      <formula>"B- Incorporate Comments - Proceed"</formula>
    </cfRule>
    <cfRule type="cellIs" dxfId="3776" priority="4" operator="equal">
      <formula>"C - Revise and Resubmit - Do Not Proceed"</formula>
    </cfRule>
    <cfRule type="cellIs" dxfId="3775" priority="5" operator="equal">
      <formula>"A - Work May Proceed"</formula>
    </cfRule>
  </conditionalFormatting>
  <conditionalFormatting sqref="B12:XFD12 B13:D13 G13:J13 L13:XFD13 B14:XFD1048576">
    <cfRule type="cellIs" dxfId="3774" priority="11" operator="equal">
      <formula>"E - Review not Required - Proceed"</formula>
    </cfRule>
    <cfRule type="cellIs" dxfId="3773" priority="12" operator="equal">
      <formula>"D - Rejected"</formula>
    </cfRule>
    <cfRule type="cellIs" dxfId="3772" priority="13" operator="equal">
      <formula>"B- Incorporate Comments - Proceed"</formula>
    </cfRule>
    <cfRule type="cellIs" dxfId="3771" priority="14" operator="equal">
      <formula>"C - Revise and Resubmit - Do Not Proceed"</formula>
    </cfRule>
    <cfRule type="cellIs" dxfId="3770" priority="15" operator="equal">
      <formula>"A - Work May Proceed"</formula>
    </cfRule>
  </conditionalFormatting>
  <conditionalFormatting sqref="D11:BE11 B1:G2 X1:XFD9 B3:H4 B9:H9 B11">
    <cfRule type="cellIs" dxfId="3769" priority="58" operator="equal">
      <formula>"B- Incorporate Comments - Proceed"</formula>
    </cfRule>
    <cfRule type="cellIs" dxfId="3768" priority="57" operator="equal">
      <formula>"D - Rejected"</formula>
    </cfRule>
    <cfRule type="cellIs" dxfId="3767" priority="56" operator="equal">
      <formula>"E - Review not Required - Proceed"</formula>
    </cfRule>
    <cfRule type="cellIs" dxfId="3766" priority="60" operator="equal">
      <formula>"A - Work May Proceed"</formula>
    </cfRule>
    <cfRule type="cellIs" dxfId="3765" priority="59" operator="equal">
      <formula>"C - Revise and Resubmit - Do Not Proceed"</formula>
    </cfRule>
  </conditionalFormatting>
  <conditionalFormatting sqref="I11">
    <cfRule type="cellIs" dxfId="3764" priority="126" operator="equal">
      <formula>"For Information"</formula>
    </cfRule>
    <cfRule type="cellIs" dxfId="3763" priority="125" operator="equal">
      <formula>"B - Incorporate Comments - Proceed"</formula>
    </cfRule>
    <cfRule type="cellIs" dxfId="3762" priority="130" operator="between">
      <formula>"'D - Rejected "</formula>
      <formula>"'D - Rejected "</formula>
    </cfRule>
    <cfRule type="cellIs" dxfId="3761" priority="137" operator="between">
      <formula>"CANCELLED"</formula>
      <formula>"CANCELLED"</formula>
    </cfRule>
    <cfRule type="cellIs" dxfId="3760" priority="136" operator="between">
      <formula>"D - Rejected "</formula>
      <formula>"D - Rejected "</formula>
    </cfRule>
    <cfRule type="cellIs" dxfId="3759" priority="140" stopIfTrue="1" operator="between">
      <formula>"B - Incorporate Comments - Proceed "</formula>
      <formula>"B - Incorporate Comments - Proceed "</formula>
    </cfRule>
    <cfRule type="cellIs" dxfId="3758" priority="135" operator="between">
      <formula>"E - Review not Required - Proceed"</formula>
      <formula>"E - Review not Required - Proceed"</formula>
    </cfRule>
    <cfRule type="cellIs" dxfId="3757" priority="134" operator="between">
      <formula>"B - Incorporate Comments - Proceed"</formula>
      <formula>"B - Incorporate Comments - Proceed"</formula>
    </cfRule>
    <cfRule type="cellIs" dxfId="3756" priority="133" operator="between">
      <formula>"A - Work May Proceed"</formula>
      <formula>"A - Work May Proceed"</formula>
    </cfRule>
    <cfRule type="cellIs" dxfId="3755" priority="132" operator="between">
      <formula>"B - Incorporate Comments - Proceed"</formula>
      <formula>"B - Incorporate Comments - Proceed"</formula>
    </cfRule>
    <cfRule type="cellIs" dxfId="3754" priority="131" operator="between">
      <formula>"C - Revise and Resubmit - Do Not Proceed"</formula>
      <formula>"C - Revise and Resubmit - Do Not Proceed"</formula>
    </cfRule>
    <cfRule type="cellIs" dxfId="3753" priority="129" operator="between">
      <formula>"E - Review not Required - Proceed"</formula>
      <formula>"E - Review not Required - Proceed"</formula>
    </cfRule>
    <cfRule type="cellIs" dxfId="3752" priority="128" operator="equal">
      <formula>"E - Review Not Required - Proceed"</formula>
    </cfRule>
    <cfRule type="cellIs" dxfId="3751" priority="127" operator="equal">
      <formula>"B - Incorporate Comments - Proceed "</formula>
    </cfRule>
    <cfRule type="cellIs" dxfId="3750" priority="138" operator="between">
      <formula>"A - Work May Proceed"</formula>
      <formula>"A - Work May Proceed"</formula>
    </cfRule>
    <cfRule type="cellIs" dxfId="3749" priority="139" operator="between">
      <formula>"C - Revise and Resubmit - Do Not Proceed"</formula>
      <formula>"C - Revise and Resubmit - Do Not Proceed"</formula>
    </cfRule>
  </conditionalFormatting>
  <conditionalFormatting sqref="J5:J6 B5:I7 B8:J8">
    <cfRule type="cellIs" dxfId="3748" priority="6" operator="equal">
      <formula>"E - Review not Required - Proceed"</formula>
    </cfRule>
    <cfRule type="cellIs" dxfId="3747" priority="7" operator="equal">
      <formula>"D - Rejected"</formula>
    </cfRule>
    <cfRule type="cellIs" dxfId="3746" priority="8" operator="equal">
      <formula>"B- Incorporate Comments - Proceed"</formula>
    </cfRule>
    <cfRule type="cellIs" dxfId="3745" priority="9" operator="equal">
      <formula>"C - Revise and Resubmit - Do Not Proceed"</formula>
    </cfRule>
    <cfRule type="cellIs" dxfId="3744" priority="10" stopIfTrue="1" operator="equal">
      <formula>"A - Work May Proceed"</formula>
    </cfRule>
  </conditionalFormatting>
  <conditionalFormatting sqref="P11">
    <cfRule type="cellIs" dxfId="3743" priority="123" operator="between">
      <formula>"C - Revise and Resubmit - Do Not Proceed"</formula>
      <formula>"C - Revise and Resubmit - Do Not Proceed"</formula>
    </cfRule>
    <cfRule type="cellIs" dxfId="3742" priority="113" operator="between">
      <formula>"E - Review not Required - Proceed"</formula>
      <formula>"E - Review not Required - Proceed"</formula>
    </cfRule>
    <cfRule type="cellIs" dxfId="3741" priority="112" operator="equal">
      <formula>"E - Review Not Required - Proceed"</formula>
    </cfRule>
    <cfRule type="cellIs" dxfId="3740" priority="111" operator="equal">
      <formula>"B - Incorporate Comments - Proceed "</formula>
    </cfRule>
    <cfRule type="cellIs" dxfId="3739" priority="110" operator="equal">
      <formula>"For Information"</formula>
    </cfRule>
    <cfRule type="cellIs" dxfId="3738" priority="109" operator="equal">
      <formula>"B - Incorporate Comments - Proceed"</formula>
    </cfRule>
    <cfRule type="cellIs" dxfId="3737" priority="119" operator="between">
      <formula>"E - Review not Required - Proceed"</formula>
      <formula>"E - Review not Required - Proceed"</formula>
    </cfRule>
    <cfRule type="cellIs" dxfId="3736" priority="116" operator="between">
      <formula>"B - Incorporate Comments - Proceed"</formula>
      <formula>"B - Incorporate Comments - Proceed"</formula>
    </cfRule>
    <cfRule type="cellIs" dxfId="3735" priority="117" operator="between">
      <formula>"A - Work May Proceed"</formula>
      <formula>"A - Work May Proceed"</formula>
    </cfRule>
    <cfRule type="cellIs" dxfId="3734" priority="118" operator="between">
      <formula>"B - Incorporate Comments - Proceed"</formula>
      <formula>"B - Incorporate Comments - Proceed"</formula>
    </cfRule>
    <cfRule type="cellIs" dxfId="3733" priority="120" operator="between">
      <formula>"D - Rejected "</formula>
      <formula>"D - Rejected "</formula>
    </cfRule>
    <cfRule type="cellIs" dxfId="3732" priority="121" operator="between">
      <formula>"CANCELLED"</formula>
      <formula>"CANCELLED"</formula>
    </cfRule>
    <cfRule type="cellIs" dxfId="3731" priority="122" operator="between">
      <formula>"A - Work May Proceed"</formula>
      <formula>"A - Work May Proceed"</formula>
    </cfRule>
    <cfRule type="cellIs" dxfId="3730" priority="124" stopIfTrue="1" operator="between">
      <formula>"B - Incorporate Comments - Proceed "</formula>
      <formula>"B - Incorporate Comments - Proceed "</formula>
    </cfRule>
    <cfRule type="cellIs" dxfId="3729" priority="115" operator="between">
      <formula>"C - Revise and Resubmit - Do Not Proceed"</formula>
      <formula>"C - Revise and Resubmit - Do Not Proceed"</formula>
    </cfRule>
    <cfRule type="cellIs" dxfId="3728" priority="114" operator="between">
      <formula>"'D - Rejected "</formula>
      <formula>"'D - Rejected "</formula>
    </cfRule>
  </conditionalFormatting>
  <conditionalFormatting sqref="W11">
    <cfRule type="cellIs" dxfId="3727" priority="93" operator="equal">
      <formula>"B - Incorporate Comments - Proceed"</formula>
    </cfRule>
    <cfRule type="cellIs" dxfId="3726" priority="94" operator="equal">
      <formula>"For Information"</formula>
    </cfRule>
    <cfRule type="cellIs" dxfId="3725" priority="95" operator="equal">
      <formula>"B - Incorporate Comments - Proceed "</formula>
    </cfRule>
    <cfRule type="cellIs" dxfId="3724" priority="96" operator="equal">
      <formula>"E - Review Not Required - Proceed"</formula>
    </cfRule>
    <cfRule type="cellIs" dxfId="3723" priority="97" operator="between">
      <formula>"E - Review not Required - Proceed"</formula>
      <formula>"E - Review not Required - Proceed"</formula>
    </cfRule>
    <cfRule type="cellIs" dxfId="3722" priority="98" operator="between">
      <formula>"'D - Rejected "</formula>
      <formula>"'D - Rejected "</formula>
    </cfRule>
    <cfRule type="cellIs" dxfId="3721" priority="99" operator="between">
      <formula>"C - Revise and Resubmit - Do Not Proceed"</formula>
      <formula>"C - Revise and Resubmit - Do Not Proceed"</formula>
    </cfRule>
    <cfRule type="cellIs" dxfId="3720" priority="100" operator="between">
      <formula>"B - Incorporate Comments - Proceed"</formula>
      <formula>"B - Incorporate Comments - Proceed"</formula>
    </cfRule>
    <cfRule type="cellIs" dxfId="3719" priority="101" operator="between">
      <formula>"A - Work May Proceed"</formula>
      <formula>"A - Work May Proceed"</formula>
    </cfRule>
    <cfRule type="cellIs" dxfId="3718" priority="102" operator="between">
      <formula>"B - Incorporate Comments - Proceed"</formula>
      <formula>"B - Incorporate Comments - Proceed"</formula>
    </cfRule>
    <cfRule type="cellIs" dxfId="3717" priority="103" operator="between">
      <formula>"E - Review not Required - Proceed"</formula>
      <formula>"E - Review not Required - Proceed"</formula>
    </cfRule>
    <cfRule type="cellIs" dxfId="3716" priority="104" operator="between">
      <formula>"D - Rejected "</formula>
      <formula>"D - Rejected "</formula>
    </cfRule>
    <cfRule type="cellIs" dxfId="3715" priority="105" operator="between">
      <formula>"CANCELLED"</formula>
      <formula>"CANCELLED"</formula>
    </cfRule>
    <cfRule type="cellIs" dxfId="3714" priority="107" operator="between">
      <formula>"C - Revise and Resubmit - Do Not Proceed"</formula>
      <formula>"C - Revise and Resubmit - Do Not Proceed"</formula>
    </cfRule>
    <cfRule type="cellIs" dxfId="3713" priority="108" stopIfTrue="1" operator="between">
      <formula>"B - Incorporate Comments - Proceed "</formula>
      <formula>"B - Incorporate Comments - Proceed "</formula>
    </cfRule>
    <cfRule type="cellIs" dxfId="3712" priority="106" operator="between">
      <formula>"A - Work May Proceed"</formula>
      <formula>"A - Work May Proceed"</formula>
    </cfRule>
  </conditionalFormatting>
  <conditionalFormatting sqref="AD11">
    <cfRule type="cellIs" dxfId="3711" priority="78" operator="equal">
      <formula>"For Information"</formula>
    </cfRule>
    <cfRule type="cellIs" dxfId="3710" priority="88" operator="between">
      <formula>"D - Rejected "</formula>
      <formula>"D - Rejected "</formula>
    </cfRule>
    <cfRule type="cellIs" dxfId="3709" priority="77" operator="equal">
      <formula>"B - Incorporate Comments - Proceed"</formula>
    </cfRule>
    <cfRule type="cellIs" dxfId="3708" priority="90" operator="between">
      <formula>"A - Work May Proceed"</formula>
      <formula>"A - Work May Proceed"</formula>
    </cfRule>
    <cfRule type="cellIs" dxfId="3707" priority="91" operator="between">
      <formula>"C - Revise and Resubmit - Do Not Proceed"</formula>
      <formula>"C - Revise and Resubmit - Do Not Proceed"</formula>
    </cfRule>
    <cfRule type="cellIs" dxfId="3706" priority="92" stopIfTrue="1" operator="between">
      <formula>"B - Incorporate Comments - Proceed "</formula>
      <formula>"B - Incorporate Comments - Proceed "</formula>
    </cfRule>
    <cfRule type="cellIs" dxfId="3705" priority="87" operator="between">
      <formula>"E - Review not Required - Proceed"</formula>
      <formula>"E - Review not Required - Proceed"</formula>
    </cfRule>
    <cfRule type="cellIs" dxfId="3704" priority="86" operator="between">
      <formula>"B - Incorporate Comments - Proceed"</formula>
      <formula>"B - Incorporate Comments - Proceed"</formula>
    </cfRule>
    <cfRule type="cellIs" dxfId="3703" priority="85" operator="between">
      <formula>"A - Work May Proceed"</formula>
      <formula>"A - Work May Proceed"</formula>
    </cfRule>
    <cfRule type="cellIs" dxfId="3702" priority="84" operator="between">
      <formula>"B - Incorporate Comments - Proceed"</formula>
      <formula>"B - Incorporate Comments - Proceed"</formula>
    </cfRule>
    <cfRule type="cellIs" dxfId="3701" priority="83" operator="between">
      <formula>"C - Revise and Resubmit - Do Not Proceed"</formula>
      <formula>"C - Revise and Resubmit - Do Not Proceed"</formula>
    </cfRule>
    <cfRule type="cellIs" dxfId="3700" priority="82" operator="between">
      <formula>"'D - Rejected "</formula>
      <formula>"'D - Rejected "</formula>
    </cfRule>
    <cfRule type="cellIs" dxfId="3699" priority="81" operator="between">
      <formula>"E - Review not Required - Proceed"</formula>
      <formula>"E - Review not Required - Proceed"</formula>
    </cfRule>
    <cfRule type="cellIs" dxfId="3698" priority="89" operator="between">
      <formula>"CANCELLED"</formula>
      <formula>"CANCELLED"</formula>
    </cfRule>
    <cfRule type="cellIs" dxfId="3697" priority="80" operator="equal">
      <formula>"E - Review Not Required - Proceed"</formula>
    </cfRule>
    <cfRule type="cellIs" dxfId="3696" priority="79" operator="equal">
      <formula>"B - Incorporate Comments - Proceed "</formula>
    </cfRule>
  </conditionalFormatting>
  <conditionalFormatting sqref="AK11">
    <cfRule type="cellIs" dxfId="3695" priority="69" operator="between">
      <formula>"A - Work May Proceed"</formula>
      <formula>"A - Work May Proceed"</formula>
    </cfRule>
    <cfRule type="cellIs" dxfId="3694" priority="70" operator="between">
      <formula>"B - Incorporate Comments - Proceed"</formula>
      <formula>"B - Incorporate Comments - Proceed"</formula>
    </cfRule>
    <cfRule type="cellIs" dxfId="3693" priority="71" operator="between">
      <formula>"E - Review not Required - Proceed"</formula>
      <formula>"E - Review not Required - Proceed"</formula>
    </cfRule>
    <cfRule type="cellIs" dxfId="3692" priority="72" operator="between">
      <formula>"D - Rejected "</formula>
      <formula>"D - Rejected "</formula>
    </cfRule>
    <cfRule type="cellIs" dxfId="3691" priority="73" operator="between">
      <formula>"CANCELLED"</formula>
      <formula>"CANCELLED"</formula>
    </cfRule>
    <cfRule type="cellIs" dxfId="3690" priority="74" operator="between">
      <formula>"A - Work May Proceed"</formula>
      <formula>"A - Work May Proceed"</formula>
    </cfRule>
    <cfRule type="cellIs" dxfId="3689" priority="75" operator="between">
      <formula>"C - Revise and Resubmit - Do Not Proceed"</formula>
      <formula>"C - Revise and Resubmit - Do Not Proceed"</formula>
    </cfRule>
    <cfRule type="cellIs" dxfId="3688" priority="76" stopIfTrue="1" operator="between">
      <formula>"B - Incorporate Comments - Proceed "</formula>
      <formula>"B - Incorporate Comments - Proceed "</formula>
    </cfRule>
    <cfRule type="cellIs" dxfId="3687" priority="61" operator="equal">
      <formula>"B - Incorporate Comments - Proceed"</formula>
    </cfRule>
    <cfRule type="cellIs" dxfId="3686" priority="62" operator="equal">
      <formula>"For Information"</formula>
    </cfRule>
    <cfRule type="cellIs" dxfId="3685" priority="63" operator="equal">
      <formula>"B - Incorporate Comments - Proceed "</formula>
    </cfRule>
    <cfRule type="cellIs" dxfId="3684" priority="64" operator="equal">
      <formula>"E - Review Not Required - Proceed"</formula>
    </cfRule>
    <cfRule type="cellIs" dxfId="3683" priority="65" operator="between">
      <formula>"E - Review not Required - Proceed"</formula>
      <formula>"E - Review not Required - Proceed"</formula>
    </cfRule>
    <cfRule type="cellIs" dxfId="3682" priority="66" operator="between">
      <formula>"'D - Rejected "</formula>
      <formula>"'D - Rejected "</formula>
    </cfRule>
    <cfRule type="cellIs" dxfId="3681" priority="67" operator="between">
      <formula>"C - Revise and Resubmit - Do Not Proceed"</formula>
      <formula>"C - Revise and Resubmit - Do Not Proceed"</formula>
    </cfRule>
    <cfRule type="cellIs" dxfId="3680" priority="68" operator="between">
      <formula>"B - Incorporate Comments - Proceed"</formula>
      <formula>"B - Incorporate Comments - Proceed"</formula>
    </cfRule>
  </conditionalFormatting>
  <conditionalFormatting sqref="AR11">
    <cfRule type="cellIs" dxfId="3679" priority="31" operator="between">
      <formula>"D - Rejected "</formula>
      <formula>"D - Rejected "</formula>
    </cfRule>
    <cfRule type="cellIs" dxfId="3678" priority="30" operator="between">
      <formula>"E - Review not Required - Proceed"</formula>
      <formula>"E - Review not Required - Proceed"</formula>
    </cfRule>
    <cfRule type="cellIs" dxfId="3677" priority="29" operator="between">
      <formula>"B - Incorporate Comments - Proceed"</formula>
      <formula>"B - Incorporate Comments - Proceed"</formula>
    </cfRule>
    <cfRule type="cellIs" dxfId="3676" priority="28" operator="between">
      <formula>"A - Work May Proceed"</formula>
      <formula>"A - Work May Proceed"</formula>
    </cfRule>
    <cfRule type="cellIs" dxfId="3675" priority="27" operator="between">
      <formula>"B - Incorporate Comments - Proceed"</formula>
      <formula>"B - Incorporate Comments - Proceed"</formula>
    </cfRule>
    <cfRule type="cellIs" dxfId="3674" priority="26" operator="between">
      <formula>"C - Revise and Resubmit - Do Not Proceed"</formula>
      <formula>"C - Revise and Resubmit - Do Not Proceed"</formula>
    </cfRule>
    <cfRule type="cellIs" dxfId="3673" priority="25" operator="between">
      <formula>"'D - Rejected "</formula>
      <formula>"'D - Rejected "</formula>
    </cfRule>
    <cfRule type="cellIs" dxfId="3672" priority="24" operator="between">
      <formula>"E - Review not Required - Proceed"</formula>
      <formula>"E - Review not Required - Proceed"</formula>
    </cfRule>
    <cfRule type="cellIs" dxfId="3671" priority="23" operator="equal">
      <formula>"E - Review Not Required - Proceed"</formula>
    </cfRule>
    <cfRule type="cellIs" dxfId="3670" priority="22" operator="equal">
      <formula>"B - Incorporate Comments - Proceed "</formula>
    </cfRule>
    <cfRule type="cellIs" dxfId="3669" priority="21" operator="equal">
      <formula>"For Information"</formula>
    </cfRule>
    <cfRule type="cellIs" dxfId="3668" priority="20" operator="equal">
      <formula>"A - Work May Proceed"</formula>
    </cfRule>
    <cfRule type="cellIs" dxfId="3667" priority="19" operator="equal">
      <formula>"C - Revise and Resubmit - Do Not Proceed"</formula>
    </cfRule>
    <cfRule type="cellIs" dxfId="3666" priority="17" operator="equal">
      <formula>"D - Rejected"</formula>
    </cfRule>
    <cfRule type="cellIs" dxfId="3665" priority="16" operator="equal">
      <formula>"E - Review not Required - Proceed"</formula>
    </cfRule>
    <cfRule type="cellIs" dxfId="3664" priority="32" operator="between">
      <formula>"CANCELLED"</formula>
      <formula>"CANCELLED"</formula>
    </cfRule>
    <cfRule type="cellIs" dxfId="3663" priority="18" operator="equal">
      <formula>"B - Incorporate Comments - Proceed"</formula>
    </cfRule>
    <cfRule type="cellIs" dxfId="3662" priority="35" stopIfTrue="1" operator="between">
      <formula>"B - Incorporate Comments - Proceed "</formula>
      <formula>"B - Incorporate Comments - Proceed "</formula>
    </cfRule>
    <cfRule type="cellIs" dxfId="3661" priority="34" operator="between">
      <formula>"C - Revise and Resubmit - Do Not Proceed"</formula>
      <formula>"C - Revise and Resubmit - Do Not Proceed"</formula>
    </cfRule>
    <cfRule type="cellIs" dxfId="3660" priority="33" operator="between">
      <formula>"A - Work May Proceed"</formula>
      <formula>"A - Work May Proceed"</formula>
    </cfRule>
  </conditionalFormatting>
  <conditionalFormatting sqref="AY11">
    <cfRule type="cellIs" dxfId="3659" priority="55" stopIfTrue="1" operator="between">
      <formula>"B - Incorporate Comments - Proceed "</formula>
      <formula>"B - Incorporate Comments - Proceed "</formula>
    </cfRule>
    <cfRule type="cellIs" dxfId="3658" priority="53" operator="between">
      <formula>"A - Work May Proceed"</formula>
      <formula>"A - Work May Proceed"</formula>
    </cfRule>
    <cfRule type="cellIs" dxfId="3657" priority="52" operator="between">
      <formula>"CANCELLED"</formula>
      <formula>"CANCELLED"</formula>
    </cfRule>
    <cfRule type="cellIs" dxfId="3656" priority="51" operator="between">
      <formula>"D - Rejected "</formula>
      <formula>"D - Rejected "</formula>
    </cfRule>
    <cfRule type="cellIs" dxfId="3655" priority="50" operator="between">
      <formula>"E - Review not Required - Proceed"</formula>
      <formula>"E - Review not Required - Proceed"</formula>
    </cfRule>
    <cfRule type="cellIs" dxfId="3654" priority="45" operator="between">
      <formula>"'D - Rejected "</formula>
      <formula>"'D - Rejected "</formula>
    </cfRule>
    <cfRule type="cellIs" dxfId="3653" priority="44" operator="between">
      <formula>"E - Review not Required - Proceed"</formula>
      <formula>"E - Review not Required - Proceed"</formula>
    </cfRule>
    <cfRule type="cellIs" dxfId="3652" priority="54" operator="between">
      <formula>"C - Revise and Resubmit - Do Not Proceed"</formula>
      <formula>"C - Revise and Resubmit - Do Not Proceed"</formula>
    </cfRule>
    <cfRule type="cellIs" dxfId="3651" priority="43" operator="equal">
      <formula>"E - Review Not Required - Proceed"</formula>
    </cfRule>
    <cfRule type="cellIs" dxfId="3650" priority="42" operator="equal">
      <formula>"B - Incorporate Comments - Proceed "</formula>
    </cfRule>
    <cfRule type="cellIs" dxfId="3649" priority="41" operator="equal">
      <formula>"For Information"</formula>
    </cfRule>
    <cfRule type="cellIs" dxfId="3648" priority="40" operator="equal">
      <formula>"A - Work May Proceed"</formula>
    </cfRule>
    <cfRule type="cellIs" dxfId="3647" priority="39" operator="equal">
      <formula>"C - Revise and Resubmit - Do Not Proceed"</formula>
    </cfRule>
    <cfRule type="cellIs" dxfId="3646" priority="38" operator="equal">
      <formula>"B - Incorporate Comments - Proceed"</formula>
    </cfRule>
    <cfRule type="cellIs" dxfId="3645" priority="37" operator="equal">
      <formula>"D - Rejected"</formula>
    </cfRule>
    <cfRule type="cellIs" dxfId="3644" priority="36" operator="equal">
      <formula>"E - Review not Required - Proceed"</formula>
    </cfRule>
    <cfRule type="cellIs" dxfId="3643" priority="48" operator="between">
      <formula>"A - Work May Proceed"</formula>
      <formula>"A - Work May Proceed"</formula>
    </cfRule>
    <cfRule type="cellIs" dxfId="3642" priority="47" operator="between">
      <formula>"B - Incorporate Comments - Proceed"</formula>
      <formula>"B - Incorporate Comments - Proceed"</formula>
    </cfRule>
    <cfRule type="cellIs" dxfId="3641" priority="46" operator="between">
      <formula>"C - Revise and Resubmit - Do Not Proceed"</formula>
      <formula>"C - Revise and Resubmit - Do Not Proceed"</formula>
    </cfRule>
    <cfRule type="cellIs" dxfId="3640" priority="49" operator="between">
      <formula>"B - Incorporate Comments - Proceed"</formula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5"/>
  </sheetPr>
  <dimension ref="A1:BF41"/>
  <sheetViews>
    <sheetView zoomScale="55" zoomScaleNormal="55" zoomScaleSheetLayoutView="70" workbookViewId="0">
      <pane ySplit="11" topLeftCell="A12" activePane="bottomLeft" state="frozen"/>
      <selection activeCell="A14" sqref="A14"/>
      <selection pane="bottomLeft" activeCell="D8" sqref="D8"/>
    </sheetView>
  </sheetViews>
  <sheetFormatPr defaultColWidth="9.140625" defaultRowHeight="15" x14ac:dyDescent="0.25"/>
  <cols>
    <col min="1" max="1" width="23" style="393" customWidth="1"/>
    <col min="2" max="2" width="32" style="393" customWidth="1"/>
    <col min="3" max="3" width="32" style="454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0.140625" style="398" customWidth="1"/>
    <col min="22" max="23" width="30.140625" style="393" customWidth="1"/>
    <col min="24" max="24" width="30.140625" style="397" customWidth="1"/>
    <col min="25" max="26" width="30.140625" style="393" customWidth="1"/>
    <col min="27" max="27" width="30.140625" style="397" customWidth="1"/>
    <col min="28" max="28" width="30.140625" style="398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50.7109375" style="401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171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 s="111"/>
      <c r="V1"/>
      <c r="W1" s="7"/>
      <c r="X1" s="18"/>
      <c r="Y1" s="7"/>
      <c r="Z1" s="7"/>
      <c r="AA1" s="18"/>
      <c r="AB1" s="121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"/>
    </row>
    <row r="2" spans="1:58" s="379" customFormat="1" ht="24" customHeight="1" x14ac:dyDescent="0.35">
      <c r="A2" s="8"/>
      <c r="B2" s="25" t="s">
        <v>28</v>
      </c>
      <c r="C2" s="171" t="s">
        <v>16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 s="111"/>
      <c r="V2"/>
      <c r="W2" s="7"/>
      <c r="X2" s="18"/>
      <c r="Y2" s="7"/>
      <c r="Z2" s="7"/>
      <c r="AA2" s="18"/>
      <c r="AB2" s="121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"/>
    </row>
    <row r="3" spans="1:58" s="379" customFormat="1" ht="24" customHeight="1" x14ac:dyDescent="0.35">
      <c r="A3" s="8"/>
      <c r="B3" s="25" t="s">
        <v>507</v>
      </c>
      <c r="C3" s="176" t="s">
        <v>277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 s="111"/>
      <c r="V3"/>
      <c r="W3" s="7"/>
      <c r="X3" s="18"/>
      <c r="Y3" s="7"/>
      <c r="Z3" s="7"/>
      <c r="AA3" s="18"/>
      <c r="AB3" s="121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"/>
    </row>
    <row r="4" spans="1:58" s="379" customFormat="1" ht="24" customHeight="1" x14ac:dyDescent="0.35">
      <c r="A4" s="8"/>
      <c r="B4" s="49"/>
      <c r="C4" s="177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 s="111"/>
      <c r="V4"/>
      <c r="W4" s="7"/>
      <c r="X4" s="18"/>
      <c r="Y4" s="7"/>
      <c r="Z4" s="7"/>
      <c r="AA4" s="18"/>
      <c r="AB4" s="121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"/>
    </row>
    <row r="5" spans="1:58" s="379" customFormat="1" ht="24" customHeight="1" x14ac:dyDescent="0.35">
      <c r="A5" s="8"/>
      <c r="B5" s="84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 s="111"/>
      <c r="V5"/>
      <c r="W5" s="7"/>
      <c r="X5" s="18"/>
      <c r="Y5" s="7"/>
      <c r="Z5" s="7"/>
      <c r="AA5" s="18"/>
      <c r="AB5" s="121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"/>
    </row>
    <row r="6" spans="1:58" s="379" customFormat="1" ht="24" customHeight="1" x14ac:dyDescent="0.35">
      <c r="A6" s="8"/>
      <c r="B6" s="85">
        <f>COUNTIF(B11:B41,"A - Work May Proceed")</f>
        <v>27</v>
      </c>
      <c r="C6" s="65">
        <f>COUNTIF(B11:B41,"B- Incorporate Comments - Proceed")</f>
        <v>1</v>
      </c>
      <c r="D6" s="65">
        <f>COUNTIF(B11:B41,"C - Revise and Resubmit - Do Not Proceed")</f>
        <v>0</v>
      </c>
      <c r="E6" s="65">
        <f>COUNTIF(B11:B41,"D - Rejected")</f>
        <v>0</v>
      </c>
      <c r="F6" s="65">
        <f>COUNTIF(B11:B41,"E - Review not Required - Proceed")</f>
        <v>0</v>
      </c>
      <c r="G6" s="66">
        <f>COUNTIF(B11:B41,"UR")</f>
        <v>0</v>
      </c>
      <c r="H6" s="66">
        <f>COUNTIF(B11:B41,"FA")</f>
        <v>0</v>
      </c>
      <c r="I6" s="66">
        <f>COUNTIF(B11:B41,"Terminated")</f>
        <v>0</v>
      </c>
      <c r="J6" s="66">
        <f>COUNTIF(B11:B41,"Cancelled")</f>
        <v>1</v>
      </c>
      <c r="K6"/>
      <c r="L6"/>
      <c r="M6"/>
      <c r="N6"/>
      <c r="O6"/>
      <c r="P6"/>
      <c r="Q6"/>
      <c r="R6"/>
      <c r="S6"/>
      <c r="T6"/>
      <c r="U6" s="111"/>
      <c r="V6"/>
      <c r="W6" s="7"/>
      <c r="X6" s="18"/>
      <c r="Y6" s="7"/>
      <c r="Z6" s="7"/>
      <c r="AA6" s="18"/>
      <c r="AB6" s="121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"/>
    </row>
    <row r="7" spans="1:58" s="379" customFormat="1" ht="24" customHeight="1" x14ac:dyDescent="0.35">
      <c r="A7" s="8"/>
      <c r="B7" s="86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 s="111"/>
      <c r="V7"/>
      <c r="W7" s="7"/>
      <c r="X7" s="18"/>
      <c r="Y7" s="7"/>
      <c r="Z7" s="7"/>
      <c r="AA7" s="18"/>
      <c r="AB7" s="121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"/>
    </row>
    <row r="8" spans="1:58" s="379" customFormat="1" ht="24" customHeight="1" x14ac:dyDescent="0.35">
      <c r="A8" s="8"/>
      <c r="B8" s="87" t="s">
        <v>509</v>
      </c>
      <c r="C8" s="73">
        <f>SUM(B6:J6)</f>
        <v>29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 s="111"/>
      <c r="V8"/>
      <c r="W8" s="7"/>
      <c r="X8" s="18"/>
      <c r="Y8" s="7"/>
      <c r="Z8" s="7"/>
      <c r="AA8" s="18"/>
      <c r="AB8" s="121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"/>
    </row>
    <row r="9" spans="1:58" s="379" customFormat="1" ht="24" customHeight="1" thickBot="1" x14ac:dyDescent="0.4">
      <c r="A9" s="8"/>
      <c r="B9" s="49"/>
      <c r="C9" s="177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 s="111"/>
      <c r="V9"/>
      <c r="W9" s="7"/>
      <c r="X9" s="18"/>
      <c r="Y9" s="7"/>
      <c r="Z9" s="7"/>
      <c r="AA9" s="18"/>
      <c r="AB9" s="121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"/>
    </row>
    <row r="10" spans="1:58" s="405" customFormat="1" ht="36.75" customHeight="1" x14ac:dyDescent="0.2">
      <c r="A10" s="550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51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113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120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12" t="s">
        <v>5</v>
      </c>
      <c r="C12" s="56" t="s">
        <v>54</v>
      </c>
      <c r="D12" s="10" t="s">
        <v>326</v>
      </c>
      <c r="E12" s="12" t="s">
        <v>376</v>
      </c>
      <c r="F12" s="16" t="s">
        <v>327</v>
      </c>
      <c r="G12" s="10" t="s">
        <v>15</v>
      </c>
      <c r="H12" s="10" t="s">
        <v>277</v>
      </c>
      <c r="I12" s="16" t="s">
        <v>5</v>
      </c>
      <c r="J12" s="14">
        <v>45575</v>
      </c>
      <c r="K12" s="12" t="s">
        <v>332</v>
      </c>
      <c r="L12" s="20">
        <f>J12+7</f>
        <v>45582</v>
      </c>
      <c r="M12" s="14">
        <v>45581</v>
      </c>
      <c r="N12" s="92">
        <f>M12-L12</f>
        <v>-1</v>
      </c>
      <c r="O12" s="12" t="s">
        <v>347</v>
      </c>
      <c r="P12" s="16"/>
      <c r="Q12" s="20"/>
      <c r="R12" s="12"/>
      <c r="S12" s="12"/>
      <c r="T12" s="20"/>
      <c r="U12" s="91"/>
      <c r="V12" s="12"/>
      <c r="W12" s="12"/>
      <c r="X12" s="20"/>
      <c r="Y12" s="12"/>
      <c r="Z12" s="12"/>
      <c r="AA12" s="20"/>
      <c r="AB12" s="91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368"/>
    </row>
    <row r="13" spans="1:58" s="381" customFormat="1" ht="42" customHeight="1" x14ac:dyDescent="0.25">
      <c r="A13" s="367">
        <v>730007</v>
      </c>
      <c r="B13" s="12" t="s">
        <v>5</v>
      </c>
      <c r="C13" s="56" t="s">
        <v>588</v>
      </c>
      <c r="D13" s="10" t="s">
        <v>373</v>
      </c>
      <c r="E13" s="12" t="s">
        <v>374</v>
      </c>
      <c r="F13" s="16" t="s">
        <v>375</v>
      </c>
      <c r="G13" s="10" t="s">
        <v>15</v>
      </c>
      <c r="H13" s="10" t="s">
        <v>277</v>
      </c>
      <c r="I13" s="16" t="s">
        <v>18</v>
      </c>
      <c r="J13" s="14">
        <v>45578</v>
      </c>
      <c r="K13" s="12" t="s">
        <v>377</v>
      </c>
      <c r="L13" s="20">
        <f t="shared" ref="L13:L33" si="0">J13+7</f>
        <v>45585</v>
      </c>
      <c r="M13" s="14">
        <v>45582</v>
      </c>
      <c r="N13" s="92">
        <f t="shared" ref="N13:N40" si="1">M13-L13</f>
        <v>-3</v>
      </c>
      <c r="O13" s="12" t="s">
        <v>382</v>
      </c>
      <c r="P13" s="16" t="s">
        <v>18</v>
      </c>
      <c r="Q13" s="20">
        <v>45651</v>
      </c>
      <c r="R13" s="12" t="s">
        <v>1629</v>
      </c>
      <c r="S13" s="20">
        <f>Q13+7</f>
        <v>45658</v>
      </c>
      <c r="T13" s="20">
        <v>45654</v>
      </c>
      <c r="U13" s="91">
        <f>T13-S13</f>
        <v>-4</v>
      </c>
      <c r="V13" s="12" t="s">
        <v>1672</v>
      </c>
      <c r="W13" s="12" t="s">
        <v>5</v>
      </c>
      <c r="X13" s="20">
        <v>45714</v>
      </c>
      <c r="Y13" s="12" t="s">
        <v>2613</v>
      </c>
      <c r="Z13" s="20">
        <f>X13+7</f>
        <v>45721</v>
      </c>
      <c r="AA13" s="20">
        <v>45715</v>
      </c>
      <c r="AB13" s="91">
        <f>AA13-Z13</f>
        <v>-6</v>
      </c>
      <c r="AC13" s="12" t="s">
        <v>2620</v>
      </c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368"/>
    </row>
    <row r="14" spans="1:58" s="381" customFormat="1" ht="42" customHeight="1" x14ac:dyDescent="0.25">
      <c r="A14" s="367">
        <v>730007</v>
      </c>
      <c r="B14" s="12" t="s">
        <v>5</v>
      </c>
      <c r="C14" s="56" t="s">
        <v>54</v>
      </c>
      <c r="D14" s="10" t="s">
        <v>378</v>
      </c>
      <c r="E14" s="12" t="s">
        <v>379</v>
      </c>
      <c r="F14" s="16" t="s">
        <v>380</v>
      </c>
      <c r="G14" s="10" t="s">
        <v>15</v>
      </c>
      <c r="H14" s="10" t="s">
        <v>277</v>
      </c>
      <c r="I14" s="16" t="s">
        <v>5</v>
      </c>
      <c r="J14" s="14">
        <v>45578</v>
      </c>
      <c r="K14" s="12" t="s">
        <v>381</v>
      </c>
      <c r="L14" s="20">
        <f t="shared" si="0"/>
        <v>45585</v>
      </c>
      <c r="M14" s="14">
        <v>45593</v>
      </c>
      <c r="N14" s="92">
        <f t="shared" si="1"/>
        <v>8</v>
      </c>
      <c r="O14" s="12" t="s">
        <v>457</v>
      </c>
      <c r="P14" s="16"/>
      <c r="Q14" s="20"/>
      <c r="R14" s="12"/>
      <c r="S14" s="12"/>
      <c r="T14" s="20"/>
      <c r="U14" s="91"/>
      <c r="V14" s="12"/>
      <c r="W14" s="12"/>
      <c r="X14" s="20"/>
      <c r="Y14" s="12"/>
      <c r="Z14" s="12"/>
      <c r="AA14" s="20"/>
      <c r="AB14" s="91"/>
      <c r="AC14" s="12"/>
      <c r="AD14" s="12"/>
      <c r="AE14" s="20"/>
      <c r="AF14" s="12"/>
      <c r="AG14" s="12"/>
      <c r="AH14" s="20"/>
      <c r="AI14" s="20"/>
      <c r="AJ14" s="12"/>
      <c r="AK14" s="10"/>
      <c r="AL14" s="14"/>
      <c r="AM14" s="12"/>
      <c r="AN14" s="12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/>
      <c r="BF14" s="368"/>
    </row>
    <row r="15" spans="1:58" s="381" customFormat="1" ht="42" customHeight="1" x14ac:dyDescent="0.25">
      <c r="A15" s="367">
        <v>730007</v>
      </c>
      <c r="B15" s="12" t="s">
        <v>5</v>
      </c>
      <c r="C15" s="56" t="s">
        <v>588</v>
      </c>
      <c r="D15" s="10" t="s">
        <v>389</v>
      </c>
      <c r="E15" s="12" t="s">
        <v>390</v>
      </c>
      <c r="F15" s="16" t="s">
        <v>391</v>
      </c>
      <c r="G15" s="10" t="s">
        <v>15</v>
      </c>
      <c r="H15" s="10" t="s">
        <v>277</v>
      </c>
      <c r="I15" s="16" t="s">
        <v>3</v>
      </c>
      <c r="J15" s="14">
        <v>45579</v>
      </c>
      <c r="K15" s="12" t="s">
        <v>392</v>
      </c>
      <c r="L15" s="20">
        <f t="shared" si="0"/>
        <v>45586</v>
      </c>
      <c r="M15" s="14">
        <v>45586</v>
      </c>
      <c r="N15" s="92">
        <f t="shared" si="1"/>
        <v>0</v>
      </c>
      <c r="O15" s="12" t="s">
        <v>396</v>
      </c>
      <c r="P15" s="16" t="s">
        <v>18</v>
      </c>
      <c r="Q15" s="20">
        <v>45608</v>
      </c>
      <c r="R15" s="12" t="s">
        <v>877</v>
      </c>
      <c r="S15" s="20">
        <f>Q15+7</f>
        <v>45615</v>
      </c>
      <c r="T15" s="20">
        <v>45614</v>
      </c>
      <c r="U15" s="91">
        <f>T15-S15</f>
        <v>-1</v>
      </c>
      <c r="V15" s="12" t="s">
        <v>887</v>
      </c>
      <c r="W15" s="12" t="s">
        <v>5</v>
      </c>
      <c r="X15" s="20">
        <v>46040</v>
      </c>
      <c r="Y15" s="12" t="s">
        <v>5591</v>
      </c>
      <c r="Z15" s="20">
        <f>X15+7</f>
        <v>46047</v>
      </c>
      <c r="AA15" s="20">
        <v>46050</v>
      </c>
      <c r="AB15" s="91">
        <f>AA15-Z15</f>
        <v>3</v>
      </c>
      <c r="AC15" s="12" t="s">
        <v>5593</v>
      </c>
      <c r="AD15" s="12"/>
      <c r="AE15" s="20"/>
      <c r="AF15" s="12"/>
      <c r="AG15" s="12"/>
      <c r="AH15" s="20"/>
      <c r="AI15" s="20"/>
      <c r="AJ15" s="12"/>
      <c r="AK15" s="10"/>
      <c r="AL15" s="14"/>
      <c r="AM15" s="12"/>
      <c r="AN15" s="12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2"/>
      <c r="BF15" s="368"/>
    </row>
    <row r="16" spans="1:58" s="381" customFormat="1" ht="42" customHeight="1" x14ac:dyDescent="0.25">
      <c r="A16" s="367">
        <v>730007</v>
      </c>
      <c r="B16" s="12" t="s">
        <v>5</v>
      </c>
      <c r="C16" s="56" t="s">
        <v>208</v>
      </c>
      <c r="D16" s="12" t="s">
        <v>420</v>
      </c>
      <c r="E16" s="12" t="s">
        <v>421</v>
      </c>
      <c r="F16" s="16" t="s">
        <v>422</v>
      </c>
      <c r="G16" s="10" t="s">
        <v>15</v>
      </c>
      <c r="H16" s="10" t="s">
        <v>277</v>
      </c>
      <c r="I16" s="16" t="s">
        <v>18</v>
      </c>
      <c r="J16" s="14">
        <v>45583</v>
      </c>
      <c r="K16" s="13" t="s">
        <v>423</v>
      </c>
      <c r="L16" s="20">
        <f t="shared" si="0"/>
        <v>45590</v>
      </c>
      <c r="M16" s="14">
        <v>45592</v>
      </c>
      <c r="N16" s="92">
        <f t="shared" si="1"/>
        <v>2</v>
      </c>
      <c r="O16" s="10" t="s">
        <v>459</v>
      </c>
      <c r="P16" s="12" t="s">
        <v>5</v>
      </c>
      <c r="Q16" s="21">
        <v>46005</v>
      </c>
      <c r="R16" s="10" t="s">
        <v>5238</v>
      </c>
      <c r="S16" s="20">
        <f>Q16+7</f>
        <v>46012</v>
      </c>
      <c r="T16" s="20">
        <v>46014</v>
      </c>
      <c r="U16" s="91">
        <f>T16-S16</f>
        <v>2</v>
      </c>
      <c r="V16" s="10" t="s">
        <v>5249</v>
      </c>
      <c r="W16" s="10"/>
      <c r="X16" s="21"/>
      <c r="Y16" s="10"/>
      <c r="Z16" s="10"/>
      <c r="AA16" s="21"/>
      <c r="AB16" s="95"/>
      <c r="AC16" s="10"/>
      <c r="AD16" s="10"/>
      <c r="AE16" s="21"/>
      <c r="AF16" s="10"/>
      <c r="AG16" s="10"/>
      <c r="AH16" s="21"/>
      <c r="AI16" s="21"/>
      <c r="AJ16" s="10"/>
      <c r="AK16" s="10"/>
      <c r="AL16" s="17"/>
      <c r="AM16" s="11"/>
      <c r="AN16" s="11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1"/>
      <c r="BF16" s="368"/>
    </row>
    <row r="17" spans="1:58" s="381" customFormat="1" ht="42" customHeight="1" x14ac:dyDescent="0.25">
      <c r="A17" s="367">
        <v>730007</v>
      </c>
      <c r="B17" s="12" t="s">
        <v>5</v>
      </c>
      <c r="C17" s="11" t="s">
        <v>54</v>
      </c>
      <c r="D17" s="12" t="s">
        <v>424</v>
      </c>
      <c r="E17" s="12" t="s">
        <v>425</v>
      </c>
      <c r="F17" s="16" t="s">
        <v>426</v>
      </c>
      <c r="G17" s="10" t="s">
        <v>15</v>
      </c>
      <c r="H17" s="10" t="s">
        <v>277</v>
      </c>
      <c r="I17" s="16" t="s">
        <v>5</v>
      </c>
      <c r="J17" s="14">
        <v>45583</v>
      </c>
      <c r="K17" s="13" t="s">
        <v>427</v>
      </c>
      <c r="L17" s="20">
        <f t="shared" si="0"/>
        <v>45590</v>
      </c>
      <c r="M17" s="14">
        <v>45593</v>
      </c>
      <c r="N17" s="92">
        <f t="shared" si="1"/>
        <v>3</v>
      </c>
      <c r="O17" s="10" t="s">
        <v>460</v>
      </c>
      <c r="P17" s="10"/>
      <c r="Q17" s="21"/>
      <c r="R17" s="10"/>
      <c r="S17" s="10"/>
      <c r="T17" s="21"/>
      <c r="U17" s="95"/>
      <c r="V17" s="10"/>
      <c r="W17" s="10"/>
      <c r="X17" s="21"/>
      <c r="Y17" s="10"/>
      <c r="Z17" s="10"/>
      <c r="AA17" s="21"/>
      <c r="AB17" s="95"/>
      <c r="AC17" s="10"/>
      <c r="AD17" s="10"/>
      <c r="AE17" s="21"/>
      <c r="AF17" s="10"/>
      <c r="AG17" s="10"/>
      <c r="AH17" s="21"/>
      <c r="AI17" s="21"/>
      <c r="AJ17" s="10"/>
      <c r="AK17" s="10"/>
      <c r="AL17" s="17"/>
      <c r="AM17" s="11"/>
      <c r="AN17" s="11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1"/>
      <c r="BF17" s="368"/>
    </row>
    <row r="18" spans="1:58" s="381" customFormat="1" ht="42" customHeight="1" x14ac:dyDescent="0.25">
      <c r="A18" s="367">
        <v>730007</v>
      </c>
      <c r="B18" s="12" t="s">
        <v>5</v>
      </c>
      <c r="C18" s="11" t="s">
        <v>54</v>
      </c>
      <c r="D18" s="12" t="s">
        <v>445</v>
      </c>
      <c r="E18" s="12" t="s">
        <v>446</v>
      </c>
      <c r="F18" s="16" t="s">
        <v>447</v>
      </c>
      <c r="G18" s="10" t="s">
        <v>15</v>
      </c>
      <c r="H18" s="10" t="s">
        <v>277</v>
      </c>
      <c r="I18" s="16" t="s">
        <v>5</v>
      </c>
      <c r="J18" s="14">
        <v>45584</v>
      </c>
      <c r="K18" s="13" t="s">
        <v>448</v>
      </c>
      <c r="L18" s="20">
        <f t="shared" si="0"/>
        <v>45591</v>
      </c>
      <c r="M18" s="14">
        <v>45593</v>
      </c>
      <c r="N18" s="92">
        <f t="shared" si="1"/>
        <v>2</v>
      </c>
      <c r="O18" s="10" t="s">
        <v>462</v>
      </c>
      <c r="P18" s="10"/>
      <c r="Q18" s="21"/>
      <c r="R18" s="10"/>
      <c r="S18" s="10"/>
      <c r="T18" s="21"/>
      <c r="U18" s="95"/>
      <c r="V18" s="10"/>
      <c r="W18" s="10"/>
      <c r="X18" s="21"/>
      <c r="Y18" s="10"/>
      <c r="Z18" s="10"/>
      <c r="AA18" s="21"/>
      <c r="AB18" s="95"/>
      <c r="AC18" s="10"/>
      <c r="AD18" s="10"/>
      <c r="AE18" s="21"/>
      <c r="AF18" s="10"/>
      <c r="AG18" s="10"/>
      <c r="AH18" s="21"/>
      <c r="AI18" s="21"/>
      <c r="AJ18" s="10"/>
      <c r="AK18" s="10"/>
      <c r="AL18" s="17"/>
      <c r="AM18" s="11"/>
      <c r="AN18" s="11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1"/>
      <c r="BF18" s="368"/>
    </row>
    <row r="19" spans="1:58" s="381" customFormat="1" ht="42" customHeight="1" x14ac:dyDescent="0.25">
      <c r="A19" s="367">
        <v>730007</v>
      </c>
      <c r="B19" s="12" t="s">
        <v>5</v>
      </c>
      <c r="C19" s="56" t="s">
        <v>208</v>
      </c>
      <c r="D19" s="12" t="s">
        <v>513</v>
      </c>
      <c r="E19" s="12" t="s">
        <v>514</v>
      </c>
      <c r="F19" s="16" t="s">
        <v>515</v>
      </c>
      <c r="G19" s="10" t="s">
        <v>15</v>
      </c>
      <c r="H19" s="10" t="s">
        <v>277</v>
      </c>
      <c r="I19" s="16" t="s">
        <v>18</v>
      </c>
      <c r="J19" s="14">
        <v>45589</v>
      </c>
      <c r="K19" s="13" t="s">
        <v>516</v>
      </c>
      <c r="L19" s="20">
        <f t="shared" si="0"/>
        <v>45596</v>
      </c>
      <c r="M19" s="14">
        <v>45595</v>
      </c>
      <c r="N19" s="92">
        <f t="shared" si="1"/>
        <v>-1</v>
      </c>
      <c r="O19" s="10" t="s">
        <v>547</v>
      </c>
      <c r="P19" s="16" t="s">
        <v>5</v>
      </c>
      <c r="Q19" s="21">
        <v>45983</v>
      </c>
      <c r="R19" s="10" t="s">
        <v>5007</v>
      </c>
      <c r="S19" s="14">
        <f t="shared" ref="S19:S27" si="2">Q19+7</f>
        <v>45990</v>
      </c>
      <c r="T19" s="21">
        <v>45987</v>
      </c>
      <c r="U19" s="95">
        <f t="shared" ref="U19:U27" si="3">T19-S19</f>
        <v>-3</v>
      </c>
      <c r="V19" s="10" t="s">
        <v>5016</v>
      </c>
      <c r="W19" s="10"/>
      <c r="X19" s="21"/>
      <c r="Y19" s="10"/>
      <c r="Z19" s="10"/>
      <c r="AA19" s="21"/>
      <c r="AB19" s="95"/>
      <c r="AC19" s="10"/>
      <c r="AD19" s="10"/>
      <c r="AE19" s="21"/>
      <c r="AF19" s="10"/>
      <c r="AG19" s="10"/>
      <c r="AH19" s="21"/>
      <c r="AI19" s="21"/>
      <c r="AJ19" s="10"/>
      <c r="AK19" s="10"/>
      <c r="AL19" s="17"/>
      <c r="AM19" s="11"/>
      <c r="AN19" s="11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1"/>
      <c r="BF19" s="368"/>
    </row>
    <row r="20" spans="1:58" s="381" customFormat="1" ht="42" customHeight="1" x14ac:dyDescent="0.25">
      <c r="A20" s="367">
        <v>730007</v>
      </c>
      <c r="B20" s="12" t="s">
        <v>5</v>
      </c>
      <c r="C20" s="56" t="s">
        <v>208</v>
      </c>
      <c r="D20" s="12" t="s">
        <v>517</v>
      </c>
      <c r="E20" s="12" t="s">
        <v>518</v>
      </c>
      <c r="F20" s="16" t="s">
        <v>519</v>
      </c>
      <c r="G20" s="10" t="s">
        <v>15</v>
      </c>
      <c r="H20" s="10" t="s">
        <v>277</v>
      </c>
      <c r="I20" s="16" t="s">
        <v>18</v>
      </c>
      <c r="J20" s="14">
        <v>45589</v>
      </c>
      <c r="K20" s="13" t="s">
        <v>520</v>
      </c>
      <c r="L20" s="20">
        <f t="shared" si="0"/>
        <v>45596</v>
      </c>
      <c r="M20" s="14">
        <v>45595</v>
      </c>
      <c r="N20" s="92">
        <f t="shared" si="1"/>
        <v>-1</v>
      </c>
      <c r="O20" s="10" t="s">
        <v>546</v>
      </c>
      <c r="P20" s="10" t="s">
        <v>5</v>
      </c>
      <c r="Q20" s="21">
        <v>46093</v>
      </c>
      <c r="R20" s="10" t="s">
        <v>6014</v>
      </c>
      <c r="S20" s="14">
        <f t="shared" si="2"/>
        <v>46100</v>
      </c>
      <c r="T20" s="21">
        <v>46093</v>
      </c>
      <c r="U20" s="95">
        <f t="shared" si="3"/>
        <v>-7</v>
      </c>
      <c r="V20" s="10" t="s">
        <v>6030</v>
      </c>
      <c r="W20" s="10"/>
      <c r="X20" s="21"/>
      <c r="Y20" s="10"/>
      <c r="Z20" s="10"/>
      <c r="AA20" s="21"/>
      <c r="AB20" s="95"/>
      <c r="AC20" s="10"/>
      <c r="AD20" s="10"/>
      <c r="AE20" s="21"/>
      <c r="AF20" s="10"/>
      <c r="AG20" s="10"/>
      <c r="AH20" s="21"/>
      <c r="AI20" s="21"/>
      <c r="AJ20" s="10"/>
      <c r="AK20" s="10"/>
      <c r="AL20" s="17"/>
      <c r="AM20" s="11"/>
      <c r="AN20" s="11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1"/>
      <c r="BF20" s="368"/>
    </row>
    <row r="21" spans="1:58" s="381" customFormat="1" ht="42" customHeight="1" x14ac:dyDescent="0.25">
      <c r="A21" s="367">
        <v>730007</v>
      </c>
      <c r="B21" s="12" t="s">
        <v>5</v>
      </c>
      <c r="C21" s="56" t="s">
        <v>208</v>
      </c>
      <c r="D21" s="12" t="s">
        <v>540</v>
      </c>
      <c r="E21" s="12" t="s">
        <v>541</v>
      </c>
      <c r="F21" s="16" t="s">
        <v>542</v>
      </c>
      <c r="G21" s="10" t="s">
        <v>15</v>
      </c>
      <c r="H21" s="10" t="s">
        <v>277</v>
      </c>
      <c r="I21" s="16" t="s">
        <v>18</v>
      </c>
      <c r="J21" s="14">
        <v>45589</v>
      </c>
      <c r="K21" s="13" t="s">
        <v>543</v>
      </c>
      <c r="L21" s="20">
        <f t="shared" si="0"/>
        <v>45596</v>
      </c>
      <c r="M21" s="14">
        <v>45595</v>
      </c>
      <c r="N21" s="92">
        <f t="shared" si="1"/>
        <v>-1</v>
      </c>
      <c r="O21" s="10" t="s">
        <v>552</v>
      </c>
      <c r="P21" s="10" t="s">
        <v>5</v>
      </c>
      <c r="Q21" s="21">
        <v>46093</v>
      </c>
      <c r="R21" s="10" t="s">
        <v>6024</v>
      </c>
      <c r="S21" s="14">
        <f t="shared" si="2"/>
        <v>46100</v>
      </c>
      <c r="T21" s="21">
        <v>46093</v>
      </c>
      <c r="U21" s="95">
        <f t="shared" si="3"/>
        <v>-7</v>
      </c>
      <c r="V21" s="10" t="s">
        <v>6031</v>
      </c>
      <c r="W21" s="10"/>
      <c r="X21" s="21"/>
      <c r="Y21" s="10"/>
      <c r="Z21" s="10"/>
      <c r="AA21" s="21"/>
      <c r="AB21" s="95"/>
      <c r="AC21" s="10"/>
      <c r="AD21" s="10"/>
      <c r="AE21" s="21"/>
      <c r="AF21" s="10"/>
      <c r="AG21" s="10"/>
      <c r="AH21" s="21"/>
      <c r="AI21" s="21"/>
      <c r="AJ21" s="10"/>
      <c r="AK21" s="10"/>
      <c r="AL21" s="17"/>
      <c r="AM21" s="11"/>
      <c r="AN21" s="11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1"/>
      <c r="BF21" s="368"/>
    </row>
    <row r="22" spans="1:58" s="381" customFormat="1" ht="42" customHeight="1" x14ac:dyDescent="0.25">
      <c r="A22" s="367">
        <v>730007</v>
      </c>
      <c r="B22" s="12" t="s">
        <v>5</v>
      </c>
      <c r="C22" s="56" t="s">
        <v>208</v>
      </c>
      <c r="D22" s="12" t="s">
        <v>556</v>
      </c>
      <c r="E22" s="12" t="s">
        <v>558</v>
      </c>
      <c r="F22" s="16" t="s">
        <v>560</v>
      </c>
      <c r="G22" s="10" t="s">
        <v>15</v>
      </c>
      <c r="H22" s="10" t="s">
        <v>277</v>
      </c>
      <c r="I22" s="16" t="s">
        <v>18</v>
      </c>
      <c r="J22" s="14">
        <v>45591</v>
      </c>
      <c r="K22" s="13" t="s">
        <v>562</v>
      </c>
      <c r="L22" s="20">
        <f t="shared" si="0"/>
        <v>45598</v>
      </c>
      <c r="M22" s="14">
        <v>45594</v>
      </c>
      <c r="N22" s="92">
        <f t="shared" si="1"/>
        <v>-4</v>
      </c>
      <c r="O22" s="10" t="s">
        <v>567</v>
      </c>
      <c r="P22" s="16" t="s">
        <v>5</v>
      </c>
      <c r="Q22" s="21">
        <v>46042</v>
      </c>
      <c r="R22" s="10" t="s">
        <v>5631</v>
      </c>
      <c r="S22" s="14">
        <f t="shared" si="2"/>
        <v>46049</v>
      </c>
      <c r="T22" s="21">
        <v>46049</v>
      </c>
      <c r="U22" s="95">
        <f t="shared" si="3"/>
        <v>0</v>
      </c>
      <c r="V22" s="10" t="s">
        <v>5630</v>
      </c>
      <c r="W22" s="10"/>
      <c r="X22" s="21"/>
      <c r="Y22" s="10"/>
      <c r="Z22" s="10"/>
      <c r="AA22" s="21"/>
      <c r="AB22" s="95"/>
      <c r="AC22" s="10"/>
      <c r="AD22" s="10"/>
      <c r="AE22" s="21"/>
      <c r="AF22" s="10"/>
      <c r="AG22" s="10"/>
      <c r="AH22" s="21"/>
      <c r="AI22" s="21"/>
      <c r="AJ22" s="10"/>
      <c r="AK22" s="10"/>
      <c r="AL22" s="17"/>
      <c r="AM22" s="11"/>
      <c r="AN22" s="11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1"/>
      <c r="BF22" s="368"/>
    </row>
    <row r="23" spans="1:58" s="381" customFormat="1" ht="42" customHeight="1" x14ac:dyDescent="0.25">
      <c r="A23" s="367">
        <v>730007</v>
      </c>
      <c r="B23" s="12" t="s">
        <v>5</v>
      </c>
      <c r="C23" s="56" t="s">
        <v>208</v>
      </c>
      <c r="D23" s="12" t="s">
        <v>557</v>
      </c>
      <c r="E23" s="12" t="s">
        <v>559</v>
      </c>
      <c r="F23" s="16" t="s">
        <v>561</v>
      </c>
      <c r="G23" s="10" t="s">
        <v>15</v>
      </c>
      <c r="H23" s="10" t="s">
        <v>277</v>
      </c>
      <c r="I23" s="16" t="s">
        <v>18</v>
      </c>
      <c r="J23" s="14">
        <v>45591</v>
      </c>
      <c r="K23" s="13" t="s">
        <v>563</v>
      </c>
      <c r="L23" s="20">
        <f t="shared" si="0"/>
        <v>45598</v>
      </c>
      <c r="M23" s="14">
        <v>45595</v>
      </c>
      <c r="N23" s="92">
        <f t="shared" si="1"/>
        <v>-3</v>
      </c>
      <c r="O23" s="10" t="s">
        <v>568</v>
      </c>
      <c r="P23" s="12" t="s">
        <v>5</v>
      </c>
      <c r="Q23" s="21">
        <v>46117</v>
      </c>
      <c r="R23" s="10" t="s">
        <v>6256</v>
      </c>
      <c r="S23" s="21">
        <f t="shared" si="2"/>
        <v>46124</v>
      </c>
      <c r="T23" s="21">
        <v>46123</v>
      </c>
      <c r="U23" s="95">
        <f>T23-S23</f>
        <v>-1</v>
      </c>
      <c r="V23" s="10" t="s">
        <v>6288</v>
      </c>
      <c r="W23" s="10"/>
      <c r="X23" s="21"/>
      <c r="Y23" s="10"/>
      <c r="Z23" s="10"/>
      <c r="AA23" s="21"/>
      <c r="AB23" s="95"/>
      <c r="AC23" s="10"/>
      <c r="AD23" s="10"/>
      <c r="AE23" s="21"/>
      <c r="AF23" s="10"/>
      <c r="AG23" s="10"/>
      <c r="AH23" s="21"/>
      <c r="AI23" s="21"/>
      <c r="AJ23" s="10"/>
      <c r="AK23" s="10"/>
      <c r="AL23" s="17"/>
      <c r="AM23" s="11"/>
      <c r="AN23" s="11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1"/>
      <c r="BF23" s="368"/>
    </row>
    <row r="24" spans="1:58" s="381" customFormat="1" ht="42" customHeight="1" x14ac:dyDescent="0.25">
      <c r="A24" s="367">
        <v>730007</v>
      </c>
      <c r="B24" s="12" t="s">
        <v>5</v>
      </c>
      <c r="C24" s="56" t="s">
        <v>208</v>
      </c>
      <c r="D24" s="12" t="s">
        <v>591</v>
      </c>
      <c r="E24" s="12" t="s">
        <v>592</v>
      </c>
      <c r="F24" s="16" t="s">
        <v>590</v>
      </c>
      <c r="G24" s="10" t="s">
        <v>15</v>
      </c>
      <c r="H24" s="10" t="s">
        <v>277</v>
      </c>
      <c r="I24" s="16" t="s">
        <v>18</v>
      </c>
      <c r="J24" s="14">
        <v>45594</v>
      </c>
      <c r="K24" s="13" t="s">
        <v>597</v>
      </c>
      <c r="L24" s="20">
        <f t="shared" si="0"/>
        <v>45601</v>
      </c>
      <c r="M24" s="14">
        <v>45595</v>
      </c>
      <c r="N24" s="92">
        <f t="shared" si="1"/>
        <v>-6</v>
      </c>
      <c r="O24" s="10" t="s">
        <v>610</v>
      </c>
      <c r="P24" s="16" t="s">
        <v>5</v>
      </c>
      <c r="Q24" s="21">
        <v>46105</v>
      </c>
      <c r="R24" s="10" t="s">
        <v>6120</v>
      </c>
      <c r="S24" s="14">
        <f t="shared" si="2"/>
        <v>46112</v>
      </c>
      <c r="T24" s="21">
        <v>46124</v>
      </c>
      <c r="U24" s="95">
        <f>T24-S24</f>
        <v>12</v>
      </c>
      <c r="V24" s="95" t="s">
        <v>6284</v>
      </c>
      <c r="W24" s="10"/>
      <c r="X24" s="21"/>
      <c r="Y24" s="10"/>
      <c r="Z24" s="10"/>
      <c r="AA24" s="21"/>
      <c r="AB24" s="95"/>
      <c r="AC24" s="10"/>
      <c r="AD24" s="10"/>
      <c r="AE24" s="21"/>
      <c r="AF24" s="10"/>
      <c r="AG24" s="10"/>
      <c r="AH24" s="21"/>
      <c r="AI24" s="21"/>
      <c r="AJ24" s="10"/>
      <c r="AK24" s="10"/>
      <c r="AL24" s="17"/>
      <c r="AM24" s="11"/>
      <c r="AN24" s="11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1"/>
      <c r="BF24" s="368"/>
    </row>
    <row r="25" spans="1:58" s="381" customFormat="1" ht="42" customHeight="1" x14ac:dyDescent="0.25">
      <c r="A25" s="367">
        <v>730007</v>
      </c>
      <c r="B25" s="12" t="s">
        <v>5</v>
      </c>
      <c r="C25" s="56" t="s">
        <v>208</v>
      </c>
      <c r="D25" s="12" t="s">
        <v>593</v>
      </c>
      <c r="E25" s="12" t="s">
        <v>594</v>
      </c>
      <c r="F25" s="16" t="s">
        <v>595</v>
      </c>
      <c r="G25" s="10" t="s">
        <v>15</v>
      </c>
      <c r="H25" s="10" t="s">
        <v>277</v>
      </c>
      <c r="I25" s="16" t="s">
        <v>18</v>
      </c>
      <c r="J25" s="14">
        <v>45594</v>
      </c>
      <c r="K25" s="13" t="s">
        <v>596</v>
      </c>
      <c r="L25" s="20">
        <f t="shared" si="0"/>
        <v>45601</v>
      </c>
      <c r="M25" s="14">
        <v>45595</v>
      </c>
      <c r="N25" s="92">
        <f t="shared" si="1"/>
        <v>-6</v>
      </c>
      <c r="O25" s="10" t="s">
        <v>611</v>
      </c>
      <c r="P25" s="16" t="s">
        <v>5</v>
      </c>
      <c r="Q25" s="21">
        <v>46093</v>
      </c>
      <c r="R25" s="10" t="s">
        <v>6019</v>
      </c>
      <c r="S25" s="14">
        <f t="shared" si="2"/>
        <v>46100</v>
      </c>
      <c r="T25" s="21">
        <v>46093</v>
      </c>
      <c r="U25" s="95">
        <f t="shared" si="3"/>
        <v>-7</v>
      </c>
      <c r="V25" s="10" t="s">
        <v>6032</v>
      </c>
      <c r="W25" s="10"/>
      <c r="X25" s="21"/>
      <c r="Y25" s="10"/>
      <c r="Z25" s="10"/>
      <c r="AA25" s="21"/>
      <c r="AB25" s="95"/>
      <c r="AC25" s="10"/>
      <c r="AD25" s="10"/>
      <c r="AE25" s="21"/>
      <c r="AF25" s="10"/>
      <c r="AG25" s="10"/>
      <c r="AH25" s="21"/>
      <c r="AI25" s="21"/>
      <c r="AJ25" s="10"/>
      <c r="AK25" s="10"/>
      <c r="AL25" s="17"/>
      <c r="AM25" s="11"/>
      <c r="AN25" s="11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1"/>
      <c r="BF25" s="368"/>
    </row>
    <row r="26" spans="1:58" s="381" customFormat="1" ht="42" customHeight="1" x14ac:dyDescent="0.25">
      <c r="A26" s="367">
        <v>730007</v>
      </c>
      <c r="B26" s="12" t="s">
        <v>5</v>
      </c>
      <c r="C26" s="56" t="s">
        <v>208</v>
      </c>
      <c r="D26" s="12" t="s">
        <v>746</v>
      </c>
      <c r="E26" s="12" t="s">
        <v>744</v>
      </c>
      <c r="F26" s="16" t="s">
        <v>748</v>
      </c>
      <c r="G26" s="10" t="s">
        <v>15</v>
      </c>
      <c r="H26" s="10" t="s">
        <v>277</v>
      </c>
      <c r="I26" s="16" t="s">
        <v>18</v>
      </c>
      <c r="J26" s="14">
        <v>45603</v>
      </c>
      <c r="K26" s="13" t="s">
        <v>749</v>
      </c>
      <c r="L26" s="20">
        <f t="shared" si="0"/>
        <v>45610</v>
      </c>
      <c r="M26" s="14">
        <v>45610</v>
      </c>
      <c r="N26" s="92">
        <f t="shared" si="1"/>
        <v>0</v>
      </c>
      <c r="O26" s="10" t="s">
        <v>781</v>
      </c>
      <c r="P26" s="10" t="s">
        <v>5</v>
      </c>
      <c r="Q26" s="21">
        <v>45971</v>
      </c>
      <c r="R26" s="10" t="s">
        <v>4803</v>
      </c>
      <c r="S26" s="14">
        <f t="shared" si="2"/>
        <v>45978</v>
      </c>
      <c r="T26" s="21">
        <v>45981</v>
      </c>
      <c r="U26" s="95">
        <f t="shared" si="3"/>
        <v>3</v>
      </c>
      <c r="V26" s="10" t="s">
        <v>4841</v>
      </c>
      <c r="W26" s="10"/>
      <c r="X26" s="21"/>
      <c r="Y26" s="10"/>
      <c r="Z26" s="10"/>
      <c r="AA26" s="21"/>
      <c r="AB26" s="95"/>
      <c r="AC26" s="10"/>
      <c r="AD26" s="10"/>
      <c r="AE26" s="21"/>
      <c r="AF26" s="10"/>
      <c r="AG26" s="10"/>
      <c r="AH26" s="21"/>
      <c r="AI26" s="21"/>
      <c r="AJ26" s="10"/>
      <c r="AK26" s="10"/>
      <c r="AL26" s="17"/>
      <c r="AM26" s="11"/>
      <c r="AN26" s="11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1"/>
      <c r="BF26" s="368"/>
    </row>
    <row r="27" spans="1:58" s="381" customFormat="1" ht="42" customHeight="1" x14ac:dyDescent="0.25">
      <c r="A27" s="367">
        <v>730007</v>
      </c>
      <c r="B27" s="12" t="s">
        <v>5</v>
      </c>
      <c r="C27" s="56" t="s">
        <v>208</v>
      </c>
      <c r="D27" s="12" t="s">
        <v>747</v>
      </c>
      <c r="E27" s="12" t="s">
        <v>745</v>
      </c>
      <c r="F27" s="16" t="s">
        <v>750</v>
      </c>
      <c r="G27" s="10" t="s">
        <v>15</v>
      </c>
      <c r="H27" s="10" t="s">
        <v>277</v>
      </c>
      <c r="I27" s="16" t="s">
        <v>18</v>
      </c>
      <c r="J27" s="14">
        <v>45603</v>
      </c>
      <c r="K27" s="13" t="s">
        <v>751</v>
      </c>
      <c r="L27" s="20">
        <f t="shared" si="0"/>
        <v>45610</v>
      </c>
      <c r="M27" s="14">
        <v>45606</v>
      </c>
      <c r="N27" s="92">
        <f t="shared" si="1"/>
        <v>-4</v>
      </c>
      <c r="O27" s="10" t="s">
        <v>782</v>
      </c>
      <c r="P27" s="10" t="s">
        <v>5</v>
      </c>
      <c r="Q27" s="21">
        <v>46083</v>
      </c>
      <c r="R27" s="10" t="s">
        <v>5929</v>
      </c>
      <c r="S27" s="14">
        <f t="shared" si="2"/>
        <v>46090</v>
      </c>
      <c r="T27" s="21">
        <v>46092</v>
      </c>
      <c r="U27" s="95">
        <f t="shared" si="3"/>
        <v>2</v>
      </c>
      <c r="V27" s="10" t="s">
        <v>5933</v>
      </c>
      <c r="W27" s="10"/>
      <c r="X27" s="21"/>
      <c r="Y27" s="10"/>
      <c r="Z27" s="10"/>
      <c r="AA27" s="21"/>
      <c r="AB27" s="95"/>
      <c r="AC27" s="10"/>
      <c r="AD27" s="10"/>
      <c r="AE27" s="21"/>
      <c r="AF27" s="10"/>
      <c r="AG27" s="10"/>
      <c r="AH27" s="21"/>
      <c r="AI27" s="21"/>
      <c r="AJ27" s="10"/>
      <c r="AK27" s="10"/>
      <c r="AL27" s="17"/>
      <c r="AM27" s="11"/>
      <c r="AN27" s="11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1"/>
      <c r="BF27" s="368"/>
    </row>
    <row r="28" spans="1:58" s="381" customFormat="1" ht="42" customHeight="1" x14ac:dyDescent="0.25">
      <c r="A28" s="367">
        <v>730007</v>
      </c>
      <c r="B28" s="12" t="s">
        <v>5</v>
      </c>
      <c r="C28" s="11" t="s">
        <v>54</v>
      </c>
      <c r="D28" s="12" t="s">
        <v>878</v>
      </c>
      <c r="E28" s="12" t="s">
        <v>880</v>
      </c>
      <c r="F28" s="16" t="s">
        <v>879</v>
      </c>
      <c r="G28" s="10" t="s">
        <v>15</v>
      </c>
      <c r="H28" s="10" t="s">
        <v>277</v>
      </c>
      <c r="I28" s="16" t="s">
        <v>5</v>
      </c>
      <c r="J28" s="14">
        <v>45608</v>
      </c>
      <c r="K28" s="13" t="s">
        <v>881</v>
      </c>
      <c r="L28" s="20">
        <f t="shared" si="0"/>
        <v>45615</v>
      </c>
      <c r="M28" s="14">
        <v>45617</v>
      </c>
      <c r="N28" s="92">
        <f t="shared" si="1"/>
        <v>2</v>
      </c>
      <c r="O28" s="10" t="s">
        <v>890</v>
      </c>
      <c r="P28" s="9"/>
      <c r="Q28" s="21"/>
      <c r="R28" s="10"/>
      <c r="S28" s="10"/>
      <c r="T28" s="21"/>
      <c r="U28" s="95"/>
      <c r="V28" s="10"/>
      <c r="W28" s="10"/>
      <c r="X28" s="21"/>
      <c r="Y28" s="10"/>
      <c r="Z28" s="10"/>
      <c r="AA28" s="21"/>
      <c r="AB28" s="95"/>
      <c r="AC28" s="10"/>
      <c r="AD28" s="10"/>
      <c r="AE28" s="21"/>
      <c r="AF28" s="10"/>
      <c r="AG28" s="10"/>
      <c r="AH28" s="21"/>
      <c r="AI28" s="21"/>
      <c r="AJ28" s="10"/>
      <c r="AK28" s="10"/>
      <c r="AL28" s="17"/>
      <c r="AM28" s="11"/>
      <c r="AN28" s="11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1"/>
      <c r="BF28" s="368"/>
    </row>
    <row r="29" spans="1:58" s="381" customFormat="1" ht="42" customHeight="1" x14ac:dyDescent="0.25">
      <c r="A29" s="367">
        <v>730007</v>
      </c>
      <c r="B29" s="12" t="s">
        <v>5</v>
      </c>
      <c r="C29" s="56" t="s">
        <v>208</v>
      </c>
      <c r="D29" s="12" t="s">
        <v>1362</v>
      </c>
      <c r="E29" s="12" t="s">
        <v>1363</v>
      </c>
      <c r="F29" s="16" t="s">
        <v>1364</v>
      </c>
      <c r="G29" s="10" t="s">
        <v>15</v>
      </c>
      <c r="H29" s="10" t="s">
        <v>277</v>
      </c>
      <c r="I29" s="16" t="s">
        <v>18</v>
      </c>
      <c r="J29" s="14">
        <v>45636</v>
      </c>
      <c r="K29" s="13" t="s">
        <v>1365</v>
      </c>
      <c r="L29" s="20">
        <f t="shared" si="0"/>
        <v>45643</v>
      </c>
      <c r="M29" s="14">
        <v>45640</v>
      </c>
      <c r="N29" s="92">
        <f t="shared" si="1"/>
        <v>-3</v>
      </c>
      <c r="O29" s="10" t="s">
        <v>1377</v>
      </c>
      <c r="P29" s="10" t="s">
        <v>5</v>
      </c>
      <c r="Q29" s="21">
        <v>45971</v>
      </c>
      <c r="R29" s="10" t="s">
        <v>4802</v>
      </c>
      <c r="S29" s="14">
        <f t="shared" ref="S29:S35" si="4">Q29+7</f>
        <v>45978</v>
      </c>
      <c r="T29" s="21">
        <v>45981</v>
      </c>
      <c r="U29" s="95">
        <f t="shared" ref="U29:U35" si="5">T29-S29</f>
        <v>3</v>
      </c>
      <c r="V29" s="10" t="s">
        <v>4840</v>
      </c>
      <c r="W29" s="10"/>
      <c r="X29" s="21"/>
      <c r="Y29" s="10"/>
      <c r="Z29" s="10"/>
      <c r="AA29" s="21"/>
      <c r="AB29" s="95"/>
      <c r="AC29" s="10"/>
      <c r="AD29" s="10"/>
      <c r="AE29" s="21"/>
      <c r="AF29" s="10"/>
      <c r="AG29" s="10"/>
      <c r="AH29" s="21"/>
      <c r="AI29" s="21"/>
      <c r="AJ29" s="10"/>
      <c r="AK29" s="10"/>
      <c r="AL29" s="17"/>
      <c r="AM29" s="11"/>
      <c r="AN29" s="11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1"/>
      <c r="BF29" s="368"/>
    </row>
    <row r="30" spans="1:58" s="381" customFormat="1" ht="42" customHeight="1" x14ac:dyDescent="0.25">
      <c r="A30" s="367">
        <v>730007</v>
      </c>
      <c r="B30" s="12" t="s">
        <v>5</v>
      </c>
      <c r="C30" s="56" t="s">
        <v>208</v>
      </c>
      <c r="D30" s="12" t="s">
        <v>1631</v>
      </c>
      <c r="E30" s="12" t="s">
        <v>1632</v>
      </c>
      <c r="F30" s="16" t="s">
        <v>1633</v>
      </c>
      <c r="G30" s="10" t="s">
        <v>15</v>
      </c>
      <c r="H30" s="10" t="s">
        <v>277</v>
      </c>
      <c r="I30" s="16" t="s">
        <v>18</v>
      </c>
      <c r="J30" s="14">
        <v>45651</v>
      </c>
      <c r="K30" s="13" t="s">
        <v>1634</v>
      </c>
      <c r="L30" s="20">
        <f t="shared" si="0"/>
        <v>45658</v>
      </c>
      <c r="M30" s="14">
        <v>45654</v>
      </c>
      <c r="N30" s="92">
        <f t="shared" si="1"/>
        <v>-4</v>
      </c>
      <c r="O30" s="10" t="s">
        <v>1673</v>
      </c>
      <c r="P30" s="10" t="s">
        <v>5</v>
      </c>
      <c r="Q30" s="21">
        <v>45979</v>
      </c>
      <c r="R30" s="10" t="s">
        <v>4971</v>
      </c>
      <c r="S30" s="14">
        <f t="shared" si="4"/>
        <v>45986</v>
      </c>
      <c r="T30" s="21">
        <v>45986</v>
      </c>
      <c r="U30" s="95">
        <f t="shared" si="5"/>
        <v>0</v>
      </c>
      <c r="V30" s="10" t="s">
        <v>4977</v>
      </c>
      <c r="W30" s="10"/>
      <c r="X30" s="21"/>
      <c r="Y30" s="10"/>
      <c r="Z30" s="10"/>
      <c r="AA30" s="21"/>
      <c r="AB30" s="95"/>
      <c r="AC30" s="10"/>
      <c r="AD30" s="10"/>
      <c r="AE30" s="21"/>
      <c r="AF30" s="10"/>
      <c r="AG30" s="10"/>
      <c r="AH30" s="21"/>
      <c r="AI30" s="21"/>
      <c r="AJ30" s="10"/>
      <c r="AK30" s="10"/>
      <c r="AL30" s="17"/>
      <c r="AM30" s="11"/>
      <c r="AN30" s="11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1"/>
      <c r="BF30" s="368"/>
    </row>
    <row r="31" spans="1:58" s="381" customFormat="1" ht="42" customHeight="1" x14ac:dyDescent="0.25">
      <c r="A31" s="367">
        <v>730007</v>
      </c>
      <c r="B31" s="12" t="s">
        <v>5</v>
      </c>
      <c r="C31" s="56" t="s">
        <v>208</v>
      </c>
      <c r="D31" s="12" t="s">
        <v>1742</v>
      </c>
      <c r="E31" s="12" t="s">
        <v>1743</v>
      </c>
      <c r="F31" s="16" t="s">
        <v>1744</v>
      </c>
      <c r="G31" s="10" t="s">
        <v>15</v>
      </c>
      <c r="H31" s="10" t="s">
        <v>277</v>
      </c>
      <c r="I31" s="16" t="s">
        <v>18</v>
      </c>
      <c r="J31" s="14">
        <v>45657</v>
      </c>
      <c r="K31" s="13" t="s">
        <v>1745</v>
      </c>
      <c r="L31" s="20">
        <f t="shared" si="0"/>
        <v>45664</v>
      </c>
      <c r="M31" s="14">
        <v>45663</v>
      </c>
      <c r="N31" s="92">
        <f t="shared" si="1"/>
        <v>-1</v>
      </c>
      <c r="O31" s="59" t="s">
        <v>1758</v>
      </c>
      <c r="P31" s="10" t="s">
        <v>5</v>
      </c>
      <c r="Q31" s="21">
        <v>45983</v>
      </c>
      <c r="R31" s="10" t="s">
        <v>5003</v>
      </c>
      <c r="S31" s="14">
        <f t="shared" si="4"/>
        <v>45990</v>
      </c>
      <c r="T31" s="21">
        <v>45994</v>
      </c>
      <c r="U31" s="95">
        <f t="shared" si="5"/>
        <v>4</v>
      </c>
      <c r="V31" s="10" t="s">
        <v>5017</v>
      </c>
      <c r="W31" s="10"/>
      <c r="X31" s="21"/>
      <c r="Y31" s="10"/>
      <c r="Z31" s="10"/>
      <c r="AA31" s="21"/>
      <c r="AB31" s="95"/>
      <c r="AC31" s="10"/>
      <c r="AD31" s="10"/>
      <c r="AE31" s="21"/>
      <c r="AF31" s="10"/>
      <c r="AG31" s="10"/>
      <c r="AH31" s="21"/>
      <c r="AI31" s="21"/>
      <c r="AJ31" s="10"/>
      <c r="AK31" s="10"/>
      <c r="AL31" s="17"/>
      <c r="AM31" s="11"/>
      <c r="AN31" s="11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1"/>
      <c r="BF31" s="368"/>
    </row>
    <row r="32" spans="1:58" s="381" customFormat="1" ht="42" customHeight="1" x14ac:dyDescent="0.25">
      <c r="A32" s="367">
        <v>730007</v>
      </c>
      <c r="B32" s="12" t="s">
        <v>5</v>
      </c>
      <c r="C32" s="56" t="s">
        <v>208</v>
      </c>
      <c r="D32" s="12" t="s">
        <v>1774</v>
      </c>
      <c r="E32" s="12" t="s">
        <v>1775</v>
      </c>
      <c r="F32" s="16" t="s">
        <v>1776</v>
      </c>
      <c r="G32" s="10" t="s">
        <v>15</v>
      </c>
      <c r="H32" s="10" t="s">
        <v>277</v>
      </c>
      <c r="I32" s="16" t="s">
        <v>18</v>
      </c>
      <c r="J32" s="14">
        <v>45659</v>
      </c>
      <c r="K32" s="13" t="s">
        <v>1777</v>
      </c>
      <c r="L32" s="20">
        <f t="shared" si="0"/>
        <v>45666</v>
      </c>
      <c r="M32" s="14">
        <v>45664</v>
      </c>
      <c r="N32" s="92">
        <f t="shared" si="1"/>
        <v>-2</v>
      </c>
      <c r="O32" s="10" t="s">
        <v>1786</v>
      </c>
      <c r="P32" s="12" t="s">
        <v>5</v>
      </c>
      <c r="Q32" s="21">
        <v>45970</v>
      </c>
      <c r="R32" s="10" t="s">
        <v>4800</v>
      </c>
      <c r="S32" s="14">
        <f t="shared" si="4"/>
        <v>45977</v>
      </c>
      <c r="T32" s="21">
        <v>45981</v>
      </c>
      <c r="U32" s="95">
        <f t="shared" si="5"/>
        <v>4</v>
      </c>
      <c r="V32" s="10" t="s">
        <v>4834</v>
      </c>
      <c r="W32" s="10"/>
      <c r="X32" s="21"/>
      <c r="Y32" s="10"/>
      <c r="Z32" s="10"/>
      <c r="AA32" s="21"/>
      <c r="AB32" s="95"/>
      <c r="AC32" s="10"/>
      <c r="AD32" s="10"/>
      <c r="AE32" s="21"/>
      <c r="AF32" s="10"/>
      <c r="AG32" s="10"/>
      <c r="AH32" s="21"/>
      <c r="AI32" s="21"/>
      <c r="AJ32" s="10"/>
      <c r="AK32" s="10"/>
      <c r="AL32" s="17"/>
      <c r="AM32" s="11"/>
      <c r="AN32" s="11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1"/>
      <c r="BF32" s="368"/>
    </row>
    <row r="33" spans="1:58" s="381" customFormat="1" ht="42" customHeight="1" x14ac:dyDescent="0.25">
      <c r="A33" s="367">
        <v>730007</v>
      </c>
      <c r="B33" s="12" t="s">
        <v>5</v>
      </c>
      <c r="C33" s="56" t="s">
        <v>208</v>
      </c>
      <c r="D33" s="12" t="s">
        <v>2451</v>
      </c>
      <c r="E33" s="12" t="s">
        <v>2452</v>
      </c>
      <c r="F33" s="16" t="s">
        <v>2453</v>
      </c>
      <c r="G33" s="10" t="s">
        <v>15</v>
      </c>
      <c r="H33" s="10" t="s">
        <v>277</v>
      </c>
      <c r="I33" s="16" t="s">
        <v>18</v>
      </c>
      <c r="J33" s="14">
        <v>45702</v>
      </c>
      <c r="K33" s="13" t="s">
        <v>2454</v>
      </c>
      <c r="L33" s="20">
        <f t="shared" si="0"/>
        <v>45709</v>
      </c>
      <c r="M33" s="14">
        <v>45706</v>
      </c>
      <c r="N33" s="92">
        <f t="shared" si="1"/>
        <v>-3</v>
      </c>
      <c r="O33" s="10" t="s">
        <v>2467</v>
      </c>
      <c r="P33" s="12" t="s">
        <v>5</v>
      </c>
      <c r="Q33" s="21">
        <v>45970</v>
      </c>
      <c r="R33" s="10" t="s">
        <v>4799</v>
      </c>
      <c r="S33" s="14">
        <f t="shared" si="4"/>
        <v>45977</v>
      </c>
      <c r="T33" s="21">
        <v>45981</v>
      </c>
      <c r="U33" s="95">
        <f t="shared" si="5"/>
        <v>4</v>
      </c>
      <c r="V33" s="10" t="s">
        <v>4835</v>
      </c>
      <c r="W33" s="10"/>
      <c r="X33" s="21"/>
      <c r="Y33" s="10"/>
      <c r="Z33" s="10"/>
      <c r="AA33" s="21"/>
      <c r="AB33" s="95"/>
      <c r="AC33" s="10"/>
      <c r="AD33" s="10"/>
      <c r="AE33" s="21"/>
      <c r="AF33" s="10"/>
      <c r="AG33" s="10"/>
      <c r="AH33" s="21"/>
      <c r="AI33" s="21"/>
      <c r="AJ33" s="10"/>
      <c r="AK33" s="10"/>
      <c r="AL33" s="17"/>
      <c r="AM33" s="11"/>
      <c r="AN33" s="11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1"/>
      <c r="BF33" s="368"/>
    </row>
    <row r="34" spans="1:58" s="381" customFormat="1" ht="42" customHeight="1" x14ac:dyDescent="0.25">
      <c r="A34" s="367">
        <v>730007</v>
      </c>
      <c r="B34" s="12" t="s">
        <v>5</v>
      </c>
      <c r="C34" s="56" t="s">
        <v>208</v>
      </c>
      <c r="D34" s="12" t="s">
        <v>2921</v>
      </c>
      <c r="E34" s="12" t="s">
        <v>2922</v>
      </c>
      <c r="F34" s="16" t="s">
        <v>2923</v>
      </c>
      <c r="G34" s="10" t="s">
        <v>15</v>
      </c>
      <c r="H34" s="10" t="s">
        <v>277</v>
      </c>
      <c r="I34" s="16" t="s">
        <v>18</v>
      </c>
      <c r="J34" s="14">
        <v>45742</v>
      </c>
      <c r="K34" s="13" t="s">
        <v>2924</v>
      </c>
      <c r="L34" s="14">
        <f t="shared" ref="L34:L40" si="6">J34+7</f>
        <v>45749</v>
      </c>
      <c r="M34" s="14">
        <v>45757</v>
      </c>
      <c r="N34" s="92">
        <f t="shared" si="1"/>
        <v>8</v>
      </c>
      <c r="O34" s="10" t="s">
        <v>2933</v>
      </c>
      <c r="P34" s="16" t="s">
        <v>5</v>
      </c>
      <c r="Q34" s="21">
        <v>46105</v>
      </c>
      <c r="R34" s="10" t="s">
        <v>6121</v>
      </c>
      <c r="S34" s="14">
        <f t="shared" si="4"/>
        <v>46112</v>
      </c>
      <c r="T34" s="21">
        <v>46124</v>
      </c>
      <c r="U34" s="95">
        <f t="shared" si="5"/>
        <v>12</v>
      </c>
      <c r="V34" s="10" t="s">
        <v>6285</v>
      </c>
      <c r="W34" s="10"/>
      <c r="X34" s="21"/>
      <c r="Y34" s="10"/>
      <c r="Z34" s="10"/>
      <c r="AA34" s="21"/>
      <c r="AB34" s="95"/>
      <c r="AC34" s="10"/>
      <c r="AD34" s="10"/>
      <c r="AE34" s="21"/>
      <c r="AF34" s="10"/>
      <c r="AG34" s="10"/>
      <c r="AH34" s="21"/>
      <c r="AI34" s="21"/>
      <c r="AJ34" s="10"/>
      <c r="AK34" s="10"/>
      <c r="AL34" s="17"/>
      <c r="AM34" s="11"/>
      <c r="AN34" s="11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1"/>
      <c r="BF34" s="368"/>
    </row>
    <row r="35" spans="1:58" s="381" customFormat="1" ht="42" customHeight="1" x14ac:dyDescent="0.25">
      <c r="A35" s="367">
        <v>730007</v>
      </c>
      <c r="B35" s="12" t="s">
        <v>5</v>
      </c>
      <c r="C35" s="56" t="s">
        <v>588</v>
      </c>
      <c r="D35" s="12" t="s">
        <v>3013</v>
      </c>
      <c r="E35" s="12" t="s">
        <v>3014</v>
      </c>
      <c r="F35" s="16" t="s">
        <v>3015</v>
      </c>
      <c r="G35" s="10" t="s">
        <v>15</v>
      </c>
      <c r="H35" s="10" t="s">
        <v>277</v>
      </c>
      <c r="I35" s="16" t="s">
        <v>3</v>
      </c>
      <c r="J35" s="14">
        <v>45764</v>
      </c>
      <c r="K35" s="13" t="s">
        <v>3016</v>
      </c>
      <c r="L35" s="14">
        <f t="shared" si="6"/>
        <v>45771</v>
      </c>
      <c r="M35" s="14">
        <v>45770</v>
      </c>
      <c r="N35" s="92">
        <f t="shared" si="1"/>
        <v>-1</v>
      </c>
      <c r="O35" s="10" t="s">
        <v>3021</v>
      </c>
      <c r="P35" s="10" t="s">
        <v>18</v>
      </c>
      <c r="Q35" s="21">
        <v>45773</v>
      </c>
      <c r="R35" s="10" t="s">
        <v>3078</v>
      </c>
      <c r="S35" s="14">
        <f t="shared" si="4"/>
        <v>45780</v>
      </c>
      <c r="T35" s="21">
        <v>45781</v>
      </c>
      <c r="U35" s="95">
        <f t="shared" si="5"/>
        <v>1</v>
      </c>
      <c r="V35" s="10" t="s">
        <v>3098</v>
      </c>
      <c r="W35" s="10" t="s">
        <v>5</v>
      </c>
      <c r="X35" s="21">
        <v>46086</v>
      </c>
      <c r="Y35" s="10" t="s">
        <v>5961</v>
      </c>
      <c r="Z35" s="14">
        <f>X35+7</f>
        <v>46093</v>
      </c>
      <c r="AA35" s="21">
        <v>46092</v>
      </c>
      <c r="AB35" s="95">
        <f>AA35-Z35</f>
        <v>-1</v>
      </c>
      <c r="AC35" s="10" t="s">
        <v>5983</v>
      </c>
      <c r="AD35" s="10"/>
      <c r="AE35" s="21"/>
      <c r="AF35" s="10"/>
      <c r="AG35" s="10"/>
      <c r="AH35" s="21"/>
      <c r="AI35" s="21"/>
      <c r="AJ35" s="10"/>
      <c r="AK35" s="10"/>
      <c r="AL35" s="17"/>
      <c r="AM35" s="11"/>
      <c r="AN35" s="11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1"/>
      <c r="BF35" s="368"/>
    </row>
    <row r="36" spans="1:58" s="381" customFormat="1" ht="42" customHeight="1" x14ac:dyDescent="0.25">
      <c r="A36" s="367">
        <v>730007</v>
      </c>
      <c r="B36" s="58" t="s">
        <v>508</v>
      </c>
      <c r="C36" s="56" t="s">
        <v>627</v>
      </c>
      <c r="D36" s="12" t="s">
        <v>5092</v>
      </c>
      <c r="E36" s="12" t="s">
        <v>5093</v>
      </c>
      <c r="F36" s="16" t="s">
        <v>5180</v>
      </c>
      <c r="G36" s="10" t="s">
        <v>15</v>
      </c>
      <c r="H36" s="10" t="s">
        <v>277</v>
      </c>
      <c r="I36" s="16" t="s">
        <v>3</v>
      </c>
      <c r="J36" s="14">
        <v>45992</v>
      </c>
      <c r="K36" s="150" t="s">
        <v>5094</v>
      </c>
      <c r="L36" s="14">
        <f t="shared" si="6"/>
        <v>45999</v>
      </c>
      <c r="M36" s="14">
        <v>46001</v>
      </c>
      <c r="N36" s="92">
        <f t="shared" si="1"/>
        <v>2</v>
      </c>
      <c r="O36" s="10" t="s">
        <v>5097</v>
      </c>
      <c r="P36" s="9" t="s">
        <v>508</v>
      </c>
      <c r="Q36" s="21">
        <v>46036</v>
      </c>
      <c r="R36" s="10" t="s">
        <v>5569</v>
      </c>
      <c r="S36" s="10"/>
      <c r="T36" s="21"/>
      <c r="U36" s="95"/>
      <c r="V36" s="10"/>
      <c r="W36" s="10"/>
      <c r="X36" s="21"/>
      <c r="Y36" s="10"/>
      <c r="Z36" s="10"/>
      <c r="AA36" s="21"/>
      <c r="AB36" s="95"/>
      <c r="AC36" s="10"/>
      <c r="AD36" s="10"/>
      <c r="AE36" s="21"/>
      <c r="AF36" s="10"/>
      <c r="AG36" s="10"/>
      <c r="AH36" s="21"/>
      <c r="AI36" s="21"/>
      <c r="AJ36" s="10"/>
      <c r="AK36" s="10"/>
      <c r="AL36" s="17"/>
      <c r="AM36" s="11"/>
      <c r="AN36" s="11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1"/>
      <c r="BF36" s="368"/>
    </row>
    <row r="37" spans="1:58" s="381" customFormat="1" ht="42" customHeight="1" x14ac:dyDescent="0.25">
      <c r="A37" s="367">
        <v>730007</v>
      </c>
      <c r="B37" s="12" t="s">
        <v>18</v>
      </c>
      <c r="C37" s="56" t="s">
        <v>54</v>
      </c>
      <c r="D37" s="12" t="s">
        <v>5211</v>
      </c>
      <c r="E37" s="12" t="s">
        <v>5212</v>
      </c>
      <c r="F37" s="16" t="s">
        <v>5210</v>
      </c>
      <c r="G37" s="10" t="s">
        <v>15</v>
      </c>
      <c r="H37" s="10" t="s">
        <v>277</v>
      </c>
      <c r="I37" s="16" t="s">
        <v>18</v>
      </c>
      <c r="J37" s="14">
        <v>46005</v>
      </c>
      <c r="K37" s="13" t="s">
        <v>5213</v>
      </c>
      <c r="L37" s="14">
        <f t="shared" si="6"/>
        <v>46012</v>
      </c>
      <c r="M37" s="14">
        <v>46017</v>
      </c>
      <c r="N37" s="92">
        <f t="shared" si="1"/>
        <v>5</v>
      </c>
      <c r="O37" s="10" t="s">
        <v>5223</v>
      </c>
      <c r="P37" s="58"/>
      <c r="Q37" s="21"/>
      <c r="R37" s="10"/>
      <c r="S37" s="10"/>
      <c r="T37" s="21"/>
      <c r="U37" s="95"/>
      <c r="V37" s="10"/>
      <c r="W37" s="10"/>
      <c r="X37" s="21"/>
      <c r="Y37" s="10"/>
      <c r="Z37" s="10"/>
      <c r="AA37" s="21"/>
      <c r="AB37" s="95"/>
      <c r="AC37" s="10"/>
      <c r="AD37" s="10"/>
      <c r="AE37" s="21"/>
      <c r="AF37" s="10"/>
      <c r="AG37" s="10"/>
      <c r="AH37" s="21"/>
      <c r="AI37" s="21"/>
      <c r="AJ37" s="10"/>
      <c r="AK37" s="10"/>
      <c r="AL37" s="17"/>
      <c r="AM37" s="11"/>
      <c r="AN37" s="11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1"/>
      <c r="BF37" s="368"/>
    </row>
    <row r="38" spans="1:58" s="381" customFormat="1" ht="42" customHeight="1" x14ac:dyDescent="0.25">
      <c r="A38" s="367">
        <v>730007</v>
      </c>
      <c r="B38" s="12" t="s">
        <v>5</v>
      </c>
      <c r="C38" s="56" t="s">
        <v>208</v>
      </c>
      <c r="D38" s="12" t="s">
        <v>5910</v>
      </c>
      <c r="E38" s="12" t="s">
        <v>5909</v>
      </c>
      <c r="F38" s="16" t="s">
        <v>5912</v>
      </c>
      <c r="G38" s="10" t="s">
        <v>15</v>
      </c>
      <c r="H38" s="10" t="s">
        <v>277</v>
      </c>
      <c r="I38" s="16" t="s">
        <v>18</v>
      </c>
      <c r="J38" s="14">
        <v>46081</v>
      </c>
      <c r="K38" s="13" t="s">
        <v>5911</v>
      </c>
      <c r="L38" s="14">
        <f t="shared" si="6"/>
        <v>46088</v>
      </c>
      <c r="M38" s="14">
        <v>46091</v>
      </c>
      <c r="N38" s="92">
        <f t="shared" si="1"/>
        <v>3</v>
      </c>
      <c r="O38" s="10" t="s">
        <v>5913</v>
      </c>
      <c r="P38" s="16" t="s">
        <v>5</v>
      </c>
      <c r="Q38" s="21">
        <v>46105</v>
      </c>
      <c r="R38" s="10" t="s">
        <v>6122</v>
      </c>
      <c r="S38" s="14">
        <f>Q38+7</f>
        <v>46112</v>
      </c>
      <c r="T38" s="21">
        <v>46113</v>
      </c>
      <c r="U38" s="95">
        <f>T38-S38</f>
        <v>1</v>
      </c>
      <c r="V38" s="10" t="s">
        <v>6135</v>
      </c>
      <c r="W38" s="10"/>
      <c r="X38" s="21"/>
      <c r="Y38" s="10"/>
      <c r="Z38" s="10"/>
      <c r="AA38" s="21"/>
      <c r="AB38" s="95"/>
      <c r="AC38" s="10"/>
      <c r="AD38" s="10"/>
      <c r="AE38" s="21"/>
      <c r="AF38" s="10"/>
      <c r="AG38" s="10"/>
      <c r="AH38" s="21"/>
      <c r="AI38" s="21"/>
      <c r="AJ38" s="10"/>
      <c r="AK38" s="10"/>
      <c r="AL38" s="17"/>
      <c r="AM38" s="11"/>
      <c r="AN38" s="11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1"/>
      <c r="BF38" s="368"/>
    </row>
    <row r="39" spans="1:58" s="381" customFormat="1" ht="42" customHeight="1" x14ac:dyDescent="0.25">
      <c r="A39" s="367">
        <v>730007</v>
      </c>
      <c r="B39" s="12" t="s">
        <v>5</v>
      </c>
      <c r="C39" s="56" t="s">
        <v>208</v>
      </c>
      <c r="D39" s="12" t="s">
        <v>5976</v>
      </c>
      <c r="E39" s="12" t="s">
        <v>5978</v>
      </c>
      <c r="F39" s="16" t="s">
        <v>5977</v>
      </c>
      <c r="G39" s="10" t="s">
        <v>15</v>
      </c>
      <c r="H39" s="10" t="s">
        <v>277</v>
      </c>
      <c r="I39" s="16" t="s">
        <v>18</v>
      </c>
      <c r="J39" s="14">
        <v>46088</v>
      </c>
      <c r="K39" s="13" t="s">
        <v>5979</v>
      </c>
      <c r="L39" s="14">
        <f t="shared" si="6"/>
        <v>46095</v>
      </c>
      <c r="M39" s="14">
        <v>46097</v>
      </c>
      <c r="N39" s="92">
        <f t="shared" si="1"/>
        <v>2</v>
      </c>
      <c r="O39" s="10" t="s">
        <v>5995</v>
      </c>
      <c r="P39" s="16" t="s">
        <v>5</v>
      </c>
      <c r="Q39" s="21">
        <v>46105</v>
      </c>
      <c r="R39" s="10" t="s">
        <v>6124</v>
      </c>
      <c r="S39" s="14">
        <f>Q39+7</f>
        <v>46112</v>
      </c>
      <c r="T39" s="21">
        <v>46113</v>
      </c>
      <c r="U39" s="95">
        <f>T39-S39</f>
        <v>1</v>
      </c>
      <c r="V39" s="10" t="s">
        <v>6137</v>
      </c>
      <c r="W39" s="10"/>
      <c r="X39" s="21"/>
      <c r="Y39" s="10"/>
      <c r="Z39" s="10"/>
      <c r="AA39" s="21"/>
      <c r="AB39" s="95"/>
      <c r="AC39" s="10"/>
      <c r="AD39" s="10"/>
      <c r="AE39" s="21"/>
      <c r="AF39" s="10"/>
      <c r="AG39" s="10"/>
      <c r="AH39" s="21"/>
      <c r="AI39" s="21"/>
      <c r="AJ39" s="10"/>
      <c r="AK39" s="10"/>
      <c r="AL39" s="17"/>
      <c r="AM39" s="11"/>
      <c r="AN39" s="11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1"/>
      <c r="BF39" s="368"/>
    </row>
    <row r="40" spans="1:58" s="381" customFormat="1" ht="42" customHeight="1" x14ac:dyDescent="0.25">
      <c r="A40" s="367">
        <v>730007</v>
      </c>
      <c r="B40" s="12" t="s">
        <v>5</v>
      </c>
      <c r="C40" s="56" t="s">
        <v>54</v>
      </c>
      <c r="D40" s="12" t="s">
        <v>7413</v>
      </c>
      <c r="E40" s="12" t="s">
        <v>7414</v>
      </c>
      <c r="F40" s="16" t="s">
        <v>7415</v>
      </c>
      <c r="G40" s="10" t="s">
        <v>15</v>
      </c>
      <c r="H40" s="10" t="s">
        <v>277</v>
      </c>
      <c r="I40" s="16" t="s">
        <v>5</v>
      </c>
      <c r="J40" s="14">
        <v>46238</v>
      </c>
      <c r="K40" s="13" t="s">
        <v>7416</v>
      </c>
      <c r="L40" s="14">
        <f t="shared" si="6"/>
        <v>46245</v>
      </c>
      <c r="M40" s="14">
        <v>46251</v>
      </c>
      <c r="N40" s="92">
        <f t="shared" si="1"/>
        <v>6</v>
      </c>
      <c r="O40" s="10" t="s">
        <v>7420</v>
      </c>
      <c r="P40" s="16"/>
      <c r="Q40" s="21"/>
      <c r="R40" s="10"/>
      <c r="S40" s="14"/>
      <c r="T40" s="21"/>
      <c r="U40" s="95"/>
      <c r="V40" s="10"/>
      <c r="W40" s="10"/>
      <c r="X40" s="21"/>
      <c r="Y40" s="10"/>
      <c r="Z40" s="10"/>
      <c r="AA40" s="21"/>
      <c r="AB40" s="95"/>
      <c r="AC40" s="10"/>
      <c r="AD40" s="10"/>
      <c r="AE40" s="21"/>
      <c r="AF40" s="10"/>
      <c r="AG40" s="10"/>
      <c r="AH40" s="21"/>
      <c r="AI40" s="21"/>
      <c r="AJ40" s="10"/>
      <c r="AK40" s="10"/>
      <c r="AL40" s="17"/>
      <c r="AM40" s="11"/>
      <c r="AN40" s="11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1"/>
      <c r="BF40" s="368"/>
    </row>
    <row r="41" spans="1:58" s="381" customFormat="1" ht="42" customHeight="1" thickBot="1" x14ac:dyDescent="0.3">
      <c r="A41" s="369"/>
      <c r="B41" s="370"/>
      <c r="C41" s="371"/>
      <c r="D41" s="370"/>
      <c r="E41" s="370"/>
      <c r="F41" s="262"/>
      <c r="G41" s="263"/>
      <c r="H41" s="263"/>
      <c r="I41" s="262"/>
      <c r="J41" s="474"/>
      <c r="K41" s="373"/>
      <c r="L41" s="373"/>
      <c r="M41" s="474"/>
      <c r="N41" s="474"/>
      <c r="O41" s="263"/>
      <c r="P41" s="262"/>
      <c r="Q41" s="374"/>
      <c r="R41" s="263"/>
      <c r="S41" s="263"/>
      <c r="T41" s="374"/>
      <c r="U41" s="375"/>
      <c r="V41" s="263"/>
      <c r="W41" s="263"/>
      <c r="X41" s="374"/>
      <c r="Y41" s="263"/>
      <c r="Z41" s="263"/>
      <c r="AA41" s="374"/>
      <c r="AB41" s="375"/>
      <c r="AC41" s="263"/>
      <c r="AD41" s="263"/>
      <c r="AE41" s="374"/>
      <c r="AF41" s="263"/>
      <c r="AG41" s="263"/>
      <c r="AH41" s="374"/>
      <c r="AI41" s="374"/>
      <c r="AJ41" s="263"/>
      <c r="AK41" s="263"/>
      <c r="AL41" s="376"/>
      <c r="AM41" s="371"/>
      <c r="AN41" s="371"/>
      <c r="AO41" s="376"/>
      <c r="AP41" s="376"/>
      <c r="AQ41" s="376"/>
      <c r="AR41" s="376"/>
      <c r="AS41" s="376"/>
      <c r="AT41" s="376"/>
      <c r="AU41" s="376"/>
      <c r="AV41" s="376"/>
      <c r="AW41" s="376"/>
      <c r="AX41" s="376"/>
      <c r="AY41" s="376"/>
      <c r="AZ41" s="376"/>
      <c r="BA41" s="376"/>
      <c r="BB41" s="376"/>
      <c r="BC41" s="376"/>
      <c r="BD41" s="376"/>
      <c r="BE41" s="371"/>
      <c r="BF41" s="378"/>
    </row>
  </sheetData>
  <autoFilter ref="A11:BF11" xr:uid="{00000000-0001-0000-1100-000000000000}"/>
  <mergeCells count="18">
    <mergeCell ref="A10:A11"/>
    <mergeCell ref="H1:H2"/>
    <mergeCell ref="I1:I2"/>
    <mergeCell ref="AR10:AX10"/>
    <mergeCell ref="AY10:BE10"/>
    <mergeCell ref="G10:G11"/>
    <mergeCell ref="B10:B11"/>
    <mergeCell ref="C10:C11"/>
    <mergeCell ref="D10:D11"/>
    <mergeCell ref="E10:E11"/>
    <mergeCell ref="F10:F11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0:XFD10">
    <cfRule type="cellIs" dxfId="3639" priority="1" operator="equal">
      <formula>"E - Review not Required - Proceed"</formula>
    </cfRule>
    <cfRule type="cellIs" dxfId="3638" priority="2" operator="equal">
      <formula>"D - Rejected"</formula>
    </cfRule>
    <cfRule type="cellIs" dxfId="3637" priority="3" operator="equal">
      <formula>"B- Incorporate Comments - Proceed"</formula>
    </cfRule>
    <cfRule type="cellIs" dxfId="3636" priority="4" operator="equal">
      <formula>"C - Revise and Resubmit - Do Not Proceed"</formula>
    </cfRule>
    <cfRule type="cellIs" dxfId="3635" priority="5" operator="equal">
      <formula>"A - Work May Proceed"</formula>
    </cfRule>
  </conditionalFormatting>
  <conditionalFormatting sqref="B12:XFD35 B36:J36 L36:XFD36 B37:XFD1048576">
    <cfRule type="cellIs" dxfId="3634" priority="11" operator="equal">
      <formula>"E - Review not Required - Proceed"</formula>
    </cfRule>
    <cfRule type="cellIs" dxfId="3633" priority="12" operator="equal">
      <formula>"D - Rejected"</formula>
    </cfRule>
    <cfRule type="cellIs" dxfId="3632" priority="13" operator="equal">
      <formula>"B- Incorporate Comments - Proceed"</formula>
    </cfRule>
    <cfRule type="cellIs" dxfId="3631" priority="14" operator="equal">
      <formula>"C - Revise and Resubmit - Do Not Proceed"</formula>
    </cfRule>
    <cfRule type="cellIs" dxfId="3630" priority="15" operator="equal">
      <formula>"A - Work May Proceed"</formula>
    </cfRule>
  </conditionalFormatting>
  <conditionalFormatting sqref="D11:BE11 B1:G2 W1:XFD9 B3:H4 B9:H9">
    <cfRule type="cellIs" dxfId="3629" priority="58" operator="equal">
      <formula>"B- Incorporate Comments - Proceed"</formula>
    </cfRule>
    <cfRule type="cellIs" dxfId="3628" priority="57" operator="equal">
      <formula>"D - Rejected"</formula>
    </cfRule>
    <cfRule type="cellIs" dxfId="3627" priority="56" operator="equal">
      <formula>"E - Review not Required - Proceed"</formula>
    </cfRule>
    <cfRule type="cellIs" dxfId="3626" priority="60" operator="equal">
      <formula>"A - Work May Proceed"</formula>
    </cfRule>
    <cfRule type="cellIs" dxfId="3625" priority="59" operator="equal">
      <formula>"C - Revise and Resubmit - Do Not Proceed"</formula>
    </cfRule>
  </conditionalFormatting>
  <conditionalFormatting sqref="I11">
    <cfRule type="cellIs" dxfId="3624" priority="126" operator="equal">
      <formula>"For Information"</formula>
    </cfRule>
    <cfRule type="cellIs" dxfId="3623" priority="125" operator="equal">
      <formula>"B - Incorporate Comments - Proceed"</formula>
    </cfRule>
    <cfRule type="cellIs" dxfId="3622" priority="130" operator="between">
      <formula>"'D - Rejected "</formula>
      <formula>"'D - Rejected "</formula>
    </cfRule>
    <cfRule type="cellIs" dxfId="3621" priority="137" operator="between">
      <formula>"CANCELLED"</formula>
      <formula>"CANCELLED"</formula>
    </cfRule>
    <cfRule type="cellIs" dxfId="3620" priority="136" operator="between">
      <formula>"D - Rejected "</formula>
      <formula>"D - Rejected "</formula>
    </cfRule>
    <cfRule type="cellIs" dxfId="3619" priority="140" stopIfTrue="1" operator="between">
      <formula>"B - Incorporate Comments - Proceed "</formula>
      <formula>"B - Incorporate Comments - Proceed "</formula>
    </cfRule>
    <cfRule type="cellIs" dxfId="3618" priority="135" operator="between">
      <formula>"E - Review not Required - Proceed"</formula>
      <formula>"E - Review not Required - Proceed"</formula>
    </cfRule>
    <cfRule type="cellIs" dxfId="3617" priority="134" operator="between">
      <formula>"B - Incorporate Comments - Proceed"</formula>
      <formula>"B - Incorporate Comments - Proceed"</formula>
    </cfRule>
    <cfRule type="cellIs" dxfId="3616" priority="133" operator="between">
      <formula>"A - Work May Proceed"</formula>
      <formula>"A - Work May Proceed"</formula>
    </cfRule>
    <cfRule type="cellIs" dxfId="3615" priority="132" operator="between">
      <formula>"B - Incorporate Comments - Proceed"</formula>
      <formula>"B - Incorporate Comments - Proceed"</formula>
    </cfRule>
    <cfRule type="cellIs" dxfId="3614" priority="131" operator="between">
      <formula>"C - Revise and Resubmit - Do Not Proceed"</formula>
      <formula>"C - Revise and Resubmit - Do Not Proceed"</formula>
    </cfRule>
    <cfRule type="cellIs" dxfId="3613" priority="129" operator="between">
      <formula>"E - Review not Required - Proceed"</formula>
      <formula>"E - Review not Required - Proceed"</formula>
    </cfRule>
    <cfRule type="cellIs" dxfId="3612" priority="128" operator="equal">
      <formula>"E - Review Not Required - Proceed"</formula>
    </cfRule>
    <cfRule type="cellIs" dxfId="3611" priority="127" operator="equal">
      <formula>"B - Incorporate Comments - Proceed "</formula>
    </cfRule>
    <cfRule type="cellIs" dxfId="3610" priority="138" operator="between">
      <formula>"A - Work May Proceed"</formula>
      <formula>"A - Work May Proceed"</formula>
    </cfRule>
    <cfRule type="cellIs" dxfId="3609" priority="139" operator="between">
      <formula>"C - Revise and Resubmit - Do Not Proceed"</formula>
      <formula>"C - Revise and Resubmit - Do Not Proceed"</formula>
    </cfRule>
  </conditionalFormatting>
  <conditionalFormatting sqref="J5:J6 B5:I7 B8:J8">
    <cfRule type="cellIs" dxfId="3608" priority="6" operator="equal">
      <formula>"E - Review not Required - Proceed"</formula>
    </cfRule>
    <cfRule type="cellIs" dxfId="3607" priority="7" operator="equal">
      <formula>"D - Rejected"</formula>
    </cfRule>
    <cfRule type="cellIs" dxfId="3606" priority="8" operator="equal">
      <formula>"B- Incorporate Comments - Proceed"</formula>
    </cfRule>
    <cfRule type="cellIs" dxfId="3605" priority="9" operator="equal">
      <formula>"C - Revise and Resubmit - Do Not Proceed"</formula>
    </cfRule>
    <cfRule type="cellIs" dxfId="3604" priority="10" stopIfTrue="1" operator="equal">
      <formula>"A - Work May Proceed"</formula>
    </cfRule>
  </conditionalFormatting>
  <conditionalFormatting sqref="P11">
    <cfRule type="cellIs" dxfId="3603" priority="123" operator="between">
      <formula>"C - Revise and Resubmit - Do Not Proceed"</formula>
      <formula>"C - Revise and Resubmit - Do Not Proceed"</formula>
    </cfRule>
    <cfRule type="cellIs" dxfId="3602" priority="113" operator="between">
      <formula>"E - Review not Required - Proceed"</formula>
      <formula>"E - Review not Required - Proceed"</formula>
    </cfRule>
    <cfRule type="cellIs" dxfId="3601" priority="112" operator="equal">
      <formula>"E - Review Not Required - Proceed"</formula>
    </cfRule>
    <cfRule type="cellIs" dxfId="3600" priority="111" operator="equal">
      <formula>"B - Incorporate Comments - Proceed "</formula>
    </cfRule>
    <cfRule type="cellIs" dxfId="3599" priority="110" operator="equal">
      <formula>"For Information"</formula>
    </cfRule>
    <cfRule type="cellIs" dxfId="3598" priority="109" operator="equal">
      <formula>"B - Incorporate Comments - Proceed"</formula>
    </cfRule>
    <cfRule type="cellIs" dxfId="3597" priority="119" operator="between">
      <formula>"E - Review not Required - Proceed"</formula>
      <formula>"E - Review not Required - Proceed"</formula>
    </cfRule>
    <cfRule type="cellIs" dxfId="3596" priority="116" operator="between">
      <formula>"B - Incorporate Comments - Proceed"</formula>
      <formula>"B - Incorporate Comments - Proceed"</formula>
    </cfRule>
    <cfRule type="cellIs" dxfId="3595" priority="117" operator="between">
      <formula>"A - Work May Proceed"</formula>
      <formula>"A - Work May Proceed"</formula>
    </cfRule>
    <cfRule type="cellIs" dxfId="3594" priority="118" operator="between">
      <formula>"B - Incorporate Comments - Proceed"</formula>
      <formula>"B - Incorporate Comments - Proceed"</formula>
    </cfRule>
    <cfRule type="cellIs" dxfId="3593" priority="120" operator="between">
      <formula>"D - Rejected "</formula>
      <formula>"D - Rejected "</formula>
    </cfRule>
    <cfRule type="cellIs" dxfId="3592" priority="121" operator="between">
      <formula>"CANCELLED"</formula>
      <formula>"CANCELLED"</formula>
    </cfRule>
    <cfRule type="cellIs" dxfId="3591" priority="122" operator="between">
      <formula>"A - Work May Proceed"</formula>
      <formula>"A - Work May Proceed"</formula>
    </cfRule>
    <cfRule type="cellIs" dxfId="3590" priority="124" stopIfTrue="1" operator="between">
      <formula>"B - Incorporate Comments - Proceed "</formula>
      <formula>"B - Incorporate Comments - Proceed "</formula>
    </cfRule>
    <cfRule type="cellIs" dxfId="3589" priority="115" operator="between">
      <formula>"C - Revise and Resubmit - Do Not Proceed"</formula>
      <formula>"C - Revise and Resubmit - Do Not Proceed"</formula>
    </cfRule>
    <cfRule type="cellIs" dxfId="3588" priority="114" operator="between">
      <formula>"'D - Rejected "</formula>
      <formula>"'D - Rejected "</formula>
    </cfRule>
  </conditionalFormatting>
  <conditionalFormatting sqref="W11">
    <cfRule type="cellIs" dxfId="3587" priority="93" operator="equal">
      <formula>"B - Incorporate Comments - Proceed"</formula>
    </cfRule>
    <cfRule type="cellIs" dxfId="3586" priority="94" operator="equal">
      <formula>"For Information"</formula>
    </cfRule>
    <cfRule type="cellIs" dxfId="3585" priority="95" operator="equal">
      <formula>"B - Incorporate Comments - Proceed "</formula>
    </cfRule>
    <cfRule type="cellIs" dxfId="3584" priority="96" operator="equal">
      <formula>"E - Review Not Required - Proceed"</formula>
    </cfRule>
    <cfRule type="cellIs" dxfId="3583" priority="97" operator="between">
      <formula>"E - Review not Required - Proceed"</formula>
      <formula>"E - Review not Required - Proceed"</formula>
    </cfRule>
    <cfRule type="cellIs" dxfId="3582" priority="98" operator="between">
      <formula>"'D - Rejected "</formula>
      <formula>"'D - Rejected "</formula>
    </cfRule>
    <cfRule type="cellIs" dxfId="3581" priority="99" operator="between">
      <formula>"C - Revise and Resubmit - Do Not Proceed"</formula>
      <formula>"C - Revise and Resubmit - Do Not Proceed"</formula>
    </cfRule>
    <cfRule type="cellIs" dxfId="3580" priority="100" operator="between">
      <formula>"B - Incorporate Comments - Proceed"</formula>
      <formula>"B - Incorporate Comments - Proceed"</formula>
    </cfRule>
    <cfRule type="cellIs" dxfId="3579" priority="101" operator="between">
      <formula>"A - Work May Proceed"</formula>
      <formula>"A - Work May Proceed"</formula>
    </cfRule>
    <cfRule type="cellIs" dxfId="3578" priority="102" operator="between">
      <formula>"B - Incorporate Comments - Proceed"</formula>
      <formula>"B - Incorporate Comments - Proceed"</formula>
    </cfRule>
    <cfRule type="cellIs" dxfId="3577" priority="103" operator="between">
      <formula>"E - Review not Required - Proceed"</formula>
      <formula>"E - Review not Required - Proceed"</formula>
    </cfRule>
    <cfRule type="cellIs" dxfId="3576" priority="104" operator="between">
      <formula>"D - Rejected "</formula>
      <formula>"D - Rejected "</formula>
    </cfRule>
    <cfRule type="cellIs" dxfId="3575" priority="105" operator="between">
      <formula>"CANCELLED"</formula>
      <formula>"CANCELLED"</formula>
    </cfRule>
    <cfRule type="cellIs" dxfId="3574" priority="107" operator="between">
      <formula>"C - Revise and Resubmit - Do Not Proceed"</formula>
      <formula>"C - Revise and Resubmit - Do Not Proceed"</formula>
    </cfRule>
    <cfRule type="cellIs" dxfId="3573" priority="108" stopIfTrue="1" operator="between">
      <formula>"B - Incorporate Comments - Proceed "</formula>
      <formula>"B - Incorporate Comments - Proceed "</formula>
    </cfRule>
    <cfRule type="cellIs" dxfId="3572" priority="106" operator="between">
      <formula>"A - Work May Proceed"</formula>
      <formula>"A - Work May Proceed"</formula>
    </cfRule>
  </conditionalFormatting>
  <conditionalFormatting sqref="AD11">
    <cfRule type="cellIs" dxfId="3571" priority="78" operator="equal">
      <formula>"For Information"</formula>
    </cfRule>
    <cfRule type="cellIs" dxfId="3570" priority="88" operator="between">
      <formula>"D - Rejected "</formula>
      <formula>"D - Rejected "</formula>
    </cfRule>
    <cfRule type="cellIs" dxfId="3569" priority="77" operator="equal">
      <formula>"B - Incorporate Comments - Proceed"</formula>
    </cfRule>
    <cfRule type="cellIs" dxfId="3568" priority="90" operator="between">
      <formula>"A - Work May Proceed"</formula>
      <formula>"A - Work May Proceed"</formula>
    </cfRule>
    <cfRule type="cellIs" dxfId="3567" priority="91" operator="between">
      <formula>"C - Revise and Resubmit - Do Not Proceed"</formula>
      <formula>"C - Revise and Resubmit - Do Not Proceed"</formula>
    </cfRule>
    <cfRule type="cellIs" dxfId="3566" priority="92" stopIfTrue="1" operator="between">
      <formula>"B - Incorporate Comments - Proceed "</formula>
      <formula>"B - Incorporate Comments - Proceed "</formula>
    </cfRule>
    <cfRule type="cellIs" dxfId="3565" priority="87" operator="between">
      <formula>"E - Review not Required - Proceed"</formula>
      <formula>"E - Review not Required - Proceed"</formula>
    </cfRule>
    <cfRule type="cellIs" dxfId="3564" priority="86" operator="between">
      <formula>"B - Incorporate Comments - Proceed"</formula>
      <formula>"B - Incorporate Comments - Proceed"</formula>
    </cfRule>
    <cfRule type="cellIs" dxfId="3563" priority="85" operator="between">
      <formula>"A - Work May Proceed"</formula>
      <formula>"A - Work May Proceed"</formula>
    </cfRule>
    <cfRule type="cellIs" dxfId="3562" priority="84" operator="between">
      <formula>"B - Incorporate Comments - Proceed"</formula>
      <formula>"B - Incorporate Comments - Proceed"</formula>
    </cfRule>
    <cfRule type="cellIs" dxfId="3561" priority="83" operator="between">
      <formula>"C - Revise and Resubmit - Do Not Proceed"</formula>
      <formula>"C - Revise and Resubmit - Do Not Proceed"</formula>
    </cfRule>
    <cfRule type="cellIs" dxfId="3560" priority="82" operator="between">
      <formula>"'D - Rejected "</formula>
      <formula>"'D - Rejected "</formula>
    </cfRule>
    <cfRule type="cellIs" dxfId="3559" priority="81" operator="between">
      <formula>"E - Review not Required - Proceed"</formula>
      <formula>"E - Review not Required - Proceed"</formula>
    </cfRule>
    <cfRule type="cellIs" dxfId="3558" priority="89" operator="between">
      <formula>"CANCELLED"</formula>
      <formula>"CANCELLED"</formula>
    </cfRule>
    <cfRule type="cellIs" dxfId="3557" priority="80" operator="equal">
      <formula>"E - Review Not Required - Proceed"</formula>
    </cfRule>
    <cfRule type="cellIs" dxfId="3556" priority="79" operator="equal">
      <formula>"B - Incorporate Comments - Proceed "</formula>
    </cfRule>
  </conditionalFormatting>
  <conditionalFormatting sqref="AK11">
    <cfRule type="cellIs" dxfId="3555" priority="69" operator="between">
      <formula>"A - Work May Proceed"</formula>
      <formula>"A - Work May Proceed"</formula>
    </cfRule>
    <cfRule type="cellIs" dxfId="3554" priority="70" operator="between">
      <formula>"B - Incorporate Comments - Proceed"</formula>
      <formula>"B - Incorporate Comments - Proceed"</formula>
    </cfRule>
    <cfRule type="cellIs" dxfId="3553" priority="71" operator="between">
      <formula>"E - Review not Required - Proceed"</formula>
      <formula>"E - Review not Required - Proceed"</formula>
    </cfRule>
    <cfRule type="cellIs" dxfId="3552" priority="72" operator="between">
      <formula>"D - Rejected "</formula>
      <formula>"D - Rejected "</formula>
    </cfRule>
    <cfRule type="cellIs" dxfId="3551" priority="73" operator="between">
      <formula>"CANCELLED"</formula>
      <formula>"CANCELLED"</formula>
    </cfRule>
    <cfRule type="cellIs" dxfId="3550" priority="74" operator="between">
      <formula>"A - Work May Proceed"</formula>
      <formula>"A - Work May Proceed"</formula>
    </cfRule>
    <cfRule type="cellIs" dxfId="3549" priority="75" operator="between">
      <formula>"C - Revise and Resubmit - Do Not Proceed"</formula>
      <formula>"C - Revise and Resubmit - Do Not Proceed"</formula>
    </cfRule>
    <cfRule type="cellIs" dxfId="3548" priority="76" stopIfTrue="1" operator="between">
      <formula>"B - Incorporate Comments - Proceed "</formula>
      <formula>"B - Incorporate Comments - Proceed "</formula>
    </cfRule>
    <cfRule type="cellIs" dxfId="3547" priority="61" operator="equal">
      <formula>"B - Incorporate Comments - Proceed"</formula>
    </cfRule>
    <cfRule type="cellIs" dxfId="3546" priority="62" operator="equal">
      <formula>"For Information"</formula>
    </cfRule>
    <cfRule type="cellIs" dxfId="3545" priority="63" operator="equal">
      <formula>"B - Incorporate Comments - Proceed "</formula>
    </cfRule>
    <cfRule type="cellIs" dxfId="3544" priority="64" operator="equal">
      <formula>"E - Review Not Required - Proceed"</formula>
    </cfRule>
    <cfRule type="cellIs" dxfId="3543" priority="65" operator="between">
      <formula>"E - Review not Required - Proceed"</formula>
      <formula>"E - Review not Required - Proceed"</formula>
    </cfRule>
    <cfRule type="cellIs" dxfId="3542" priority="66" operator="between">
      <formula>"'D - Rejected "</formula>
      <formula>"'D - Rejected "</formula>
    </cfRule>
    <cfRule type="cellIs" dxfId="3541" priority="67" operator="between">
      <formula>"C - Revise and Resubmit - Do Not Proceed"</formula>
      <formula>"C - Revise and Resubmit - Do Not Proceed"</formula>
    </cfRule>
    <cfRule type="cellIs" dxfId="3540" priority="68" operator="between">
      <formula>"B - Incorporate Comments - Proceed"</formula>
      <formula>"B - Incorporate Comments - Proceed"</formula>
    </cfRule>
  </conditionalFormatting>
  <conditionalFormatting sqref="AR11">
    <cfRule type="cellIs" dxfId="3539" priority="31" operator="between">
      <formula>"D - Rejected "</formula>
      <formula>"D - Rejected "</formula>
    </cfRule>
    <cfRule type="cellIs" dxfId="3538" priority="30" operator="between">
      <formula>"E - Review not Required - Proceed"</formula>
      <formula>"E - Review not Required - Proceed"</formula>
    </cfRule>
    <cfRule type="cellIs" dxfId="3537" priority="29" operator="between">
      <formula>"B - Incorporate Comments - Proceed"</formula>
      <formula>"B - Incorporate Comments - Proceed"</formula>
    </cfRule>
    <cfRule type="cellIs" dxfId="3536" priority="28" operator="between">
      <formula>"A - Work May Proceed"</formula>
      <formula>"A - Work May Proceed"</formula>
    </cfRule>
    <cfRule type="cellIs" dxfId="3535" priority="27" operator="between">
      <formula>"B - Incorporate Comments - Proceed"</formula>
      <formula>"B - Incorporate Comments - Proceed"</formula>
    </cfRule>
    <cfRule type="cellIs" dxfId="3534" priority="26" operator="between">
      <formula>"C - Revise and Resubmit - Do Not Proceed"</formula>
      <formula>"C - Revise and Resubmit - Do Not Proceed"</formula>
    </cfRule>
    <cfRule type="cellIs" dxfId="3533" priority="25" operator="between">
      <formula>"'D - Rejected "</formula>
      <formula>"'D - Rejected "</formula>
    </cfRule>
    <cfRule type="cellIs" dxfId="3532" priority="24" operator="between">
      <formula>"E - Review not Required - Proceed"</formula>
      <formula>"E - Review not Required - Proceed"</formula>
    </cfRule>
    <cfRule type="cellIs" dxfId="3531" priority="23" operator="equal">
      <formula>"E - Review Not Required - Proceed"</formula>
    </cfRule>
    <cfRule type="cellIs" dxfId="3530" priority="22" operator="equal">
      <formula>"B - Incorporate Comments - Proceed "</formula>
    </cfRule>
    <cfRule type="cellIs" dxfId="3529" priority="21" operator="equal">
      <formula>"For Information"</formula>
    </cfRule>
    <cfRule type="cellIs" dxfId="3528" priority="20" operator="equal">
      <formula>"A - Work May Proceed"</formula>
    </cfRule>
    <cfRule type="cellIs" dxfId="3527" priority="19" operator="equal">
      <formula>"C - Revise and Resubmit - Do Not Proceed"</formula>
    </cfRule>
    <cfRule type="cellIs" dxfId="3526" priority="17" operator="equal">
      <formula>"D - Rejected"</formula>
    </cfRule>
    <cfRule type="cellIs" dxfId="3525" priority="16" operator="equal">
      <formula>"E - Review not Required - Proceed"</formula>
    </cfRule>
    <cfRule type="cellIs" dxfId="3524" priority="32" operator="between">
      <formula>"CANCELLED"</formula>
      <formula>"CANCELLED"</formula>
    </cfRule>
    <cfRule type="cellIs" dxfId="3523" priority="18" operator="equal">
      <formula>"B - Incorporate Comments - Proceed"</formula>
    </cfRule>
    <cfRule type="cellIs" dxfId="3522" priority="35" stopIfTrue="1" operator="between">
      <formula>"B - Incorporate Comments - Proceed "</formula>
      <formula>"B - Incorporate Comments - Proceed "</formula>
    </cfRule>
    <cfRule type="cellIs" dxfId="3521" priority="34" operator="between">
      <formula>"C - Revise and Resubmit - Do Not Proceed"</formula>
      <formula>"C - Revise and Resubmit - Do Not Proceed"</formula>
    </cfRule>
    <cfRule type="cellIs" dxfId="3520" priority="33" operator="between">
      <formula>"A - Work May Proceed"</formula>
      <formula>"A - Work May Proceed"</formula>
    </cfRule>
  </conditionalFormatting>
  <conditionalFormatting sqref="AY11">
    <cfRule type="cellIs" dxfId="3519" priority="55" stopIfTrue="1" operator="between">
      <formula>"B - Incorporate Comments - Proceed "</formula>
      <formula>"B - Incorporate Comments - Proceed "</formula>
    </cfRule>
    <cfRule type="cellIs" dxfId="3518" priority="53" operator="between">
      <formula>"A - Work May Proceed"</formula>
      <formula>"A - Work May Proceed"</formula>
    </cfRule>
    <cfRule type="cellIs" dxfId="3517" priority="52" operator="between">
      <formula>"CANCELLED"</formula>
      <formula>"CANCELLED"</formula>
    </cfRule>
    <cfRule type="cellIs" dxfId="3516" priority="51" operator="between">
      <formula>"D - Rejected "</formula>
      <formula>"D - Rejected "</formula>
    </cfRule>
    <cfRule type="cellIs" dxfId="3515" priority="50" operator="between">
      <formula>"E - Review not Required - Proceed"</formula>
      <formula>"E - Review not Required - Proceed"</formula>
    </cfRule>
    <cfRule type="cellIs" dxfId="3514" priority="45" operator="between">
      <formula>"'D - Rejected "</formula>
      <formula>"'D - Rejected "</formula>
    </cfRule>
    <cfRule type="cellIs" dxfId="3513" priority="44" operator="between">
      <formula>"E - Review not Required - Proceed"</formula>
      <formula>"E - Review not Required - Proceed"</formula>
    </cfRule>
    <cfRule type="cellIs" dxfId="3512" priority="54" operator="between">
      <formula>"C - Revise and Resubmit - Do Not Proceed"</formula>
      <formula>"C - Revise and Resubmit - Do Not Proceed"</formula>
    </cfRule>
    <cfRule type="cellIs" dxfId="3511" priority="43" operator="equal">
      <formula>"E - Review Not Required - Proceed"</formula>
    </cfRule>
    <cfRule type="cellIs" dxfId="3510" priority="42" operator="equal">
      <formula>"B - Incorporate Comments - Proceed "</formula>
    </cfRule>
    <cfRule type="cellIs" dxfId="3509" priority="41" operator="equal">
      <formula>"For Information"</formula>
    </cfRule>
    <cfRule type="cellIs" dxfId="3508" priority="40" operator="equal">
      <formula>"A - Work May Proceed"</formula>
    </cfRule>
    <cfRule type="cellIs" dxfId="3507" priority="39" operator="equal">
      <formula>"C - Revise and Resubmit - Do Not Proceed"</formula>
    </cfRule>
    <cfRule type="cellIs" dxfId="3506" priority="38" operator="equal">
      <formula>"B - Incorporate Comments - Proceed"</formula>
    </cfRule>
    <cfRule type="cellIs" dxfId="3505" priority="37" operator="equal">
      <formula>"D - Rejected"</formula>
    </cfRule>
    <cfRule type="cellIs" dxfId="3504" priority="36" operator="equal">
      <formula>"E - Review not Required - Proceed"</formula>
    </cfRule>
    <cfRule type="cellIs" dxfId="3503" priority="48" operator="between">
      <formula>"A - Work May Proceed"</formula>
      <formula>"A - Work May Proceed"</formula>
    </cfRule>
    <cfRule type="cellIs" dxfId="3502" priority="47" operator="between">
      <formula>"B - Incorporate Comments - Proceed"</formula>
      <formula>"B - Incorporate Comments - Proceed"</formula>
    </cfRule>
    <cfRule type="cellIs" dxfId="3501" priority="46" operator="between">
      <formula>"C - Revise and Resubmit - Do Not Proceed"</formula>
      <formula>"C - Revise and Resubmit - Do Not Proceed"</formula>
    </cfRule>
    <cfRule type="cellIs" dxfId="3500" priority="49" operator="between">
      <formula>"B - Incorporate Comments - Proceed"</formula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5"/>
  </sheetPr>
  <dimension ref="A1:BF15"/>
  <sheetViews>
    <sheetView zoomScale="55" zoomScaleNormal="55" zoomScaleSheetLayoutView="70" workbookViewId="0">
      <pane ySplit="11" topLeftCell="A12" activePane="bottomLeft" state="frozen"/>
      <selection activeCell="A14" sqref="A14"/>
      <selection pane="bottomLeft" sqref="A1:A1048576"/>
    </sheetView>
  </sheetViews>
  <sheetFormatPr defaultColWidth="9.140625" defaultRowHeight="15" x14ac:dyDescent="0.25"/>
  <cols>
    <col min="1" max="1" width="22.710937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1" width="30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50.7109375" style="44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2"/>
    </row>
    <row r="2" spans="1:58" s="379" customFormat="1" ht="24" customHeight="1" x14ac:dyDescent="0.35">
      <c r="A2" s="8"/>
      <c r="B2" s="25" t="s">
        <v>28</v>
      </c>
      <c r="C2" s="26" t="s">
        <v>16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2"/>
    </row>
    <row r="3" spans="1:58" s="379" customFormat="1" ht="24" customHeight="1" x14ac:dyDescent="0.35">
      <c r="A3" s="8"/>
      <c r="B3" s="25" t="s">
        <v>507</v>
      </c>
      <c r="C3" s="49" t="s">
        <v>443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2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2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2"/>
    </row>
    <row r="6" spans="1:58" s="379" customFormat="1" ht="24" customHeight="1" x14ac:dyDescent="0.35">
      <c r="A6" s="8"/>
      <c r="B6" s="64">
        <f>COUNTIF(B11:B15,"A - Work May Proceed")</f>
        <v>1</v>
      </c>
      <c r="C6" s="65">
        <f>COUNTIF(B11:B15,"B- Incorporate Comments - Proceed")</f>
        <v>1</v>
      </c>
      <c r="D6" s="65">
        <f>COUNTIF(B11:B15,"C - Revise and Resubmit - Do Not Proceed")</f>
        <v>0</v>
      </c>
      <c r="E6" s="65">
        <f>COUNTIF(B11:B15,"D - Rejected")</f>
        <v>0</v>
      </c>
      <c r="F6" s="65">
        <f>COUNTIF(B11:B15,"E - Review not Required - Proceed")</f>
        <v>0</v>
      </c>
      <c r="G6" s="66">
        <f>COUNTIF(B11:B15,"UR")</f>
        <v>0</v>
      </c>
      <c r="H6" s="66">
        <f>COUNTIF(B11:B15,"FA")</f>
        <v>0</v>
      </c>
      <c r="I6" s="66">
        <f>COUNTIF(B11:B15,"Terminated")</f>
        <v>0</v>
      </c>
      <c r="J6" s="66">
        <f>COUNTIF(B11:B15,"Cancelled")</f>
        <v>1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2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2"/>
    </row>
    <row r="8" spans="1:58" s="379" customFormat="1" ht="24" customHeight="1" x14ac:dyDescent="0.35">
      <c r="A8" s="8"/>
      <c r="B8" s="72" t="s">
        <v>509</v>
      </c>
      <c r="C8" s="73">
        <f>SUM(B6:J6)</f>
        <v>3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2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2"/>
    </row>
    <row r="10" spans="1:58" s="405" customFormat="1" ht="36.75" customHeight="1" x14ac:dyDescent="0.2">
      <c r="A10" s="550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51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57" t="s">
        <v>508</v>
      </c>
      <c r="C12" s="56" t="s">
        <v>627</v>
      </c>
      <c r="D12" s="10" t="s">
        <v>213</v>
      </c>
      <c r="E12" s="12" t="s">
        <v>212</v>
      </c>
      <c r="F12" s="16" t="s">
        <v>211</v>
      </c>
      <c r="G12" s="10" t="s">
        <v>15</v>
      </c>
      <c r="H12" s="10" t="s">
        <v>214</v>
      </c>
      <c r="I12" s="16" t="s">
        <v>3</v>
      </c>
      <c r="J12" s="14">
        <v>45561</v>
      </c>
      <c r="K12" s="12" t="s">
        <v>215</v>
      </c>
      <c r="L12" s="12" t="s">
        <v>626</v>
      </c>
      <c r="M12" s="14">
        <v>45572</v>
      </c>
      <c r="N12" s="14" t="s">
        <v>626</v>
      </c>
      <c r="O12" s="12" t="s">
        <v>234</v>
      </c>
      <c r="P12" s="9" t="s">
        <v>508</v>
      </c>
      <c r="Q12" s="20">
        <v>45612</v>
      </c>
      <c r="R12" s="12" t="s">
        <v>930</v>
      </c>
      <c r="S12" s="12"/>
      <c r="T12" s="20"/>
      <c r="U12" s="20"/>
      <c r="V12" s="12"/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259" t="s">
        <v>929</v>
      </c>
    </row>
    <row r="13" spans="1:58" s="381" customFormat="1" ht="42" customHeight="1" x14ac:dyDescent="0.25">
      <c r="A13" s="367">
        <v>730007</v>
      </c>
      <c r="B13" s="11" t="s">
        <v>18</v>
      </c>
      <c r="C13" s="56" t="s">
        <v>54</v>
      </c>
      <c r="D13" s="10" t="s">
        <v>219</v>
      </c>
      <c r="E13" s="12" t="s">
        <v>218</v>
      </c>
      <c r="F13" s="16" t="s">
        <v>216</v>
      </c>
      <c r="G13" s="10" t="s">
        <v>15</v>
      </c>
      <c r="H13" s="10" t="s">
        <v>214</v>
      </c>
      <c r="I13" s="16" t="s">
        <v>18</v>
      </c>
      <c r="J13" s="14">
        <v>45561</v>
      </c>
      <c r="K13" s="12" t="s">
        <v>217</v>
      </c>
      <c r="L13" s="20">
        <f>J13+7</f>
        <v>45568</v>
      </c>
      <c r="M13" s="14">
        <v>45572</v>
      </c>
      <c r="N13" s="92">
        <f>M13-L13</f>
        <v>4</v>
      </c>
      <c r="O13" s="12" t="s">
        <v>233</v>
      </c>
      <c r="P13" s="16"/>
      <c r="Q13" s="20"/>
      <c r="R13" s="12"/>
      <c r="S13" s="12"/>
      <c r="T13" s="20"/>
      <c r="U13" s="20"/>
      <c r="V13" s="12"/>
      <c r="W13" s="12"/>
      <c r="X13" s="20"/>
      <c r="Y13" s="12"/>
      <c r="Z13" s="12"/>
      <c r="AA13" s="20"/>
      <c r="AB13" s="20"/>
      <c r="AC13" s="12"/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259"/>
    </row>
    <row r="14" spans="1:58" s="381" customFormat="1" ht="42" customHeight="1" x14ac:dyDescent="0.25">
      <c r="A14" s="367">
        <v>730007</v>
      </c>
      <c r="B14" s="13" t="s">
        <v>5</v>
      </c>
      <c r="C14" s="56" t="s">
        <v>208</v>
      </c>
      <c r="D14" s="10" t="s">
        <v>2714</v>
      </c>
      <c r="E14" s="12" t="s">
        <v>2715</v>
      </c>
      <c r="F14" s="16" t="s">
        <v>2716</v>
      </c>
      <c r="G14" s="10" t="s">
        <v>15</v>
      </c>
      <c r="H14" s="10" t="s">
        <v>214</v>
      </c>
      <c r="I14" s="60" t="s">
        <v>14</v>
      </c>
      <c r="J14" s="14">
        <v>45726</v>
      </c>
      <c r="K14" s="13" t="s">
        <v>2717</v>
      </c>
      <c r="L14" s="20">
        <f>J14+7</f>
        <v>45733</v>
      </c>
      <c r="M14" s="14">
        <v>45733</v>
      </c>
      <c r="N14" s="92">
        <f>M14-L14</f>
        <v>0</v>
      </c>
      <c r="O14" s="10" t="s">
        <v>2744</v>
      </c>
      <c r="P14" s="13" t="s">
        <v>5</v>
      </c>
      <c r="Q14" s="21">
        <v>45733</v>
      </c>
      <c r="R14" s="10" t="s">
        <v>2821</v>
      </c>
      <c r="S14" s="20">
        <f>Q14+7</f>
        <v>45740</v>
      </c>
      <c r="T14" s="21">
        <v>45735</v>
      </c>
      <c r="U14" s="92">
        <f>T14-S14</f>
        <v>-5</v>
      </c>
      <c r="V14" s="10" t="s">
        <v>2826</v>
      </c>
      <c r="W14" s="10"/>
      <c r="X14" s="21"/>
      <c r="Y14" s="10"/>
      <c r="Z14" s="10"/>
      <c r="AA14" s="21"/>
      <c r="AB14" s="21"/>
      <c r="AC14" s="10"/>
      <c r="AD14" s="10"/>
      <c r="AE14" s="21"/>
      <c r="AF14" s="10"/>
      <c r="AG14" s="10"/>
      <c r="AH14" s="21"/>
      <c r="AI14" s="21"/>
      <c r="AJ14" s="10"/>
      <c r="AK14" s="10"/>
      <c r="AL14" s="17"/>
      <c r="AM14" s="11"/>
      <c r="AN14" s="11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1"/>
      <c r="BF14" s="259"/>
    </row>
    <row r="15" spans="1:58" s="381" customFormat="1" ht="42" customHeight="1" thickBot="1" x14ac:dyDescent="0.3">
      <c r="A15" s="369"/>
      <c r="B15" s="371"/>
      <c r="C15" s="371"/>
      <c r="D15" s="263"/>
      <c r="E15" s="370"/>
      <c r="F15" s="262"/>
      <c r="G15" s="263"/>
      <c r="H15" s="263"/>
      <c r="I15" s="262"/>
      <c r="J15" s="474"/>
      <c r="K15" s="373"/>
      <c r="L15" s="373"/>
      <c r="M15" s="474"/>
      <c r="N15" s="474"/>
      <c r="O15" s="263"/>
      <c r="P15" s="263"/>
      <c r="Q15" s="374"/>
      <c r="R15" s="263"/>
      <c r="S15" s="263"/>
      <c r="T15" s="374"/>
      <c r="U15" s="374"/>
      <c r="V15" s="263"/>
      <c r="W15" s="263"/>
      <c r="X15" s="374"/>
      <c r="Y15" s="263"/>
      <c r="Z15" s="263"/>
      <c r="AA15" s="374"/>
      <c r="AB15" s="374"/>
      <c r="AC15" s="263"/>
      <c r="AD15" s="263"/>
      <c r="AE15" s="374"/>
      <c r="AF15" s="263"/>
      <c r="AG15" s="263"/>
      <c r="AH15" s="374"/>
      <c r="AI15" s="374"/>
      <c r="AJ15" s="263"/>
      <c r="AK15" s="263"/>
      <c r="AL15" s="376"/>
      <c r="AM15" s="371"/>
      <c r="AN15" s="371"/>
      <c r="AO15" s="376"/>
      <c r="AP15" s="376"/>
      <c r="AQ15" s="376"/>
      <c r="AR15" s="376"/>
      <c r="AS15" s="376"/>
      <c r="AT15" s="376"/>
      <c r="AU15" s="376"/>
      <c r="AV15" s="376"/>
      <c r="AW15" s="376"/>
      <c r="AX15" s="376"/>
      <c r="AY15" s="376"/>
      <c r="AZ15" s="376"/>
      <c r="BA15" s="376"/>
      <c r="BB15" s="376"/>
      <c r="BC15" s="376"/>
      <c r="BD15" s="376"/>
      <c r="BE15" s="371"/>
      <c r="BF15" s="266"/>
    </row>
  </sheetData>
  <autoFilter ref="A11:BF11" xr:uid="{00000000-0001-0000-1200-000000000000}"/>
  <mergeCells count="18">
    <mergeCell ref="A10:A11"/>
    <mergeCell ref="H1:H2"/>
    <mergeCell ref="I1:I2"/>
    <mergeCell ref="G10:G11"/>
    <mergeCell ref="B10:B11"/>
    <mergeCell ref="C10:C11"/>
    <mergeCell ref="D10:D11"/>
    <mergeCell ref="E10:E11"/>
    <mergeCell ref="F10:F11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0:XFD10">
    <cfRule type="cellIs" dxfId="3499" priority="1" operator="equal">
      <formula>"E - Review not Required - Proceed"</formula>
    </cfRule>
    <cfRule type="cellIs" dxfId="3498" priority="2" operator="equal">
      <formula>"D - Rejected"</formula>
    </cfRule>
    <cfRule type="cellIs" dxfId="3497" priority="3" operator="equal">
      <formula>"B- Incorporate Comments - Proceed"</formula>
    </cfRule>
    <cfRule type="cellIs" dxfId="3496" priority="4" operator="equal">
      <formula>"C - Revise and Resubmit - Do Not Proceed"</formula>
    </cfRule>
    <cfRule type="cellIs" dxfId="3495" priority="5" operator="equal">
      <formula>"A - Work May Proceed"</formula>
    </cfRule>
  </conditionalFormatting>
  <conditionalFormatting sqref="B12:XFD1048576">
    <cfRule type="cellIs" dxfId="3494" priority="11" operator="equal">
      <formula>"E - Review not Required - Proceed"</formula>
    </cfRule>
    <cfRule type="cellIs" dxfId="3493" priority="12" operator="equal">
      <formula>"D - Rejected"</formula>
    </cfRule>
    <cfRule type="cellIs" dxfId="3492" priority="13" operator="equal">
      <formula>"B- Incorporate Comments - Proceed"</formula>
    </cfRule>
    <cfRule type="cellIs" dxfId="3491" priority="14" operator="equal">
      <formula>"C - Revise and Resubmit - Do Not Proceed"</formula>
    </cfRule>
    <cfRule type="cellIs" dxfId="3490" priority="15" operator="equal">
      <formula>"A - Work May Proceed"</formula>
    </cfRule>
  </conditionalFormatting>
  <conditionalFormatting sqref="D11:BE11 B1:G2 AA1:XFD9 B3:H4 B9:H9 B11">
    <cfRule type="cellIs" dxfId="3489" priority="58" operator="equal">
      <formula>"B- Incorporate Comments - Proceed"</formula>
    </cfRule>
    <cfRule type="cellIs" dxfId="3488" priority="57" operator="equal">
      <formula>"D - Rejected"</formula>
    </cfRule>
    <cfRule type="cellIs" dxfId="3487" priority="56" operator="equal">
      <formula>"E - Review not Required - Proceed"</formula>
    </cfRule>
    <cfRule type="cellIs" dxfId="3486" priority="60" operator="equal">
      <formula>"A - Work May Proceed"</formula>
    </cfRule>
    <cfRule type="cellIs" dxfId="3485" priority="59" operator="equal">
      <formula>"C - Revise and Resubmit - Do Not Proceed"</formula>
    </cfRule>
  </conditionalFormatting>
  <conditionalFormatting sqref="I11">
    <cfRule type="cellIs" dxfId="3484" priority="126" operator="equal">
      <formula>"For Information"</formula>
    </cfRule>
    <cfRule type="cellIs" dxfId="3483" priority="125" operator="equal">
      <formula>"B - Incorporate Comments - Proceed"</formula>
    </cfRule>
    <cfRule type="cellIs" dxfId="3482" priority="130" operator="between">
      <formula>"'D - Rejected "</formula>
      <formula>"'D - Rejected "</formula>
    </cfRule>
    <cfRule type="cellIs" dxfId="3481" priority="137" operator="between">
      <formula>"CANCELLED"</formula>
      <formula>"CANCELLED"</formula>
    </cfRule>
    <cfRule type="cellIs" dxfId="3480" priority="136" operator="between">
      <formula>"D - Rejected "</formula>
      <formula>"D - Rejected "</formula>
    </cfRule>
    <cfRule type="cellIs" dxfId="3479" priority="140" stopIfTrue="1" operator="between">
      <formula>"B - Incorporate Comments - Proceed "</formula>
      <formula>"B - Incorporate Comments - Proceed "</formula>
    </cfRule>
    <cfRule type="cellIs" dxfId="3478" priority="135" operator="between">
      <formula>"E - Review not Required - Proceed"</formula>
      <formula>"E - Review not Required - Proceed"</formula>
    </cfRule>
    <cfRule type="cellIs" dxfId="3477" priority="134" operator="between">
      <formula>"B - Incorporate Comments - Proceed"</formula>
      <formula>"B - Incorporate Comments - Proceed"</formula>
    </cfRule>
    <cfRule type="cellIs" dxfId="3476" priority="133" operator="between">
      <formula>"A - Work May Proceed"</formula>
      <formula>"A - Work May Proceed"</formula>
    </cfRule>
    <cfRule type="cellIs" dxfId="3475" priority="132" operator="between">
      <formula>"B - Incorporate Comments - Proceed"</formula>
      <formula>"B - Incorporate Comments - Proceed"</formula>
    </cfRule>
    <cfRule type="cellIs" dxfId="3474" priority="131" operator="between">
      <formula>"C - Revise and Resubmit - Do Not Proceed"</formula>
      <formula>"C - Revise and Resubmit - Do Not Proceed"</formula>
    </cfRule>
    <cfRule type="cellIs" dxfId="3473" priority="129" operator="between">
      <formula>"E - Review not Required - Proceed"</formula>
      <formula>"E - Review not Required - Proceed"</formula>
    </cfRule>
    <cfRule type="cellIs" dxfId="3472" priority="128" operator="equal">
      <formula>"E - Review Not Required - Proceed"</formula>
    </cfRule>
    <cfRule type="cellIs" dxfId="3471" priority="127" operator="equal">
      <formula>"B - Incorporate Comments - Proceed "</formula>
    </cfRule>
    <cfRule type="cellIs" dxfId="3470" priority="138" operator="between">
      <formula>"A - Work May Proceed"</formula>
      <formula>"A - Work May Proceed"</formula>
    </cfRule>
    <cfRule type="cellIs" dxfId="3469" priority="139" operator="between">
      <formula>"C - Revise and Resubmit - Do Not Proceed"</formula>
      <formula>"C - Revise and Resubmit - Do Not Proceed"</formula>
    </cfRule>
  </conditionalFormatting>
  <conditionalFormatting sqref="J5:J6 B5:I7 B8:J8">
    <cfRule type="cellIs" dxfId="3468" priority="6" operator="equal">
      <formula>"E - Review not Required - Proceed"</formula>
    </cfRule>
    <cfRule type="cellIs" dxfId="3467" priority="7" operator="equal">
      <formula>"D - Rejected"</formula>
    </cfRule>
    <cfRule type="cellIs" dxfId="3466" priority="8" operator="equal">
      <formula>"B- Incorporate Comments - Proceed"</formula>
    </cfRule>
    <cfRule type="cellIs" dxfId="3465" priority="9" operator="equal">
      <formula>"C - Revise and Resubmit - Do Not Proceed"</formula>
    </cfRule>
    <cfRule type="cellIs" dxfId="3464" priority="10" stopIfTrue="1" operator="equal">
      <formula>"A - Work May Proceed"</formula>
    </cfRule>
  </conditionalFormatting>
  <conditionalFormatting sqref="P11">
    <cfRule type="cellIs" dxfId="3463" priority="123" operator="between">
      <formula>"C - Revise and Resubmit - Do Not Proceed"</formula>
      <formula>"C - Revise and Resubmit - Do Not Proceed"</formula>
    </cfRule>
    <cfRule type="cellIs" dxfId="3462" priority="113" operator="between">
      <formula>"E - Review not Required - Proceed"</formula>
      <formula>"E - Review not Required - Proceed"</formula>
    </cfRule>
    <cfRule type="cellIs" dxfId="3461" priority="112" operator="equal">
      <formula>"E - Review Not Required - Proceed"</formula>
    </cfRule>
    <cfRule type="cellIs" dxfId="3460" priority="111" operator="equal">
      <formula>"B - Incorporate Comments - Proceed "</formula>
    </cfRule>
    <cfRule type="cellIs" dxfId="3459" priority="110" operator="equal">
      <formula>"For Information"</formula>
    </cfRule>
    <cfRule type="cellIs" dxfId="3458" priority="109" operator="equal">
      <formula>"B - Incorporate Comments - Proceed"</formula>
    </cfRule>
    <cfRule type="cellIs" dxfId="3457" priority="119" operator="between">
      <formula>"E - Review not Required - Proceed"</formula>
      <formula>"E - Review not Required - Proceed"</formula>
    </cfRule>
    <cfRule type="cellIs" dxfId="3456" priority="116" operator="between">
      <formula>"B - Incorporate Comments - Proceed"</formula>
      <formula>"B - Incorporate Comments - Proceed"</formula>
    </cfRule>
    <cfRule type="cellIs" dxfId="3455" priority="117" operator="between">
      <formula>"A - Work May Proceed"</formula>
      <formula>"A - Work May Proceed"</formula>
    </cfRule>
    <cfRule type="cellIs" dxfId="3454" priority="118" operator="between">
      <formula>"B - Incorporate Comments - Proceed"</formula>
      <formula>"B - Incorporate Comments - Proceed"</formula>
    </cfRule>
    <cfRule type="cellIs" dxfId="3453" priority="120" operator="between">
      <formula>"D - Rejected "</formula>
      <formula>"D - Rejected "</formula>
    </cfRule>
    <cfRule type="cellIs" dxfId="3452" priority="121" operator="between">
      <formula>"CANCELLED"</formula>
      <formula>"CANCELLED"</formula>
    </cfRule>
    <cfRule type="cellIs" dxfId="3451" priority="122" operator="between">
      <formula>"A - Work May Proceed"</formula>
      <formula>"A - Work May Proceed"</formula>
    </cfRule>
    <cfRule type="cellIs" dxfId="3450" priority="124" stopIfTrue="1" operator="between">
      <formula>"B - Incorporate Comments - Proceed "</formula>
      <formula>"B - Incorporate Comments - Proceed "</formula>
    </cfRule>
    <cfRule type="cellIs" dxfId="3449" priority="115" operator="between">
      <formula>"C - Revise and Resubmit - Do Not Proceed"</formula>
      <formula>"C - Revise and Resubmit - Do Not Proceed"</formula>
    </cfRule>
    <cfRule type="cellIs" dxfId="3448" priority="114" operator="between">
      <formula>"'D - Rejected "</formula>
      <formula>"'D - Rejected "</formula>
    </cfRule>
  </conditionalFormatting>
  <conditionalFormatting sqref="W11">
    <cfRule type="cellIs" dxfId="3447" priority="93" operator="equal">
      <formula>"B - Incorporate Comments - Proceed"</formula>
    </cfRule>
    <cfRule type="cellIs" dxfId="3446" priority="94" operator="equal">
      <formula>"For Information"</formula>
    </cfRule>
    <cfRule type="cellIs" dxfId="3445" priority="95" operator="equal">
      <formula>"B - Incorporate Comments - Proceed "</formula>
    </cfRule>
    <cfRule type="cellIs" dxfId="3444" priority="96" operator="equal">
      <formula>"E - Review Not Required - Proceed"</formula>
    </cfRule>
    <cfRule type="cellIs" dxfId="3443" priority="97" operator="between">
      <formula>"E - Review not Required - Proceed"</formula>
      <formula>"E - Review not Required - Proceed"</formula>
    </cfRule>
    <cfRule type="cellIs" dxfId="3442" priority="98" operator="between">
      <formula>"'D - Rejected "</formula>
      <formula>"'D - Rejected "</formula>
    </cfRule>
    <cfRule type="cellIs" dxfId="3441" priority="99" operator="between">
      <formula>"C - Revise and Resubmit - Do Not Proceed"</formula>
      <formula>"C - Revise and Resubmit - Do Not Proceed"</formula>
    </cfRule>
    <cfRule type="cellIs" dxfId="3440" priority="100" operator="between">
      <formula>"B - Incorporate Comments - Proceed"</formula>
      <formula>"B - Incorporate Comments - Proceed"</formula>
    </cfRule>
    <cfRule type="cellIs" dxfId="3439" priority="101" operator="between">
      <formula>"A - Work May Proceed"</formula>
      <formula>"A - Work May Proceed"</formula>
    </cfRule>
    <cfRule type="cellIs" dxfId="3438" priority="102" operator="between">
      <formula>"B - Incorporate Comments - Proceed"</formula>
      <formula>"B - Incorporate Comments - Proceed"</formula>
    </cfRule>
    <cfRule type="cellIs" dxfId="3437" priority="103" operator="between">
      <formula>"E - Review not Required - Proceed"</formula>
      <formula>"E - Review not Required - Proceed"</formula>
    </cfRule>
    <cfRule type="cellIs" dxfId="3436" priority="104" operator="between">
      <formula>"D - Rejected "</formula>
      <formula>"D - Rejected "</formula>
    </cfRule>
    <cfRule type="cellIs" dxfId="3435" priority="105" operator="between">
      <formula>"CANCELLED"</formula>
      <formula>"CANCELLED"</formula>
    </cfRule>
    <cfRule type="cellIs" dxfId="3434" priority="107" operator="between">
      <formula>"C - Revise and Resubmit - Do Not Proceed"</formula>
      <formula>"C - Revise and Resubmit - Do Not Proceed"</formula>
    </cfRule>
    <cfRule type="cellIs" dxfId="3433" priority="108" stopIfTrue="1" operator="between">
      <formula>"B - Incorporate Comments - Proceed "</formula>
      <formula>"B - Incorporate Comments - Proceed "</formula>
    </cfRule>
    <cfRule type="cellIs" dxfId="3432" priority="106" operator="between">
      <formula>"A - Work May Proceed"</formula>
      <formula>"A - Work May Proceed"</formula>
    </cfRule>
  </conditionalFormatting>
  <conditionalFormatting sqref="AD11">
    <cfRule type="cellIs" dxfId="3431" priority="78" operator="equal">
      <formula>"For Information"</formula>
    </cfRule>
    <cfRule type="cellIs" dxfId="3430" priority="88" operator="between">
      <formula>"D - Rejected "</formula>
      <formula>"D - Rejected "</formula>
    </cfRule>
    <cfRule type="cellIs" dxfId="3429" priority="77" operator="equal">
      <formula>"B - Incorporate Comments - Proceed"</formula>
    </cfRule>
    <cfRule type="cellIs" dxfId="3428" priority="90" operator="between">
      <formula>"A - Work May Proceed"</formula>
      <formula>"A - Work May Proceed"</formula>
    </cfRule>
    <cfRule type="cellIs" dxfId="3427" priority="91" operator="between">
      <formula>"C - Revise and Resubmit - Do Not Proceed"</formula>
      <formula>"C - Revise and Resubmit - Do Not Proceed"</formula>
    </cfRule>
    <cfRule type="cellIs" dxfId="3426" priority="92" stopIfTrue="1" operator="between">
      <formula>"B - Incorporate Comments - Proceed "</formula>
      <formula>"B - Incorporate Comments - Proceed "</formula>
    </cfRule>
    <cfRule type="cellIs" dxfId="3425" priority="87" operator="between">
      <formula>"E - Review not Required - Proceed"</formula>
      <formula>"E - Review not Required - Proceed"</formula>
    </cfRule>
    <cfRule type="cellIs" dxfId="3424" priority="86" operator="between">
      <formula>"B - Incorporate Comments - Proceed"</formula>
      <formula>"B - Incorporate Comments - Proceed"</formula>
    </cfRule>
    <cfRule type="cellIs" dxfId="3423" priority="85" operator="between">
      <formula>"A - Work May Proceed"</formula>
      <formula>"A - Work May Proceed"</formula>
    </cfRule>
    <cfRule type="cellIs" dxfId="3422" priority="84" operator="between">
      <formula>"B - Incorporate Comments - Proceed"</formula>
      <formula>"B - Incorporate Comments - Proceed"</formula>
    </cfRule>
    <cfRule type="cellIs" dxfId="3421" priority="83" operator="between">
      <formula>"C - Revise and Resubmit - Do Not Proceed"</formula>
      <formula>"C - Revise and Resubmit - Do Not Proceed"</formula>
    </cfRule>
    <cfRule type="cellIs" dxfId="3420" priority="82" operator="between">
      <formula>"'D - Rejected "</formula>
      <formula>"'D - Rejected "</formula>
    </cfRule>
    <cfRule type="cellIs" dxfId="3419" priority="81" operator="between">
      <formula>"E - Review not Required - Proceed"</formula>
      <formula>"E - Review not Required - Proceed"</formula>
    </cfRule>
    <cfRule type="cellIs" dxfId="3418" priority="89" operator="between">
      <formula>"CANCELLED"</formula>
      <formula>"CANCELLED"</formula>
    </cfRule>
    <cfRule type="cellIs" dxfId="3417" priority="80" operator="equal">
      <formula>"E - Review Not Required - Proceed"</formula>
    </cfRule>
    <cfRule type="cellIs" dxfId="3416" priority="79" operator="equal">
      <formula>"B - Incorporate Comments - Proceed "</formula>
    </cfRule>
  </conditionalFormatting>
  <conditionalFormatting sqref="AK11">
    <cfRule type="cellIs" dxfId="3415" priority="69" operator="between">
      <formula>"A - Work May Proceed"</formula>
      <formula>"A - Work May Proceed"</formula>
    </cfRule>
    <cfRule type="cellIs" dxfId="3414" priority="70" operator="between">
      <formula>"B - Incorporate Comments - Proceed"</formula>
      <formula>"B - Incorporate Comments - Proceed"</formula>
    </cfRule>
    <cfRule type="cellIs" dxfId="3413" priority="71" operator="between">
      <formula>"E - Review not Required - Proceed"</formula>
      <formula>"E - Review not Required - Proceed"</formula>
    </cfRule>
    <cfRule type="cellIs" dxfId="3412" priority="72" operator="between">
      <formula>"D - Rejected "</formula>
      <formula>"D - Rejected "</formula>
    </cfRule>
    <cfRule type="cellIs" dxfId="3411" priority="73" operator="between">
      <formula>"CANCELLED"</formula>
      <formula>"CANCELLED"</formula>
    </cfRule>
    <cfRule type="cellIs" dxfId="3410" priority="74" operator="between">
      <formula>"A - Work May Proceed"</formula>
      <formula>"A - Work May Proceed"</formula>
    </cfRule>
    <cfRule type="cellIs" dxfId="3409" priority="75" operator="between">
      <formula>"C - Revise and Resubmit - Do Not Proceed"</formula>
      <formula>"C - Revise and Resubmit - Do Not Proceed"</formula>
    </cfRule>
    <cfRule type="cellIs" dxfId="3408" priority="76" stopIfTrue="1" operator="between">
      <formula>"B - Incorporate Comments - Proceed "</formula>
      <formula>"B - Incorporate Comments - Proceed "</formula>
    </cfRule>
    <cfRule type="cellIs" dxfId="3407" priority="61" operator="equal">
      <formula>"B - Incorporate Comments - Proceed"</formula>
    </cfRule>
    <cfRule type="cellIs" dxfId="3406" priority="62" operator="equal">
      <formula>"For Information"</formula>
    </cfRule>
    <cfRule type="cellIs" dxfId="3405" priority="63" operator="equal">
      <formula>"B - Incorporate Comments - Proceed "</formula>
    </cfRule>
    <cfRule type="cellIs" dxfId="3404" priority="64" operator="equal">
      <formula>"E - Review Not Required - Proceed"</formula>
    </cfRule>
    <cfRule type="cellIs" dxfId="3403" priority="65" operator="between">
      <formula>"E - Review not Required - Proceed"</formula>
      <formula>"E - Review not Required - Proceed"</formula>
    </cfRule>
    <cfRule type="cellIs" dxfId="3402" priority="66" operator="between">
      <formula>"'D - Rejected "</formula>
      <formula>"'D - Rejected "</formula>
    </cfRule>
    <cfRule type="cellIs" dxfId="3401" priority="67" operator="between">
      <formula>"C - Revise and Resubmit - Do Not Proceed"</formula>
      <formula>"C - Revise and Resubmit - Do Not Proceed"</formula>
    </cfRule>
    <cfRule type="cellIs" dxfId="3400" priority="68" operator="between">
      <formula>"B - Incorporate Comments - Proceed"</formula>
      <formula>"B - Incorporate Comments - Proceed"</formula>
    </cfRule>
  </conditionalFormatting>
  <conditionalFormatting sqref="AR11">
    <cfRule type="cellIs" dxfId="3399" priority="31" operator="between">
      <formula>"D - Rejected "</formula>
      <formula>"D - Rejected "</formula>
    </cfRule>
    <cfRule type="cellIs" dxfId="3398" priority="30" operator="between">
      <formula>"E - Review not Required - Proceed"</formula>
      <formula>"E - Review not Required - Proceed"</formula>
    </cfRule>
    <cfRule type="cellIs" dxfId="3397" priority="29" operator="between">
      <formula>"B - Incorporate Comments - Proceed"</formula>
      <formula>"B - Incorporate Comments - Proceed"</formula>
    </cfRule>
    <cfRule type="cellIs" dxfId="3396" priority="28" operator="between">
      <formula>"A - Work May Proceed"</formula>
      <formula>"A - Work May Proceed"</formula>
    </cfRule>
    <cfRule type="cellIs" dxfId="3395" priority="27" operator="between">
      <formula>"B - Incorporate Comments - Proceed"</formula>
      <formula>"B - Incorporate Comments - Proceed"</formula>
    </cfRule>
    <cfRule type="cellIs" dxfId="3394" priority="26" operator="between">
      <formula>"C - Revise and Resubmit - Do Not Proceed"</formula>
      <formula>"C - Revise and Resubmit - Do Not Proceed"</formula>
    </cfRule>
    <cfRule type="cellIs" dxfId="3393" priority="25" operator="between">
      <formula>"'D - Rejected "</formula>
      <formula>"'D - Rejected "</formula>
    </cfRule>
    <cfRule type="cellIs" dxfId="3392" priority="24" operator="between">
      <formula>"E - Review not Required - Proceed"</formula>
      <formula>"E - Review not Required - Proceed"</formula>
    </cfRule>
    <cfRule type="cellIs" dxfId="3391" priority="23" operator="equal">
      <formula>"E - Review Not Required - Proceed"</formula>
    </cfRule>
    <cfRule type="cellIs" dxfId="3390" priority="22" operator="equal">
      <formula>"B - Incorporate Comments - Proceed "</formula>
    </cfRule>
    <cfRule type="cellIs" dxfId="3389" priority="21" operator="equal">
      <formula>"For Information"</formula>
    </cfRule>
    <cfRule type="cellIs" dxfId="3388" priority="20" operator="equal">
      <formula>"A - Work May Proceed"</formula>
    </cfRule>
    <cfRule type="cellIs" dxfId="3387" priority="19" operator="equal">
      <formula>"C - Revise and Resubmit - Do Not Proceed"</formula>
    </cfRule>
    <cfRule type="cellIs" dxfId="3386" priority="17" operator="equal">
      <formula>"D - Rejected"</formula>
    </cfRule>
    <cfRule type="cellIs" dxfId="3385" priority="16" operator="equal">
      <formula>"E - Review not Required - Proceed"</formula>
    </cfRule>
    <cfRule type="cellIs" dxfId="3384" priority="32" operator="between">
      <formula>"CANCELLED"</formula>
      <formula>"CANCELLED"</formula>
    </cfRule>
    <cfRule type="cellIs" dxfId="3383" priority="18" operator="equal">
      <formula>"B - Incorporate Comments - Proceed"</formula>
    </cfRule>
    <cfRule type="cellIs" dxfId="3382" priority="35" stopIfTrue="1" operator="between">
      <formula>"B - Incorporate Comments - Proceed "</formula>
      <formula>"B - Incorporate Comments - Proceed "</formula>
    </cfRule>
    <cfRule type="cellIs" dxfId="3381" priority="34" operator="between">
      <formula>"C - Revise and Resubmit - Do Not Proceed"</formula>
      <formula>"C - Revise and Resubmit - Do Not Proceed"</formula>
    </cfRule>
    <cfRule type="cellIs" dxfId="3380" priority="33" operator="between">
      <formula>"A - Work May Proceed"</formula>
      <formula>"A - Work May Proceed"</formula>
    </cfRule>
  </conditionalFormatting>
  <conditionalFormatting sqref="AY11">
    <cfRule type="cellIs" dxfId="3379" priority="55" stopIfTrue="1" operator="between">
      <formula>"B - Incorporate Comments - Proceed "</formula>
      <formula>"B - Incorporate Comments - Proceed "</formula>
    </cfRule>
    <cfRule type="cellIs" dxfId="3378" priority="53" operator="between">
      <formula>"A - Work May Proceed"</formula>
      <formula>"A - Work May Proceed"</formula>
    </cfRule>
    <cfRule type="cellIs" dxfId="3377" priority="52" operator="between">
      <formula>"CANCELLED"</formula>
      <formula>"CANCELLED"</formula>
    </cfRule>
    <cfRule type="cellIs" dxfId="3376" priority="51" operator="between">
      <formula>"D - Rejected "</formula>
      <formula>"D - Rejected "</formula>
    </cfRule>
    <cfRule type="cellIs" dxfId="3375" priority="50" operator="between">
      <formula>"E - Review not Required - Proceed"</formula>
      <formula>"E - Review not Required - Proceed"</formula>
    </cfRule>
    <cfRule type="cellIs" dxfId="3374" priority="45" operator="between">
      <formula>"'D - Rejected "</formula>
      <formula>"'D - Rejected "</formula>
    </cfRule>
    <cfRule type="cellIs" dxfId="3373" priority="44" operator="between">
      <formula>"E - Review not Required - Proceed"</formula>
      <formula>"E - Review not Required - Proceed"</formula>
    </cfRule>
    <cfRule type="cellIs" dxfId="3372" priority="54" operator="between">
      <formula>"C - Revise and Resubmit - Do Not Proceed"</formula>
      <formula>"C - Revise and Resubmit - Do Not Proceed"</formula>
    </cfRule>
    <cfRule type="cellIs" dxfId="3371" priority="43" operator="equal">
      <formula>"E - Review Not Required - Proceed"</formula>
    </cfRule>
    <cfRule type="cellIs" dxfId="3370" priority="42" operator="equal">
      <formula>"B - Incorporate Comments - Proceed "</formula>
    </cfRule>
    <cfRule type="cellIs" dxfId="3369" priority="41" operator="equal">
      <formula>"For Information"</formula>
    </cfRule>
    <cfRule type="cellIs" dxfId="3368" priority="40" operator="equal">
      <formula>"A - Work May Proceed"</formula>
    </cfRule>
    <cfRule type="cellIs" dxfId="3367" priority="39" operator="equal">
      <formula>"C - Revise and Resubmit - Do Not Proceed"</formula>
    </cfRule>
    <cfRule type="cellIs" dxfId="3366" priority="38" operator="equal">
      <formula>"B - Incorporate Comments - Proceed"</formula>
    </cfRule>
    <cfRule type="cellIs" dxfId="3365" priority="37" operator="equal">
      <formula>"D - Rejected"</formula>
    </cfRule>
    <cfRule type="cellIs" dxfId="3364" priority="36" operator="equal">
      <formula>"E - Review not Required - Proceed"</formula>
    </cfRule>
    <cfRule type="cellIs" dxfId="3363" priority="48" operator="between">
      <formula>"A - Work May Proceed"</formula>
      <formula>"A - Work May Proceed"</formula>
    </cfRule>
    <cfRule type="cellIs" dxfId="3362" priority="47" operator="between">
      <formula>"B - Incorporate Comments - Proceed"</formula>
      <formula>"B - Incorporate Comments - Proceed"</formula>
    </cfRule>
    <cfRule type="cellIs" dxfId="3361" priority="46" operator="between">
      <formula>"C - Revise and Resubmit - Do Not Proceed"</formula>
      <formula>"C - Revise and Resubmit - Do Not Proceed"</formula>
    </cfRule>
    <cfRule type="cellIs" dxfId="3360" priority="49" operator="between">
      <formula>"B - Incorporate Comments - Proceed"</formula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5"/>
  </sheetPr>
  <dimension ref="A1:BF17"/>
  <sheetViews>
    <sheetView zoomScale="55" zoomScaleNormal="55" zoomScaleSheetLayoutView="55" workbookViewId="0">
      <pane ySplit="11" topLeftCell="A12" activePane="bottomLeft" state="frozen"/>
      <selection activeCell="A14" sqref="A14"/>
      <selection pane="bottomLeft" sqref="A1:A1048576"/>
    </sheetView>
  </sheetViews>
  <sheetFormatPr defaultColWidth="9.140625" defaultRowHeight="15" x14ac:dyDescent="0.25"/>
  <cols>
    <col min="1" max="1" width="22.710937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1" width="30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50.7109375" style="44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/>
      <c r="V1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2"/>
    </row>
    <row r="2" spans="1:58" s="379" customFormat="1" ht="24" customHeight="1" x14ac:dyDescent="0.35">
      <c r="A2" s="8"/>
      <c r="B2" s="25" t="s">
        <v>28</v>
      </c>
      <c r="C2" s="26" t="s">
        <v>16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/>
      <c r="V2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2"/>
    </row>
    <row r="3" spans="1:58" s="379" customFormat="1" ht="24" customHeight="1" x14ac:dyDescent="0.35">
      <c r="A3" s="8"/>
      <c r="B3" s="25" t="s">
        <v>507</v>
      </c>
      <c r="C3" s="49" t="s">
        <v>455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/>
      <c r="V3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2"/>
    </row>
    <row r="4" spans="1:58" s="379" customFormat="1" ht="24" customHeight="1" x14ac:dyDescent="0.35">
      <c r="A4" s="8"/>
      <c r="B4" s="77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/>
      <c r="V4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2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/>
      <c r="V5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2"/>
    </row>
    <row r="6" spans="1:58" s="379" customFormat="1" ht="24" customHeight="1" x14ac:dyDescent="0.35">
      <c r="A6" s="8"/>
      <c r="B6" s="64">
        <f>COUNTIF(B11:B17,"A - Work May Proceed")</f>
        <v>3</v>
      </c>
      <c r="C6" s="65">
        <f>COUNTIF(B11:B17,"B- Incorporate Comments - Proceed")</f>
        <v>0</v>
      </c>
      <c r="D6" s="65">
        <f>COUNTIF(B11:B17,"C - Revise and Resubmit - Do Not Proceed")</f>
        <v>0</v>
      </c>
      <c r="E6" s="65">
        <f>COUNTIF(B11:B17,"D - Rejected")</f>
        <v>0</v>
      </c>
      <c r="F6" s="65">
        <f>COUNTIF(B11:B17,"E - Review not Required - Proceed")</f>
        <v>1</v>
      </c>
      <c r="G6" s="66">
        <f>COUNTIF(B11:B17,"UR")</f>
        <v>0</v>
      </c>
      <c r="H6" s="66">
        <f>COUNTIF(B11:B17,"FA")</f>
        <v>0</v>
      </c>
      <c r="I6" s="66">
        <f>COUNTIF(B11:B17,"Terminated")</f>
        <v>0</v>
      </c>
      <c r="J6" s="66">
        <f>COUNTIF(B11:B17,"Cancelled")</f>
        <v>1</v>
      </c>
      <c r="K6"/>
      <c r="L6"/>
      <c r="M6"/>
      <c r="N6"/>
      <c r="O6"/>
      <c r="P6"/>
      <c r="Q6"/>
      <c r="R6"/>
      <c r="S6"/>
      <c r="T6"/>
      <c r="U6"/>
      <c r="V6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2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/>
      <c r="V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2"/>
    </row>
    <row r="8" spans="1:58" s="379" customFormat="1" ht="24" customHeight="1" x14ac:dyDescent="0.35">
      <c r="A8" s="8"/>
      <c r="B8" s="72" t="s">
        <v>509</v>
      </c>
      <c r="C8" s="73">
        <f>SUM(B6:J6)</f>
        <v>5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/>
      <c r="V8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2"/>
    </row>
    <row r="9" spans="1:58" s="379" customFormat="1" ht="24" customHeight="1" thickBot="1" x14ac:dyDescent="0.4">
      <c r="A9" s="8"/>
      <c r="B9" s="8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/>
      <c r="V9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2"/>
    </row>
    <row r="10" spans="1:58" s="405" customFormat="1" ht="36.75" customHeight="1" x14ac:dyDescent="0.2">
      <c r="A10" s="550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51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11" t="s">
        <v>13</v>
      </c>
      <c r="C12" s="56" t="s">
        <v>54</v>
      </c>
      <c r="D12" s="10" t="s">
        <v>453</v>
      </c>
      <c r="E12" s="12" t="s">
        <v>454</v>
      </c>
      <c r="F12" s="16" t="s">
        <v>211</v>
      </c>
      <c r="G12" s="10" t="s">
        <v>15</v>
      </c>
      <c r="H12" s="10" t="s">
        <v>455</v>
      </c>
      <c r="I12" s="16" t="s">
        <v>13</v>
      </c>
      <c r="J12" s="14">
        <v>45585</v>
      </c>
      <c r="K12" s="12" t="s">
        <v>456</v>
      </c>
      <c r="L12" s="20">
        <f>J12+7</f>
        <v>45592</v>
      </c>
      <c r="M12" s="14">
        <v>45601</v>
      </c>
      <c r="N12" s="92">
        <f>M12-L12</f>
        <v>9</v>
      </c>
      <c r="O12" s="12" t="s">
        <v>713</v>
      </c>
      <c r="P12" s="16"/>
      <c r="Q12" s="20"/>
      <c r="R12" s="12"/>
      <c r="S12" s="12"/>
      <c r="T12" s="20"/>
      <c r="U12" s="20"/>
      <c r="V12" s="12"/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259"/>
    </row>
    <row r="13" spans="1:58" s="381" customFormat="1" ht="42" customHeight="1" x14ac:dyDescent="0.25">
      <c r="A13" s="367">
        <v>730007</v>
      </c>
      <c r="B13" s="57" t="s">
        <v>508</v>
      </c>
      <c r="C13" s="56" t="s">
        <v>627</v>
      </c>
      <c r="D13" s="10" t="s">
        <v>1548</v>
      </c>
      <c r="E13" s="12" t="s">
        <v>1549</v>
      </c>
      <c r="F13" s="16" t="s">
        <v>1550</v>
      </c>
      <c r="G13" s="10" t="s">
        <v>15</v>
      </c>
      <c r="H13" s="10" t="s">
        <v>455</v>
      </c>
      <c r="I13" s="16" t="s">
        <v>3</v>
      </c>
      <c r="J13" s="14">
        <v>45645</v>
      </c>
      <c r="K13" s="13" t="s">
        <v>1551</v>
      </c>
      <c r="L13" s="20">
        <f>J13+7</f>
        <v>45652</v>
      </c>
      <c r="M13" s="14">
        <v>45691</v>
      </c>
      <c r="N13" s="92">
        <f>M13-L13</f>
        <v>39</v>
      </c>
      <c r="O13" s="10" t="s">
        <v>1590</v>
      </c>
      <c r="P13" s="16" t="s">
        <v>508</v>
      </c>
      <c r="Q13" s="21">
        <v>45970</v>
      </c>
      <c r="R13" s="10" t="s">
        <v>4789</v>
      </c>
      <c r="S13" s="10" t="s">
        <v>626</v>
      </c>
      <c r="T13" s="21" t="s">
        <v>626</v>
      </c>
      <c r="U13" s="21" t="s">
        <v>626</v>
      </c>
      <c r="V13" s="10" t="s">
        <v>626</v>
      </c>
      <c r="W13" s="10"/>
      <c r="X13" s="21"/>
      <c r="Y13" s="10"/>
      <c r="Z13" s="10"/>
      <c r="AA13" s="21"/>
      <c r="AB13" s="21"/>
      <c r="AC13" s="10"/>
      <c r="AD13" s="10"/>
      <c r="AE13" s="21"/>
      <c r="AF13" s="10"/>
      <c r="AG13" s="10"/>
      <c r="AH13" s="21"/>
      <c r="AI13" s="21"/>
      <c r="AJ13" s="10"/>
      <c r="AK13" s="10"/>
      <c r="AL13" s="17"/>
      <c r="AM13" s="11"/>
      <c r="AN13" s="11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1"/>
      <c r="BF13" s="259"/>
    </row>
    <row r="14" spans="1:58" s="381" customFormat="1" ht="42" customHeight="1" x14ac:dyDescent="0.25">
      <c r="A14" s="367">
        <v>730007</v>
      </c>
      <c r="B14" s="13" t="s">
        <v>5</v>
      </c>
      <c r="C14" s="56" t="s">
        <v>588</v>
      </c>
      <c r="D14" s="10" t="s">
        <v>2608</v>
      </c>
      <c r="E14" s="12" t="s">
        <v>2609</v>
      </c>
      <c r="F14" s="16" t="s">
        <v>2610</v>
      </c>
      <c r="G14" s="10" t="s">
        <v>15</v>
      </c>
      <c r="H14" s="10" t="s">
        <v>455</v>
      </c>
      <c r="I14" s="16" t="s">
        <v>3</v>
      </c>
      <c r="J14" s="14">
        <v>45712</v>
      </c>
      <c r="K14" s="13" t="s">
        <v>2611</v>
      </c>
      <c r="L14" s="20">
        <f>J14+7</f>
        <v>45719</v>
      </c>
      <c r="M14" s="14">
        <v>45733</v>
      </c>
      <c r="N14" s="92">
        <f>M14-L14</f>
        <v>14</v>
      </c>
      <c r="O14" s="10" t="s">
        <v>2619</v>
      </c>
      <c r="P14" s="12" t="s">
        <v>3</v>
      </c>
      <c r="Q14" s="21">
        <v>45735</v>
      </c>
      <c r="R14" s="10" t="s">
        <v>2853</v>
      </c>
      <c r="S14" s="21">
        <f>Q14+7</f>
        <v>45742</v>
      </c>
      <c r="T14" s="21">
        <v>45761</v>
      </c>
      <c r="U14" s="92">
        <f>T14-S14</f>
        <v>19</v>
      </c>
      <c r="V14" s="10" t="s">
        <v>2856</v>
      </c>
      <c r="W14" s="59" t="s">
        <v>5</v>
      </c>
      <c r="X14" s="21">
        <v>45762</v>
      </c>
      <c r="Y14" s="10" t="s">
        <v>2993</v>
      </c>
      <c r="Z14" s="21">
        <f>X14+7</f>
        <v>45769</v>
      </c>
      <c r="AA14" s="21">
        <v>45774</v>
      </c>
      <c r="AB14" s="92">
        <f>AA14-Z14</f>
        <v>5</v>
      </c>
      <c r="AC14" s="10" t="s">
        <v>3006</v>
      </c>
      <c r="AD14" s="10"/>
      <c r="AE14" s="21"/>
      <c r="AF14" s="10"/>
      <c r="AG14" s="10"/>
      <c r="AH14" s="21"/>
      <c r="AI14" s="21"/>
      <c r="AJ14" s="10"/>
      <c r="AK14" s="10"/>
      <c r="AL14" s="17"/>
      <c r="AM14" s="11"/>
      <c r="AN14" s="11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1"/>
      <c r="BF14" s="259"/>
    </row>
    <row r="15" spans="1:58" s="381" customFormat="1" ht="42" customHeight="1" x14ac:dyDescent="0.25">
      <c r="A15" s="367">
        <v>730007</v>
      </c>
      <c r="B15" s="16" t="s">
        <v>5</v>
      </c>
      <c r="C15" s="56" t="s">
        <v>54</v>
      </c>
      <c r="D15" s="10" t="s">
        <v>5674</v>
      </c>
      <c r="E15" s="12" t="s">
        <v>5676</v>
      </c>
      <c r="F15" s="16" t="s">
        <v>5675</v>
      </c>
      <c r="G15" s="10" t="s">
        <v>15</v>
      </c>
      <c r="H15" s="10" t="s">
        <v>455</v>
      </c>
      <c r="I15" s="16" t="s">
        <v>5</v>
      </c>
      <c r="J15" s="14">
        <v>46049</v>
      </c>
      <c r="K15" s="13" t="s">
        <v>5677</v>
      </c>
      <c r="L15" s="20">
        <f>J15+7</f>
        <v>46056</v>
      </c>
      <c r="M15" s="14">
        <v>46110</v>
      </c>
      <c r="N15" s="92">
        <f>M15-L15</f>
        <v>54</v>
      </c>
      <c r="O15" s="10" t="s">
        <v>5883</v>
      </c>
      <c r="P15" s="16"/>
      <c r="Q15" s="21"/>
      <c r="R15" s="10"/>
      <c r="S15" s="10"/>
      <c r="T15" s="21"/>
      <c r="U15" s="21"/>
      <c r="V15" s="10"/>
      <c r="W15" s="10"/>
      <c r="X15" s="21"/>
      <c r="Y15" s="10"/>
      <c r="Z15" s="10"/>
      <c r="AA15" s="21"/>
      <c r="AB15" s="21"/>
      <c r="AC15" s="10"/>
      <c r="AD15" s="10"/>
      <c r="AE15" s="21"/>
      <c r="AF15" s="10"/>
      <c r="AG15" s="10"/>
      <c r="AH15" s="21"/>
      <c r="AI15" s="21"/>
      <c r="AJ15" s="10"/>
      <c r="AK15" s="10"/>
      <c r="AL15" s="17"/>
      <c r="AM15" s="11"/>
      <c r="AN15" s="11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1"/>
      <c r="BF15" s="259"/>
    </row>
    <row r="16" spans="1:58" s="381" customFormat="1" ht="42" customHeight="1" x14ac:dyDescent="0.25">
      <c r="A16" s="367">
        <v>730007</v>
      </c>
      <c r="B16" s="16" t="s">
        <v>5</v>
      </c>
      <c r="C16" s="56" t="s">
        <v>54</v>
      </c>
      <c r="D16" s="10" t="s">
        <v>5884</v>
      </c>
      <c r="E16" s="12" t="s">
        <v>5885</v>
      </c>
      <c r="F16" s="16" t="s">
        <v>5886</v>
      </c>
      <c r="G16" s="10" t="s">
        <v>15</v>
      </c>
      <c r="H16" s="10" t="s">
        <v>455</v>
      </c>
      <c r="I16" s="16" t="s">
        <v>5</v>
      </c>
      <c r="J16" s="14">
        <v>46074</v>
      </c>
      <c r="K16" s="13" t="s">
        <v>6184</v>
      </c>
      <c r="L16" s="20">
        <f>J16+7</f>
        <v>46081</v>
      </c>
      <c r="M16" s="14">
        <v>46110</v>
      </c>
      <c r="N16" s="92">
        <f>M16-L16</f>
        <v>29</v>
      </c>
      <c r="O16" s="10" t="s">
        <v>5887</v>
      </c>
      <c r="P16" s="9"/>
      <c r="Q16" s="21"/>
      <c r="R16" s="10"/>
      <c r="S16" s="10"/>
      <c r="T16" s="21"/>
      <c r="U16" s="21"/>
      <c r="V16" s="10"/>
      <c r="W16" s="10"/>
      <c r="X16" s="21"/>
      <c r="Y16" s="10"/>
      <c r="Z16" s="10"/>
      <c r="AA16" s="21"/>
      <c r="AB16" s="21"/>
      <c r="AC16" s="10"/>
      <c r="AD16" s="10"/>
      <c r="AE16" s="21"/>
      <c r="AF16" s="10"/>
      <c r="AG16" s="10"/>
      <c r="AH16" s="21"/>
      <c r="AI16" s="21"/>
      <c r="AJ16" s="10"/>
      <c r="AK16" s="10"/>
      <c r="AL16" s="17"/>
      <c r="AM16" s="11"/>
      <c r="AN16" s="11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1"/>
      <c r="BF16" s="259"/>
    </row>
    <row r="17" spans="1:58" s="381" customFormat="1" ht="42" customHeight="1" thickBot="1" x14ac:dyDescent="0.3">
      <c r="A17" s="369"/>
      <c r="B17" s="371"/>
      <c r="C17" s="371"/>
      <c r="D17" s="370"/>
      <c r="E17" s="370"/>
      <c r="F17" s="262"/>
      <c r="G17" s="263"/>
      <c r="H17" s="263"/>
      <c r="I17" s="262"/>
      <c r="J17" s="474"/>
      <c r="K17" s="373"/>
      <c r="L17" s="373"/>
      <c r="M17" s="474"/>
      <c r="N17" s="474"/>
      <c r="O17" s="263"/>
      <c r="P17" s="263"/>
      <c r="Q17" s="374"/>
      <c r="R17" s="263"/>
      <c r="S17" s="263"/>
      <c r="T17" s="374"/>
      <c r="U17" s="374"/>
      <c r="V17" s="263"/>
      <c r="W17" s="263"/>
      <c r="X17" s="374"/>
      <c r="Y17" s="263"/>
      <c r="Z17" s="263"/>
      <c r="AA17" s="374"/>
      <c r="AB17" s="374"/>
      <c r="AC17" s="263"/>
      <c r="AD17" s="263"/>
      <c r="AE17" s="374"/>
      <c r="AF17" s="263"/>
      <c r="AG17" s="263"/>
      <c r="AH17" s="374"/>
      <c r="AI17" s="374"/>
      <c r="AJ17" s="263"/>
      <c r="AK17" s="263"/>
      <c r="AL17" s="376"/>
      <c r="AM17" s="371"/>
      <c r="AN17" s="371"/>
      <c r="AO17" s="376"/>
      <c r="AP17" s="376"/>
      <c r="AQ17" s="376"/>
      <c r="AR17" s="376"/>
      <c r="AS17" s="376"/>
      <c r="AT17" s="376"/>
      <c r="AU17" s="376"/>
      <c r="AV17" s="376"/>
      <c r="AW17" s="376"/>
      <c r="AX17" s="376"/>
      <c r="AY17" s="376"/>
      <c r="AZ17" s="376"/>
      <c r="BA17" s="376"/>
      <c r="BB17" s="376"/>
      <c r="BC17" s="376"/>
      <c r="BD17" s="376"/>
      <c r="BE17" s="371"/>
      <c r="BF17" s="266"/>
    </row>
  </sheetData>
  <autoFilter ref="B11:BF17" xr:uid="{00000000-0009-0000-0000-000013000000}"/>
  <mergeCells count="18">
    <mergeCell ref="A10:A11"/>
    <mergeCell ref="H1:H2"/>
    <mergeCell ref="I1:I2"/>
    <mergeCell ref="G10:G11"/>
    <mergeCell ref="B10:B11"/>
    <mergeCell ref="C10:C11"/>
    <mergeCell ref="D10:D11"/>
    <mergeCell ref="E10:E11"/>
    <mergeCell ref="F10:F11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0:XFD10">
    <cfRule type="cellIs" dxfId="3359" priority="1" operator="equal">
      <formula>"E - Review not Required - Proceed"</formula>
    </cfRule>
    <cfRule type="cellIs" dxfId="3358" priority="2" operator="equal">
      <formula>"D - Rejected"</formula>
    </cfRule>
    <cfRule type="cellIs" dxfId="3357" priority="3" operator="equal">
      <formula>"B- Incorporate Comments - Proceed"</formula>
    </cfRule>
    <cfRule type="cellIs" dxfId="3356" priority="4" operator="equal">
      <formula>"C - Revise and Resubmit - Do Not Proceed"</formula>
    </cfRule>
    <cfRule type="cellIs" dxfId="3355" priority="5" operator="equal">
      <formula>"A - Work May Proceed"</formula>
    </cfRule>
  </conditionalFormatting>
  <conditionalFormatting sqref="B1:G2 W1:XFD9 B3:H4 C9:H9">
    <cfRule type="cellIs" dxfId="3354" priority="26" operator="equal">
      <formula>"E - Review not Required - Proceed"</formula>
    </cfRule>
    <cfRule type="cellIs" dxfId="3353" priority="27" operator="equal">
      <formula>"D - Rejected"</formula>
    </cfRule>
    <cfRule type="cellIs" dxfId="3352" priority="28" operator="equal">
      <formula>"B- Incorporate Comments - Proceed"</formula>
    </cfRule>
    <cfRule type="cellIs" dxfId="3351" priority="29" operator="equal">
      <formula>"C - Revise and Resubmit - Do Not Proceed"</formula>
    </cfRule>
    <cfRule type="cellIs" dxfId="3350" priority="30" operator="equal">
      <formula>"A - Work May Proceed"</formula>
    </cfRule>
  </conditionalFormatting>
  <conditionalFormatting sqref="B12:XFD1048576">
    <cfRule type="cellIs" dxfId="3349" priority="6" operator="equal">
      <formula>"E - Review not Required - Proceed"</formula>
    </cfRule>
    <cfRule type="cellIs" dxfId="3348" priority="7" operator="equal">
      <formula>"D - Rejected"</formula>
    </cfRule>
    <cfRule type="cellIs" dxfId="3347" priority="8" operator="equal">
      <formula>"B- Incorporate Comments - Proceed"</formula>
    </cfRule>
    <cfRule type="cellIs" dxfId="3346" priority="9" operator="equal">
      <formula>"C - Revise and Resubmit - Do Not Proceed"</formula>
    </cfRule>
    <cfRule type="cellIs" dxfId="3345" priority="10" operator="equal">
      <formula>"A - Work May Proceed"</formula>
    </cfRule>
  </conditionalFormatting>
  <conditionalFormatting sqref="D11:BE11 B11">
    <cfRule type="cellIs" dxfId="3344" priority="73" operator="equal">
      <formula>"B- Incorporate Comments - Proceed"</formula>
    </cfRule>
    <cfRule type="cellIs" dxfId="3343" priority="74" operator="equal">
      <formula>"C - Revise and Resubmit - Do Not Proceed"</formula>
    </cfRule>
    <cfRule type="cellIs" dxfId="3342" priority="75" operator="equal">
      <formula>"A - Work May Proceed"</formula>
    </cfRule>
    <cfRule type="cellIs" dxfId="3341" priority="71" operator="equal">
      <formula>"E - Review not Required - Proceed"</formula>
    </cfRule>
    <cfRule type="cellIs" dxfId="3340" priority="72" operator="equal">
      <formula>"D - Rejected"</formula>
    </cfRule>
  </conditionalFormatting>
  <conditionalFormatting sqref="I11">
    <cfRule type="cellIs" dxfId="3339" priority="143" operator="equal">
      <formula>"E - Review Not Required - Proceed"</formula>
    </cfRule>
    <cfRule type="cellIs" dxfId="3338" priority="142" operator="equal">
      <formula>"B - Incorporate Comments - Proceed "</formula>
    </cfRule>
    <cfRule type="cellIs" dxfId="3337" priority="141" operator="equal">
      <formula>"For Information"</formula>
    </cfRule>
    <cfRule type="cellIs" dxfId="3336" priority="140" operator="equal">
      <formula>"B - Incorporate Comments - Proceed"</formula>
    </cfRule>
    <cfRule type="cellIs" dxfId="3335" priority="155" stopIfTrue="1" operator="between">
      <formula>"B - Incorporate Comments - Proceed "</formula>
      <formula>"B - Incorporate Comments - Proceed "</formula>
    </cfRule>
    <cfRule type="cellIs" dxfId="3334" priority="154" operator="between">
      <formula>"C - Revise and Resubmit - Do Not Proceed"</formula>
      <formula>"C - Revise and Resubmit - Do Not Proceed"</formula>
    </cfRule>
    <cfRule type="cellIs" dxfId="3333" priority="153" operator="between">
      <formula>"A - Work May Proceed"</formula>
      <formula>"A - Work May Proceed"</formula>
    </cfRule>
    <cfRule type="cellIs" dxfId="3332" priority="152" operator="between">
      <formula>"CANCELLED"</formula>
      <formula>"CANCELLED"</formula>
    </cfRule>
    <cfRule type="cellIs" dxfId="3331" priority="151" operator="between">
      <formula>"D - Rejected "</formula>
      <formula>"D - Rejected "</formula>
    </cfRule>
    <cfRule type="cellIs" dxfId="3330" priority="150" operator="between">
      <formula>"E - Review not Required - Proceed"</formula>
      <formula>"E - Review not Required - Proceed"</formula>
    </cfRule>
    <cfRule type="cellIs" dxfId="3329" priority="149" operator="between">
      <formula>"B - Incorporate Comments - Proceed"</formula>
      <formula>"B - Incorporate Comments - Proceed"</formula>
    </cfRule>
    <cfRule type="cellIs" dxfId="3328" priority="148" operator="between">
      <formula>"A - Work May Proceed"</formula>
      <formula>"A - Work May Proceed"</formula>
    </cfRule>
    <cfRule type="cellIs" dxfId="3327" priority="147" operator="between">
      <formula>"B - Incorporate Comments - Proceed"</formula>
      <formula>"B - Incorporate Comments - Proceed"</formula>
    </cfRule>
    <cfRule type="cellIs" dxfId="3326" priority="146" operator="between">
      <formula>"C - Revise and Resubmit - Do Not Proceed"</formula>
      <formula>"C - Revise and Resubmit - Do Not Proceed"</formula>
    </cfRule>
    <cfRule type="cellIs" dxfId="3325" priority="145" operator="between">
      <formula>"'D - Rejected "</formula>
      <formula>"'D - Rejected "</formula>
    </cfRule>
    <cfRule type="cellIs" dxfId="3324" priority="144" operator="between">
      <formula>"E - Review not Required - Proceed"</formula>
      <formula>"E - Review not Required - Proceed"</formula>
    </cfRule>
  </conditionalFormatting>
  <conditionalFormatting sqref="J5:J6 B5:I7 B8:J8">
    <cfRule type="cellIs" dxfId="3323" priority="21" operator="equal">
      <formula>"E - Review not Required - Proceed"</formula>
    </cfRule>
    <cfRule type="cellIs" dxfId="3322" priority="22" operator="equal">
      <formula>"D - Rejected"</formula>
    </cfRule>
    <cfRule type="cellIs" dxfId="3321" priority="23" operator="equal">
      <formula>"B- Incorporate Comments - Proceed"</formula>
    </cfRule>
    <cfRule type="cellIs" dxfId="3320" priority="24" operator="equal">
      <formula>"C - Revise and Resubmit - Do Not Proceed"</formula>
    </cfRule>
    <cfRule type="cellIs" dxfId="3319" priority="25" stopIfTrue="1" operator="equal">
      <formula>"A - Work May Proceed"</formula>
    </cfRule>
  </conditionalFormatting>
  <conditionalFormatting sqref="P11">
    <cfRule type="cellIs" dxfId="3318" priority="124" operator="equal">
      <formula>"B - Incorporate Comments - Proceed"</formula>
    </cfRule>
    <cfRule type="cellIs" dxfId="3317" priority="125" operator="equal">
      <formula>"For Information"</formula>
    </cfRule>
    <cfRule type="cellIs" dxfId="3316" priority="126" operator="equal">
      <formula>"B - Incorporate Comments - Proceed "</formula>
    </cfRule>
    <cfRule type="cellIs" dxfId="3315" priority="127" operator="equal">
      <formula>"E - Review Not Required - Proceed"</formula>
    </cfRule>
    <cfRule type="cellIs" dxfId="3314" priority="128" operator="between">
      <formula>"E - Review not Required - Proceed"</formula>
      <formula>"E - Review not Required - Proceed"</formula>
    </cfRule>
    <cfRule type="cellIs" dxfId="3313" priority="129" operator="between">
      <formula>"'D - Rejected "</formula>
      <formula>"'D - Rejected "</formula>
    </cfRule>
    <cfRule type="cellIs" dxfId="3312" priority="130" operator="between">
      <formula>"C - Revise and Resubmit - Do Not Proceed"</formula>
      <formula>"C - Revise and Resubmit - Do Not Proceed"</formula>
    </cfRule>
    <cfRule type="cellIs" dxfId="3311" priority="131" operator="between">
      <formula>"B - Incorporate Comments - Proceed"</formula>
      <formula>"B - Incorporate Comments - Proceed"</formula>
    </cfRule>
    <cfRule type="cellIs" dxfId="3310" priority="132" operator="between">
      <formula>"A - Work May Proceed"</formula>
      <formula>"A - Work May Proceed"</formula>
    </cfRule>
    <cfRule type="cellIs" dxfId="3309" priority="133" operator="between">
      <formula>"B - Incorporate Comments - Proceed"</formula>
      <formula>"B - Incorporate Comments - Proceed"</formula>
    </cfRule>
    <cfRule type="cellIs" dxfId="3308" priority="134" operator="between">
      <formula>"E - Review not Required - Proceed"</formula>
      <formula>"E - Review not Required - Proceed"</formula>
    </cfRule>
    <cfRule type="cellIs" dxfId="3307" priority="135" operator="between">
      <formula>"D - Rejected "</formula>
      <formula>"D - Rejected "</formula>
    </cfRule>
    <cfRule type="cellIs" dxfId="3306" priority="136" operator="between">
      <formula>"CANCELLED"</formula>
      <formula>"CANCELLED"</formula>
    </cfRule>
    <cfRule type="cellIs" dxfId="3305" priority="138" operator="between">
      <formula>"C - Revise and Resubmit - Do Not Proceed"</formula>
      <formula>"C - Revise and Resubmit - Do Not Proceed"</formula>
    </cfRule>
    <cfRule type="cellIs" dxfId="3304" priority="139" stopIfTrue="1" operator="between">
      <formula>"B - Incorporate Comments - Proceed "</formula>
      <formula>"B - Incorporate Comments - Proceed "</formula>
    </cfRule>
    <cfRule type="cellIs" dxfId="3303" priority="137" operator="between">
      <formula>"A - Work May Proceed"</formula>
      <formula>"A - Work May Proceed"</formula>
    </cfRule>
  </conditionalFormatting>
  <conditionalFormatting sqref="W11">
    <cfRule type="cellIs" dxfId="3302" priority="108" operator="equal">
      <formula>"B - Incorporate Comments - Proceed"</formula>
    </cfRule>
    <cfRule type="cellIs" dxfId="3301" priority="109" operator="equal">
      <formula>"For Information"</formula>
    </cfRule>
    <cfRule type="cellIs" dxfId="3300" priority="112" operator="between">
      <formula>"E - Review not Required - Proceed"</formula>
      <formula>"E - Review not Required - Proceed"</formula>
    </cfRule>
    <cfRule type="cellIs" dxfId="3299" priority="110" operator="equal">
      <formula>"B - Incorporate Comments - Proceed "</formula>
    </cfRule>
    <cfRule type="cellIs" dxfId="3298" priority="111" operator="equal">
      <formula>"E - Review Not Required - Proceed"</formula>
    </cfRule>
    <cfRule type="cellIs" dxfId="3297" priority="119" operator="between">
      <formula>"D - Rejected "</formula>
      <formula>"D - Rejected "</formula>
    </cfRule>
    <cfRule type="cellIs" dxfId="3296" priority="122" operator="between">
      <formula>"C - Revise and Resubmit - Do Not Proceed"</formula>
      <formula>"C - Revise and Resubmit - Do Not Proceed"</formula>
    </cfRule>
    <cfRule type="cellIs" dxfId="3295" priority="121" operator="between">
      <formula>"A - Work May Proceed"</formula>
      <formula>"A - Work May Proceed"</formula>
    </cfRule>
    <cfRule type="cellIs" dxfId="3294" priority="120" operator="between">
      <formula>"CANCELLED"</formula>
      <formula>"CANCELLED"</formula>
    </cfRule>
    <cfRule type="cellIs" dxfId="3293" priority="118" operator="between">
      <formula>"E - Review not Required - Proceed"</formula>
      <formula>"E - Review not Required - Proceed"</formula>
    </cfRule>
    <cfRule type="cellIs" dxfId="3292" priority="117" operator="between">
      <formula>"B - Incorporate Comments - Proceed"</formula>
      <formula>"B - Incorporate Comments - Proceed"</formula>
    </cfRule>
    <cfRule type="cellIs" dxfId="3291" priority="123" stopIfTrue="1" operator="between">
      <formula>"B - Incorporate Comments - Proceed "</formula>
      <formula>"B - Incorporate Comments - Proceed "</formula>
    </cfRule>
    <cfRule type="cellIs" dxfId="3290" priority="116" operator="between">
      <formula>"A - Work May Proceed"</formula>
      <formula>"A - Work May Proceed"</formula>
    </cfRule>
    <cfRule type="cellIs" dxfId="3289" priority="115" operator="between">
      <formula>"B - Incorporate Comments - Proceed"</formula>
      <formula>"B - Incorporate Comments - Proceed"</formula>
    </cfRule>
    <cfRule type="cellIs" dxfId="3288" priority="114" operator="between">
      <formula>"C - Revise and Resubmit - Do Not Proceed"</formula>
      <formula>"C - Revise and Resubmit - Do Not Proceed"</formula>
    </cfRule>
    <cfRule type="cellIs" dxfId="3287" priority="113" operator="between">
      <formula>"'D - Rejected "</formula>
      <formula>"'D - Rejected "</formula>
    </cfRule>
  </conditionalFormatting>
  <conditionalFormatting sqref="AD11">
    <cfRule type="cellIs" dxfId="3286" priority="96" operator="between">
      <formula>"E - Review not Required - Proceed"</formula>
      <formula>"E - Review not Required - Proceed"</formula>
    </cfRule>
    <cfRule type="cellIs" dxfId="3285" priority="97" operator="between">
      <formula>"'D - Rejected "</formula>
      <formula>"'D - Rejected "</formula>
    </cfRule>
    <cfRule type="cellIs" dxfId="3284" priority="98" operator="between">
      <formula>"C - Revise and Resubmit - Do Not Proceed"</formula>
      <formula>"C - Revise and Resubmit - Do Not Proceed"</formula>
    </cfRule>
    <cfRule type="cellIs" dxfId="3283" priority="101" operator="between">
      <formula>"B - Incorporate Comments - Proceed"</formula>
      <formula>"B - Incorporate Comments - Proceed"</formula>
    </cfRule>
    <cfRule type="cellIs" dxfId="3282" priority="99" operator="between">
      <formula>"B - Incorporate Comments - Proceed"</formula>
      <formula>"B - Incorporate Comments - Proceed"</formula>
    </cfRule>
    <cfRule type="cellIs" dxfId="3281" priority="100" operator="between">
      <formula>"A - Work May Proceed"</formula>
      <formula>"A - Work May Proceed"</formula>
    </cfRule>
    <cfRule type="cellIs" dxfId="3280" priority="102" operator="between">
      <formula>"E - Review not Required - Proceed"</formula>
      <formula>"E - Review not Required - Proceed"</formula>
    </cfRule>
    <cfRule type="cellIs" dxfId="3279" priority="103" operator="between">
      <formula>"D - Rejected "</formula>
      <formula>"D - Rejected "</formula>
    </cfRule>
    <cfRule type="cellIs" dxfId="3278" priority="104" operator="between">
      <formula>"CANCELLED"</formula>
      <formula>"CANCELLED"</formula>
    </cfRule>
    <cfRule type="cellIs" dxfId="3277" priority="105" operator="between">
      <formula>"A - Work May Proceed"</formula>
      <formula>"A - Work May Proceed"</formula>
    </cfRule>
    <cfRule type="cellIs" dxfId="3276" priority="106" operator="between">
      <formula>"C - Revise and Resubmit - Do Not Proceed"</formula>
      <formula>"C - Revise and Resubmit - Do Not Proceed"</formula>
    </cfRule>
    <cfRule type="cellIs" dxfId="3275" priority="107" stopIfTrue="1" operator="between">
      <formula>"B - Incorporate Comments - Proceed "</formula>
      <formula>"B - Incorporate Comments - Proceed "</formula>
    </cfRule>
    <cfRule type="cellIs" dxfId="3274" priority="93" operator="equal">
      <formula>"For Information"</formula>
    </cfRule>
    <cfRule type="cellIs" dxfId="3273" priority="92" operator="equal">
      <formula>"B - Incorporate Comments - Proceed"</formula>
    </cfRule>
    <cfRule type="cellIs" dxfId="3272" priority="94" operator="equal">
      <formula>"B - Incorporate Comments - Proceed "</formula>
    </cfRule>
    <cfRule type="cellIs" dxfId="3271" priority="95" operator="equal">
      <formula>"E - Review Not Required - Proceed"</formula>
    </cfRule>
  </conditionalFormatting>
  <conditionalFormatting sqref="AK11">
    <cfRule type="cellIs" dxfId="3270" priority="83" operator="between">
      <formula>"B - Incorporate Comments - Proceed"</formula>
      <formula>"B - Incorporate Comments - Proceed"</formula>
    </cfRule>
    <cfRule type="cellIs" dxfId="3269" priority="91" stopIfTrue="1" operator="between">
      <formula>"B - Incorporate Comments - Proceed "</formula>
      <formula>"B - Incorporate Comments - Proceed "</formula>
    </cfRule>
    <cfRule type="cellIs" dxfId="3268" priority="88" operator="between">
      <formula>"CANCELLED"</formula>
      <formula>"CANCELLED"</formula>
    </cfRule>
    <cfRule type="cellIs" dxfId="3267" priority="90" operator="between">
      <formula>"C - Revise and Resubmit - Do Not Proceed"</formula>
      <formula>"C - Revise and Resubmit - Do Not Proceed"</formula>
    </cfRule>
    <cfRule type="cellIs" dxfId="3266" priority="89" operator="between">
      <formula>"A - Work May Proceed"</formula>
      <formula>"A - Work May Proceed"</formula>
    </cfRule>
    <cfRule type="cellIs" dxfId="3265" priority="84" operator="between">
      <formula>"A - Work May Proceed"</formula>
      <formula>"A - Work May Proceed"</formula>
    </cfRule>
    <cfRule type="cellIs" dxfId="3264" priority="85" operator="between">
      <formula>"B - Incorporate Comments - Proceed"</formula>
      <formula>"B - Incorporate Comments - Proceed"</formula>
    </cfRule>
    <cfRule type="cellIs" dxfId="3263" priority="77" operator="equal">
      <formula>"For Information"</formula>
    </cfRule>
    <cfRule type="cellIs" dxfId="3262" priority="86" operator="between">
      <formula>"E - Review not Required - Proceed"</formula>
      <formula>"E - Review not Required - Proceed"</formula>
    </cfRule>
    <cfRule type="cellIs" dxfId="3261" priority="87" operator="between">
      <formula>"D - Rejected "</formula>
      <formula>"D - Rejected "</formula>
    </cfRule>
    <cfRule type="cellIs" dxfId="3260" priority="81" operator="between">
      <formula>"'D - Rejected "</formula>
      <formula>"'D - Rejected "</formula>
    </cfRule>
    <cfRule type="cellIs" dxfId="3259" priority="80" operator="between">
      <formula>"E - Review not Required - Proceed"</formula>
      <formula>"E - Review not Required - Proceed"</formula>
    </cfRule>
    <cfRule type="cellIs" dxfId="3258" priority="79" operator="equal">
      <formula>"E - Review Not Required - Proceed"</formula>
    </cfRule>
    <cfRule type="cellIs" dxfId="3257" priority="78" operator="equal">
      <formula>"B - Incorporate Comments - Proceed "</formula>
    </cfRule>
    <cfRule type="cellIs" dxfId="3256" priority="76" operator="equal">
      <formula>"B - Incorporate Comments - Proceed"</formula>
    </cfRule>
    <cfRule type="cellIs" dxfId="3255" priority="82" operator="between">
      <formula>"C - Revise and Resubmit - Do Not Proceed"</formula>
      <formula>"C - Revise and Resubmit - Do Not Proceed"</formula>
    </cfRule>
  </conditionalFormatting>
  <conditionalFormatting sqref="AR11">
    <cfRule type="cellIs" dxfId="3254" priority="37" operator="equal">
      <formula>"B - Incorporate Comments - Proceed "</formula>
    </cfRule>
    <cfRule type="cellIs" dxfId="3253" priority="39" operator="between">
      <formula>"E - Review not Required - Proceed"</formula>
      <formula>"E - Review not Required - Proceed"</formula>
    </cfRule>
    <cfRule type="cellIs" dxfId="3252" priority="40" operator="between">
      <formula>"'D - Rejected "</formula>
      <formula>"'D - Rejected "</formula>
    </cfRule>
    <cfRule type="cellIs" dxfId="3251" priority="41" operator="between">
      <formula>"C - Revise and Resubmit - Do Not Proceed"</formula>
      <formula>"C - Revise and Resubmit - Do Not Proceed"</formula>
    </cfRule>
    <cfRule type="cellIs" dxfId="3250" priority="43" operator="between">
      <formula>"A - Work May Proceed"</formula>
      <formula>"A - Work May Proceed"</formula>
    </cfRule>
    <cfRule type="cellIs" dxfId="3249" priority="44" operator="between">
      <formula>"B - Incorporate Comments - Proceed"</formula>
      <formula>"B - Incorporate Comments - Proceed"</formula>
    </cfRule>
    <cfRule type="cellIs" dxfId="3248" priority="45" operator="between">
      <formula>"E - Review not Required - Proceed"</formula>
      <formula>"E - Review not Required - Proceed"</formula>
    </cfRule>
    <cfRule type="cellIs" dxfId="3247" priority="46" operator="between">
      <formula>"D - Rejected "</formula>
      <formula>"D - Rejected "</formula>
    </cfRule>
    <cfRule type="cellIs" dxfId="3246" priority="47" operator="between">
      <formula>"CANCELLED"</formula>
      <formula>"CANCELLED"</formula>
    </cfRule>
    <cfRule type="cellIs" dxfId="3245" priority="48" operator="between">
      <formula>"A - Work May Proceed"</formula>
      <formula>"A - Work May Proceed"</formula>
    </cfRule>
    <cfRule type="cellIs" dxfId="3244" priority="49" operator="between">
      <formula>"C - Revise and Resubmit - Do Not Proceed"</formula>
      <formula>"C - Revise and Resubmit - Do Not Proceed"</formula>
    </cfRule>
    <cfRule type="cellIs" dxfId="3243" priority="50" stopIfTrue="1" operator="between">
      <formula>"B - Incorporate Comments - Proceed "</formula>
      <formula>"B - Incorporate Comments - Proceed "</formula>
    </cfRule>
    <cfRule type="cellIs" dxfId="3242" priority="38" operator="equal">
      <formula>"E - Review Not Required - Proceed"</formula>
    </cfRule>
    <cfRule type="cellIs" dxfId="3241" priority="31" operator="equal">
      <formula>"E - Review not Required - Proceed"</formula>
    </cfRule>
    <cfRule type="cellIs" dxfId="3240" priority="32" operator="equal">
      <formula>"D - Rejected"</formula>
    </cfRule>
    <cfRule type="cellIs" dxfId="3239" priority="33" operator="equal">
      <formula>"B - Incorporate Comments - Proceed"</formula>
    </cfRule>
    <cfRule type="cellIs" dxfId="3238" priority="34" operator="equal">
      <formula>"C - Revise and Resubmit - Do Not Proceed"</formula>
    </cfRule>
    <cfRule type="cellIs" dxfId="3237" priority="42" operator="between">
      <formula>"B - Incorporate Comments - Proceed"</formula>
      <formula>"B - Incorporate Comments - Proceed"</formula>
    </cfRule>
    <cfRule type="cellIs" dxfId="3236" priority="35" operator="equal">
      <formula>"A - Work May Proceed"</formula>
    </cfRule>
    <cfRule type="cellIs" dxfId="3235" priority="36" operator="equal">
      <formula>"For Information"</formula>
    </cfRule>
  </conditionalFormatting>
  <conditionalFormatting sqref="AY11">
    <cfRule type="cellIs" dxfId="3234" priority="58" operator="equal">
      <formula>"E - Review Not Required - Proceed"</formula>
    </cfRule>
    <cfRule type="cellIs" dxfId="3233" priority="51" operator="equal">
      <formula>"E - Review not Required - Proceed"</formula>
    </cfRule>
    <cfRule type="cellIs" dxfId="3232" priority="57" operator="equal">
      <formula>"B - Incorporate Comments - Proceed "</formula>
    </cfRule>
    <cfRule type="cellIs" dxfId="3231" priority="56" operator="equal">
      <formula>"For Information"</formula>
    </cfRule>
    <cfRule type="cellIs" dxfId="3230" priority="65" operator="between">
      <formula>"E - Review not Required - Proceed"</formula>
      <formula>"E - Review not Required - Proceed"</formula>
    </cfRule>
    <cfRule type="cellIs" dxfId="3229" priority="53" operator="equal">
      <formula>"B - Incorporate Comments - Proceed"</formula>
    </cfRule>
    <cfRule type="cellIs" dxfId="3228" priority="55" operator="equal">
      <formula>"A - Work May Proceed"</formula>
    </cfRule>
    <cfRule type="cellIs" dxfId="3227" priority="61" operator="between">
      <formula>"C - Revise and Resubmit - Do Not Proceed"</formula>
      <formula>"C - Revise and Resubmit - Do Not Proceed"</formula>
    </cfRule>
    <cfRule type="cellIs" dxfId="3226" priority="52" operator="equal">
      <formula>"D - Rejected"</formula>
    </cfRule>
    <cfRule type="cellIs" dxfId="3225" priority="60" operator="between">
      <formula>"'D - Rejected "</formula>
      <formula>"'D - Rejected "</formula>
    </cfRule>
    <cfRule type="cellIs" dxfId="3224" priority="70" stopIfTrue="1" operator="between">
      <formula>"B - Incorporate Comments - Proceed "</formula>
      <formula>"B - Incorporate Comments - Proceed "</formula>
    </cfRule>
    <cfRule type="cellIs" dxfId="3223" priority="69" operator="between">
      <formula>"C - Revise and Resubmit - Do Not Proceed"</formula>
      <formula>"C - Revise and Resubmit - Do Not Proceed"</formula>
    </cfRule>
    <cfRule type="cellIs" dxfId="3222" priority="54" operator="equal">
      <formula>"C - Revise and Resubmit - Do Not Proceed"</formula>
    </cfRule>
    <cfRule type="cellIs" dxfId="3221" priority="67" operator="between">
      <formula>"CANCELLED"</formula>
      <formula>"CANCELLED"</formula>
    </cfRule>
    <cfRule type="cellIs" dxfId="3220" priority="66" operator="between">
      <formula>"D - Rejected "</formula>
      <formula>"D - Rejected "</formula>
    </cfRule>
    <cfRule type="cellIs" dxfId="3219" priority="59" operator="between">
      <formula>"E - Review not Required - Proceed"</formula>
      <formula>"E - Review not Required - Proceed"</formula>
    </cfRule>
    <cfRule type="cellIs" dxfId="3218" priority="64" operator="between">
      <formula>"B - Incorporate Comments - Proceed"</formula>
      <formula>"B - Incorporate Comments - Proceed"</formula>
    </cfRule>
    <cfRule type="cellIs" dxfId="3217" priority="63" operator="between">
      <formula>"A - Work May Proceed"</formula>
      <formula>"A - Work May Proceed"</formula>
    </cfRule>
    <cfRule type="cellIs" dxfId="3216" priority="62" operator="between">
      <formula>"B - Incorporate Comments - Proceed"</formula>
      <formula>"B - Incorporate Comments - Proceed"</formula>
    </cfRule>
    <cfRule type="cellIs" dxfId="3215" priority="68" operator="between">
      <formula>"A - Work May Proceed"</formula>
      <formula>"A - Work May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theme="5"/>
  </sheetPr>
  <dimension ref="A1:BF15"/>
  <sheetViews>
    <sheetView zoomScale="55" zoomScaleNormal="55" zoomScaleSheetLayoutView="70" workbookViewId="0">
      <pane ySplit="11" topLeftCell="A12" activePane="bottomLeft" state="frozen"/>
      <selection activeCell="A14" sqref="A14"/>
      <selection pane="bottomLeft" activeCell="C22" sqref="C22"/>
    </sheetView>
  </sheetViews>
  <sheetFormatPr defaultColWidth="9.140625" defaultRowHeight="15" x14ac:dyDescent="0.25"/>
  <cols>
    <col min="1" max="1" width="22.710937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1" width="30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50.7109375" style="44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/>
      <c r="V1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2"/>
    </row>
    <row r="2" spans="1:58" s="379" customFormat="1" ht="24" customHeight="1" x14ac:dyDescent="0.35">
      <c r="A2" s="8"/>
      <c r="B2" s="25" t="s">
        <v>28</v>
      </c>
      <c r="C2" s="26" t="s">
        <v>16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/>
      <c r="V2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2"/>
    </row>
    <row r="3" spans="1:58" s="379" customFormat="1" ht="24" customHeight="1" x14ac:dyDescent="0.35">
      <c r="A3" s="8"/>
      <c r="B3" s="25" t="s">
        <v>507</v>
      </c>
      <c r="C3" s="49" t="s">
        <v>819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/>
      <c r="V3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2"/>
    </row>
    <row r="4" spans="1:58" s="379" customFormat="1" ht="24" customHeight="1" x14ac:dyDescent="0.35">
      <c r="A4" s="8"/>
      <c r="B4" s="77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/>
      <c r="V4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2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/>
      <c r="V5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2"/>
    </row>
    <row r="6" spans="1:58" s="379" customFormat="1" ht="24" customHeight="1" x14ac:dyDescent="0.35">
      <c r="A6" s="8"/>
      <c r="B6" s="64">
        <f>COUNTIF(B11:B15,"A - Work May Proceed")</f>
        <v>1</v>
      </c>
      <c r="C6" s="65">
        <f>COUNTIF(B11:B15,"B- Incorporate Comments - Proceed")</f>
        <v>0</v>
      </c>
      <c r="D6" s="65">
        <f>COUNTIF(B11:B15,"C - Revise and Resubmit - Do Not Proceed")</f>
        <v>0</v>
      </c>
      <c r="E6" s="65">
        <f>COUNTIF(B11:B15,"D - Rejected")</f>
        <v>0</v>
      </c>
      <c r="F6" s="65">
        <f>COUNTIF(B11:B15,"E - Review not Required - Proceed")</f>
        <v>0</v>
      </c>
      <c r="G6" s="66">
        <f>COUNTIF(B11:B15,"UR")</f>
        <v>0</v>
      </c>
      <c r="H6" s="66">
        <f>COUNTIF(B11:B15,"FA")</f>
        <v>0</v>
      </c>
      <c r="I6" s="66">
        <f>COUNTIF(B11:B15,"Terminated")</f>
        <v>0</v>
      </c>
      <c r="J6" s="66">
        <f>COUNTIF(B11:B15,"Cancelled")</f>
        <v>2</v>
      </c>
      <c r="K6"/>
      <c r="L6"/>
      <c r="M6"/>
      <c r="N6"/>
      <c r="O6"/>
      <c r="P6"/>
      <c r="Q6"/>
      <c r="R6"/>
      <c r="S6"/>
      <c r="T6"/>
      <c r="U6"/>
      <c r="V6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2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/>
      <c r="V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2"/>
    </row>
    <row r="8" spans="1:58" s="379" customFormat="1" ht="24" customHeight="1" x14ac:dyDescent="0.35">
      <c r="A8" s="8"/>
      <c r="B8" s="72" t="s">
        <v>509</v>
      </c>
      <c r="C8" s="73">
        <f>SUM(B6:J6)</f>
        <v>3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/>
      <c r="V8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2"/>
    </row>
    <row r="9" spans="1:58" s="379" customFormat="1" ht="24" customHeight="1" thickBot="1" x14ac:dyDescent="0.4">
      <c r="A9" s="8"/>
      <c r="B9" s="8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/>
      <c r="V9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2"/>
    </row>
    <row r="10" spans="1:58" s="405" customFormat="1" ht="36.75" customHeight="1" x14ac:dyDescent="0.2">
      <c r="A10" s="550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51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58" t="s">
        <v>508</v>
      </c>
      <c r="C12" s="56" t="s">
        <v>627</v>
      </c>
      <c r="D12" s="10" t="s">
        <v>820</v>
      </c>
      <c r="E12" s="12" t="s">
        <v>821</v>
      </c>
      <c r="F12" s="16" t="s">
        <v>914</v>
      </c>
      <c r="G12" s="10" t="s">
        <v>15</v>
      </c>
      <c r="H12" s="10" t="s">
        <v>819</v>
      </c>
      <c r="I12" s="16" t="s">
        <v>3</v>
      </c>
      <c r="J12" s="14">
        <v>45610</v>
      </c>
      <c r="K12" s="12" t="s">
        <v>915</v>
      </c>
      <c r="L12" s="20">
        <f>J12+7</f>
        <v>45617</v>
      </c>
      <c r="M12" s="14">
        <v>45627</v>
      </c>
      <c r="N12" s="92">
        <f>M12-L12</f>
        <v>10</v>
      </c>
      <c r="O12" s="12" t="s">
        <v>924</v>
      </c>
      <c r="P12" s="16" t="s">
        <v>508</v>
      </c>
      <c r="Q12" s="20">
        <v>45914</v>
      </c>
      <c r="R12" s="12" t="s">
        <v>4185</v>
      </c>
      <c r="S12" s="12" t="s">
        <v>626</v>
      </c>
      <c r="T12" s="20" t="s">
        <v>626</v>
      </c>
      <c r="U12" s="20" t="s">
        <v>626</v>
      </c>
      <c r="V12" s="12"/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259"/>
    </row>
    <row r="13" spans="1:58" s="381" customFormat="1" ht="42" customHeight="1" x14ac:dyDescent="0.25">
      <c r="A13" s="367">
        <v>730007</v>
      </c>
      <c r="B13" s="58" t="s">
        <v>508</v>
      </c>
      <c r="C13" s="56" t="s">
        <v>627</v>
      </c>
      <c r="D13" s="10" t="s">
        <v>1110</v>
      </c>
      <c r="E13" s="12" t="s">
        <v>1111</v>
      </c>
      <c r="F13" s="16" t="s">
        <v>1112</v>
      </c>
      <c r="G13" s="10" t="s">
        <v>15</v>
      </c>
      <c r="H13" s="10" t="s">
        <v>819</v>
      </c>
      <c r="I13" s="16" t="s">
        <v>18</v>
      </c>
      <c r="J13" s="14">
        <v>45624</v>
      </c>
      <c r="K13" s="13" t="s">
        <v>1113</v>
      </c>
      <c r="L13" s="20">
        <f>J13+7</f>
        <v>45631</v>
      </c>
      <c r="M13" s="14">
        <v>45628</v>
      </c>
      <c r="N13" s="92">
        <f>M13-L13</f>
        <v>-3</v>
      </c>
      <c r="O13" s="10" t="s">
        <v>1148</v>
      </c>
      <c r="P13" s="16" t="s">
        <v>508</v>
      </c>
      <c r="Q13" s="21">
        <v>46219</v>
      </c>
      <c r="R13" s="10" t="s">
        <v>7309</v>
      </c>
      <c r="S13" s="12" t="s">
        <v>626</v>
      </c>
      <c r="T13" s="21"/>
      <c r="U13" s="21"/>
      <c r="V13" s="10"/>
      <c r="W13" s="10"/>
      <c r="X13" s="21"/>
      <c r="Y13" s="10"/>
      <c r="Z13" s="10"/>
      <c r="AA13" s="21"/>
      <c r="AB13" s="21"/>
      <c r="AC13" s="10"/>
      <c r="AD13" s="10"/>
      <c r="AE13" s="21"/>
      <c r="AF13" s="10"/>
      <c r="AG13" s="10"/>
      <c r="AH13" s="21"/>
      <c r="AI13" s="21"/>
      <c r="AJ13" s="10"/>
      <c r="AK13" s="10"/>
      <c r="AL13" s="17"/>
      <c r="AM13" s="11"/>
      <c r="AN13" s="11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1"/>
      <c r="BF13" s="259"/>
    </row>
    <row r="14" spans="1:58" s="381" customFormat="1" ht="42" customHeight="1" x14ac:dyDescent="0.25">
      <c r="A14" s="367">
        <v>730007</v>
      </c>
      <c r="B14" s="13" t="s">
        <v>5</v>
      </c>
      <c r="C14" s="56" t="s">
        <v>208</v>
      </c>
      <c r="D14" s="10" t="s">
        <v>1694</v>
      </c>
      <c r="E14" s="12" t="s">
        <v>1695</v>
      </c>
      <c r="F14" s="16" t="s">
        <v>1696</v>
      </c>
      <c r="G14" s="10" t="s">
        <v>15</v>
      </c>
      <c r="H14" s="10" t="s">
        <v>819</v>
      </c>
      <c r="I14" s="16" t="s">
        <v>18</v>
      </c>
      <c r="J14" s="14">
        <v>45655</v>
      </c>
      <c r="K14" s="13" t="s">
        <v>1697</v>
      </c>
      <c r="L14" s="20">
        <f>J14+7</f>
        <v>45662</v>
      </c>
      <c r="M14" s="14">
        <v>45664</v>
      </c>
      <c r="N14" s="92">
        <f>M14-L14</f>
        <v>2</v>
      </c>
      <c r="O14" s="10" t="s">
        <v>1703</v>
      </c>
      <c r="P14" s="13" t="s">
        <v>5</v>
      </c>
      <c r="Q14" s="21">
        <v>46208</v>
      </c>
      <c r="R14" s="10" t="s">
        <v>7205</v>
      </c>
      <c r="S14" s="20">
        <f>Q14+7</f>
        <v>46215</v>
      </c>
      <c r="T14" s="14">
        <v>46215</v>
      </c>
      <c r="U14" s="92">
        <f>T14-S14</f>
        <v>0</v>
      </c>
      <c r="V14" s="10" t="s">
        <v>7237</v>
      </c>
      <c r="W14" s="10"/>
      <c r="X14" s="21"/>
      <c r="Y14" s="10"/>
      <c r="Z14" s="10"/>
      <c r="AA14" s="21"/>
      <c r="AB14" s="21"/>
      <c r="AC14" s="10"/>
      <c r="AD14" s="10"/>
      <c r="AE14" s="21"/>
      <c r="AF14" s="10"/>
      <c r="AG14" s="10"/>
      <c r="AH14" s="21"/>
      <c r="AI14" s="21"/>
      <c r="AJ14" s="10"/>
      <c r="AK14" s="10"/>
      <c r="AL14" s="17"/>
      <c r="AM14" s="11"/>
      <c r="AN14" s="11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1"/>
      <c r="BF14" s="259"/>
    </row>
    <row r="15" spans="1:58" s="381" customFormat="1" ht="42" customHeight="1" thickBot="1" x14ac:dyDescent="0.3">
      <c r="A15" s="369"/>
      <c r="B15" s="371"/>
      <c r="C15" s="371"/>
      <c r="D15" s="370"/>
      <c r="E15" s="370"/>
      <c r="F15" s="262"/>
      <c r="G15" s="263"/>
      <c r="H15" s="263"/>
      <c r="I15" s="262"/>
      <c r="J15" s="474"/>
      <c r="K15" s="373"/>
      <c r="L15" s="373"/>
      <c r="M15" s="474"/>
      <c r="N15" s="474"/>
      <c r="O15" s="263"/>
      <c r="P15" s="262"/>
      <c r="Q15" s="374"/>
      <c r="R15" s="263"/>
      <c r="S15" s="263"/>
      <c r="T15" s="374"/>
      <c r="U15" s="374"/>
      <c r="V15" s="263"/>
      <c r="W15" s="263"/>
      <c r="X15" s="374"/>
      <c r="Y15" s="263"/>
      <c r="Z15" s="263"/>
      <c r="AA15" s="374"/>
      <c r="AB15" s="374"/>
      <c r="AC15" s="263"/>
      <c r="AD15" s="263"/>
      <c r="AE15" s="374"/>
      <c r="AF15" s="263"/>
      <c r="AG15" s="263"/>
      <c r="AH15" s="374"/>
      <c r="AI15" s="374"/>
      <c r="AJ15" s="263"/>
      <c r="AK15" s="263"/>
      <c r="AL15" s="376"/>
      <c r="AM15" s="371"/>
      <c r="AN15" s="371"/>
      <c r="AO15" s="376"/>
      <c r="AP15" s="376"/>
      <c r="AQ15" s="376"/>
      <c r="AR15" s="376"/>
      <c r="AS15" s="376"/>
      <c r="AT15" s="376"/>
      <c r="AU15" s="376"/>
      <c r="AV15" s="376"/>
      <c r="AW15" s="376"/>
      <c r="AX15" s="376"/>
      <c r="AY15" s="376"/>
      <c r="AZ15" s="376"/>
      <c r="BA15" s="376"/>
      <c r="BB15" s="376"/>
      <c r="BC15" s="376"/>
      <c r="BD15" s="376"/>
      <c r="BE15" s="371"/>
      <c r="BF15" s="266"/>
    </row>
  </sheetData>
  <autoFilter ref="A11:BG11" xr:uid="{00000000-0001-0000-1400-000000000000}"/>
  <mergeCells count="18">
    <mergeCell ref="A10:A11"/>
    <mergeCell ref="H1:H2"/>
    <mergeCell ref="I1:I2"/>
    <mergeCell ref="G10:G11"/>
    <mergeCell ref="B10:B11"/>
    <mergeCell ref="C10:C11"/>
    <mergeCell ref="D10:D11"/>
    <mergeCell ref="E10:E11"/>
    <mergeCell ref="F10:F11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0:XFD10">
    <cfRule type="cellIs" dxfId="3214" priority="1" operator="equal">
      <formula>"E - Review not Required - Proceed"</formula>
    </cfRule>
    <cfRule type="cellIs" dxfId="3213" priority="2" operator="equal">
      <formula>"D - Rejected"</formula>
    </cfRule>
    <cfRule type="cellIs" dxfId="3212" priority="3" operator="equal">
      <formula>"B- Incorporate Comments - Proceed"</formula>
    </cfRule>
    <cfRule type="cellIs" dxfId="3211" priority="4" operator="equal">
      <formula>"C - Revise and Resubmit - Do Not Proceed"</formula>
    </cfRule>
    <cfRule type="cellIs" dxfId="3210" priority="5" operator="equal">
      <formula>"A - Work May Proceed"</formula>
    </cfRule>
  </conditionalFormatting>
  <conditionalFormatting sqref="B1:G2 W1:XFD9 B3:H4 C9:H9 B12:XFD1048576">
    <cfRule type="cellIs" dxfId="3209" priority="11" operator="equal">
      <formula>"E - Review not Required - Proceed"</formula>
    </cfRule>
    <cfRule type="cellIs" dxfId="3208" priority="12" operator="equal">
      <formula>"D - Rejected"</formula>
    </cfRule>
    <cfRule type="cellIs" dxfId="3207" priority="13" operator="equal">
      <formula>"B- Incorporate Comments - Proceed"</formula>
    </cfRule>
    <cfRule type="cellIs" dxfId="3206" priority="14" operator="equal">
      <formula>"C - Revise and Resubmit - Do Not Proceed"</formula>
    </cfRule>
    <cfRule type="cellIs" dxfId="3205" priority="15" operator="equal">
      <formula>"A - Work May Proceed"</formula>
    </cfRule>
  </conditionalFormatting>
  <conditionalFormatting sqref="D11:BE11 B11">
    <cfRule type="cellIs" dxfId="3204" priority="58" operator="equal">
      <formula>"B- Incorporate Comments - Proceed"</formula>
    </cfRule>
    <cfRule type="cellIs" dxfId="3203" priority="57" operator="equal">
      <formula>"D - Rejected"</formula>
    </cfRule>
    <cfRule type="cellIs" dxfId="3202" priority="56" operator="equal">
      <formula>"E - Review not Required - Proceed"</formula>
    </cfRule>
    <cfRule type="cellIs" dxfId="3201" priority="60" operator="equal">
      <formula>"A - Work May Proceed"</formula>
    </cfRule>
    <cfRule type="cellIs" dxfId="3200" priority="59" operator="equal">
      <formula>"C - Revise and Resubmit - Do Not Proceed"</formula>
    </cfRule>
  </conditionalFormatting>
  <conditionalFormatting sqref="I11">
    <cfRule type="cellIs" dxfId="3199" priority="126" operator="equal">
      <formula>"For Information"</formula>
    </cfRule>
    <cfRule type="cellIs" dxfId="3198" priority="125" operator="equal">
      <formula>"B - Incorporate Comments - Proceed"</formula>
    </cfRule>
    <cfRule type="cellIs" dxfId="3197" priority="130" operator="between">
      <formula>"'D - Rejected "</formula>
      <formula>"'D - Rejected "</formula>
    </cfRule>
    <cfRule type="cellIs" dxfId="3196" priority="137" operator="between">
      <formula>"CANCELLED"</formula>
      <formula>"CANCELLED"</formula>
    </cfRule>
    <cfRule type="cellIs" dxfId="3195" priority="136" operator="between">
      <formula>"D - Rejected "</formula>
      <formula>"D - Rejected "</formula>
    </cfRule>
    <cfRule type="cellIs" dxfId="3194" priority="140" stopIfTrue="1" operator="between">
      <formula>"B - Incorporate Comments - Proceed "</formula>
      <formula>"B - Incorporate Comments - Proceed "</formula>
    </cfRule>
    <cfRule type="cellIs" dxfId="3193" priority="135" operator="between">
      <formula>"E - Review not Required - Proceed"</formula>
      <formula>"E - Review not Required - Proceed"</formula>
    </cfRule>
    <cfRule type="cellIs" dxfId="3192" priority="134" operator="between">
      <formula>"B - Incorporate Comments - Proceed"</formula>
      <formula>"B - Incorporate Comments - Proceed"</formula>
    </cfRule>
    <cfRule type="cellIs" dxfId="3191" priority="133" operator="between">
      <formula>"A - Work May Proceed"</formula>
      <formula>"A - Work May Proceed"</formula>
    </cfRule>
    <cfRule type="cellIs" dxfId="3190" priority="132" operator="between">
      <formula>"B - Incorporate Comments - Proceed"</formula>
      <formula>"B - Incorporate Comments - Proceed"</formula>
    </cfRule>
    <cfRule type="cellIs" dxfId="3189" priority="131" operator="between">
      <formula>"C - Revise and Resubmit - Do Not Proceed"</formula>
      <formula>"C - Revise and Resubmit - Do Not Proceed"</formula>
    </cfRule>
    <cfRule type="cellIs" dxfId="3188" priority="129" operator="between">
      <formula>"E - Review not Required - Proceed"</formula>
      <formula>"E - Review not Required - Proceed"</formula>
    </cfRule>
    <cfRule type="cellIs" dxfId="3187" priority="128" operator="equal">
      <formula>"E - Review Not Required - Proceed"</formula>
    </cfRule>
    <cfRule type="cellIs" dxfId="3186" priority="127" operator="equal">
      <formula>"B - Incorporate Comments - Proceed "</formula>
    </cfRule>
    <cfRule type="cellIs" dxfId="3185" priority="138" operator="between">
      <formula>"A - Work May Proceed"</formula>
      <formula>"A - Work May Proceed"</formula>
    </cfRule>
    <cfRule type="cellIs" dxfId="3184" priority="139" operator="between">
      <formula>"C - Revise and Resubmit - Do Not Proceed"</formula>
      <formula>"C - Revise and Resubmit - Do Not Proceed"</formula>
    </cfRule>
  </conditionalFormatting>
  <conditionalFormatting sqref="J5:J6 B5:I7 B8:J8">
    <cfRule type="cellIs" dxfId="3183" priority="6" operator="equal">
      <formula>"E - Review not Required - Proceed"</formula>
    </cfRule>
    <cfRule type="cellIs" dxfId="3182" priority="7" operator="equal">
      <formula>"D - Rejected"</formula>
    </cfRule>
    <cfRule type="cellIs" dxfId="3181" priority="8" operator="equal">
      <formula>"B- Incorporate Comments - Proceed"</formula>
    </cfRule>
    <cfRule type="cellIs" dxfId="3180" priority="9" operator="equal">
      <formula>"C - Revise and Resubmit - Do Not Proceed"</formula>
    </cfRule>
    <cfRule type="cellIs" dxfId="3179" priority="10" stopIfTrue="1" operator="equal">
      <formula>"A - Work May Proceed"</formula>
    </cfRule>
  </conditionalFormatting>
  <conditionalFormatting sqref="P11">
    <cfRule type="cellIs" dxfId="3178" priority="123" operator="between">
      <formula>"C - Revise and Resubmit - Do Not Proceed"</formula>
      <formula>"C - Revise and Resubmit - Do Not Proceed"</formula>
    </cfRule>
    <cfRule type="cellIs" dxfId="3177" priority="113" operator="between">
      <formula>"E - Review not Required - Proceed"</formula>
      <formula>"E - Review not Required - Proceed"</formula>
    </cfRule>
    <cfRule type="cellIs" dxfId="3176" priority="112" operator="equal">
      <formula>"E - Review Not Required - Proceed"</formula>
    </cfRule>
    <cfRule type="cellIs" dxfId="3175" priority="111" operator="equal">
      <formula>"B - Incorporate Comments - Proceed "</formula>
    </cfRule>
    <cfRule type="cellIs" dxfId="3174" priority="110" operator="equal">
      <formula>"For Information"</formula>
    </cfRule>
    <cfRule type="cellIs" dxfId="3173" priority="109" operator="equal">
      <formula>"B - Incorporate Comments - Proceed"</formula>
    </cfRule>
    <cfRule type="cellIs" dxfId="3172" priority="119" operator="between">
      <formula>"E - Review not Required - Proceed"</formula>
      <formula>"E - Review not Required - Proceed"</formula>
    </cfRule>
    <cfRule type="cellIs" dxfId="3171" priority="116" operator="between">
      <formula>"B - Incorporate Comments - Proceed"</formula>
      <formula>"B - Incorporate Comments - Proceed"</formula>
    </cfRule>
    <cfRule type="cellIs" dxfId="3170" priority="117" operator="between">
      <formula>"A - Work May Proceed"</formula>
      <formula>"A - Work May Proceed"</formula>
    </cfRule>
    <cfRule type="cellIs" dxfId="3169" priority="118" operator="between">
      <formula>"B - Incorporate Comments - Proceed"</formula>
      <formula>"B - Incorporate Comments - Proceed"</formula>
    </cfRule>
    <cfRule type="cellIs" dxfId="3168" priority="120" operator="between">
      <formula>"D - Rejected "</formula>
      <formula>"D - Rejected "</formula>
    </cfRule>
    <cfRule type="cellIs" dxfId="3167" priority="121" operator="between">
      <formula>"CANCELLED"</formula>
      <formula>"CANCELLED"</formula>
    </cfRule>
    <cfRule type="cellIs" dxfId="3166" priority="122" operator="between">
      <formula>"A - Work May Proceed"</formula>
      <formula>"A - Work May Proceed"</formula>
    </cfRule>
    <cfRule type="cellIs" dxfId="3165" priority="124" stopIfTrue="1" operator="between">
      <formula>"B - Incorporate Comments - Proceed "</formula>
      <formula>"B - Incorporate Comments - Proceed "</formula>
    </cfRule>
    <cfRule type="cellIs" dxfId="3164" priority="115" operator="between">
      <formula>"C - Revise and Resubmit - Do Not Proceed"</formula>
      <formula>"C - Revise and Resubmit - Do Not Proceed"</formula>
    </cfRule>
    <cfRule type="cellIs" dxfId="3163" priority="114" operator="between">
      <formula>"'D - Rejected "</formula>
      <formula>"'D - Rejected "</formula>
    </cfRule>
  </conditionalFormatting>
  <conditionalFormatting sqref="W11">
    <cfRule type="cellIs" dxfId="3162" priority="93" operator="equal">
      <formula>"B - Incorporate Comments - Proceed"</formula>
    </cfRule>
    <cfRule type="cellIs" dxfId="3161" priority="94" operator="equal">
      <formula>"For Information"</formula>
    </cfRule>
    <cfRule type="cellIs" dxfId="3160" priority="95" operator="equal">
      <formula>"B - Incorporate Comments - Proceed "</formula>
    </cfRule>
    <cfRule type="cellIs" dxfId="3159" priority="96" operator="equal">
      <formula>"E - Review Not Required - Proceed"</formula>
    </cfRule>
    <cfRule type="cellIs" dxfId="3158" priority="97" operator="between">
      <formula>"E - Review not Required - Proceed"</formula>
      <formula>"E - Review not Required - Proceed"</formula>
    </cfRule>
    <cfRule type="cellIs" dxfId="3157" priority="98" operator="between">
      <formula>"'D - Rejected "</formula>
      <formula>"'D - Rejected "</formula>
    </cfRule>
    <cfRule type="cellIs" dxfId="3156" priority="99" operator="between">
      <formula>"C - Revise and Resubmit - Do Not Proceed"</formula>
      <formula>"C - Revise and Resubmit - Do Not Proceed"</formula>
    </cfRule>
    <cfRule type="cellIs" dxfId="3155" priority="100" operator="between">
      <formula>"B - Incorporate Comments - Proceed"</formula>
      <formula>"B - Incorporate Comments - Proceed"</formula>
    </cfRule>
    <cfRule type="cellIs" dxfId="3154" priority="101" operator="between">
      <formula>"A - Work May Proceed"</formula>
      <formula>"A - Work May Proceed"</formula>
    </cfRule>
    <cfRule type="cellIs" dxfId="3153" priority="102" operator="between">
      <formula>"B - Incorporate Comments - Proceed"</formula>
      <formula>"B - Incorporate Comments - Proceed"</formula>
    </cfRule>
    <cfRule type="cellIs" dxfId="3152" priority="103" operator="between">
      <formula>"E - Review not Required - Proceed"</formula>
      <formula>"E - Review not Required - Proceed"</formula>
    </cfRule>
    <cfRule type="cellIs" dxfId="3151" priority="104" operator="between">
      <formula>"D - Rejected "</formula>
      <formula>"D - Rejected "</formula>
    </cfRule>
    <cfRule type="cellIs" dxfId="3150" priority="105" operator="between">
      <formula>"CANCELLED"</formula>
      <formula>"CANCELLED"</formula>
    </cfRule>
    <cfRule type="cellIs" dxfId="3149" priority="107" operator="between">
      <formula>"C - Revise and Resubmit - Do Not Proceed"</formula>
      <formula>"C - Revise and Resubmit - Do Not Proceed"</formula>
    </cfRule>
    <cfRule type="cellIs" dxfId="3148" priority="108" stopIfTrue="1" operator="between">
      <formula>"B - Incorporate Comments - Proceed "</formula>
      <formula>"B - Incorporate Comments - Proceed "</formula>
    </cfRule>
    <cfRule type="cellIs" dxfId="3147" priority="106" operator="between">
      <formula>"A - Work May Proceed"</formula>
      <formula>"A - Work May Proceed"</formula>
    </cfRule>
  </conditionalFormatting>
  <conditionalFormatting sqref="AD11">
    <cfRule type="cellIs" dxfId="3146" priority="78" operator="equal">
      <formula>"For Information"</formula>
    </cfRule>
    <cfRule type="cellIs" dxfId="3145" priority="88" operator="between">
      <formula>"D - Rejected "</formula>
      <formula>"D - Rejected "</formula>
    </cfRule>
    <cfRule type="cellIs" dxfId="3144" priority="77" operator="equal">
      <formula>"B - Incorporate Comments - Proceed"</formula>
    </cfRule>
    <cfRule type="cellIs" dxfId="3143" priority="90" operator="between">
      <formula>"A - Work May Proceed"</formula>
      <formula>"A - Work May Proceed"</formula>
    </cfRule>
    <cfRule type="cellIs" dxfId="3142" priority="91" operator="between">
      <formula>"C - Revise and Resubmit - Do Not Proceed"</formula>
      <formula>"C - Revise and Resubmit - Do Not Proceed"</formula>
    </cfRule>
    <cfRule type="cellIs" dxfId="3141" priority="92" stopIfTrue="1" operator="between">
      <formula>"B - Incorporate Comments - Proceed "</formula>
      <formula>"B - Incorporate Comments - Proceed "</formula>
    </cfRule>
    <cfRule type="cellIs" dxfId="3140" priority="87" operator="between">
      <formula>"E - Review not Required - Proceed"</formula>
      <formula>"E - Review not Required - Proceed"</formula>
    </cfRule>
    <cfRule type="cellIs" dxfId="3139" priority="86" operator="between">
      <formula>"B - Incorporate Comments - Proceed"</formula>
      <formula>"B - Incorporate Comments - Proceed"</formula>
    </cfRule>
    <cfRule type="cellIs" dxfId="3138" priority="85" operator="between">
      <formula>"A - Work May Proceed"</formula>
      <formula>"A - Work May Proceed"</formula>
    </cfRule>
    <cfRule type="cellIs" dxfId="3137" priority="84" operator="between">
      <formula>"B - Incorporate Comments - Proceed"</formula>
      <formula>"B - Incorporate Comments - Proceed"</formula>
    </cfRule>
    <cfRule type="cellIs" dxfId="3136" priority="83" operator="between">
      <formula>"C - Revise and Resubmit - Do Not Proceed"</formula>
      <formula>"C - Revise and Resubmit - Do Not Proceed"</formula>
    </cfRule>
    <cfRule type="cellIs" dxfId="3135" priority="82" operator="between">
      <formula>"'D - Rejected "</formula>
      <formula>"'D - Rejected "</formula>
    </cfRule>
    <cfRule type="cellIs" dxfId="3134" priority="81" operator="between">
      <formula>"E - Review not Required - Proceed"</formula>
      <formula>"E - Review not Required - Proceed"</formula>
    </cfRule>
    <cfRule type="cellIs" dxfId="3133" priority="89" operator="between">
      <formula>"CANCELLED"</formula>
      <formula>"CANCELLED"</formula>
    </cfRule>
    <cfRule type="cellIs" dxfId="3132" priority="80" operator="equal">
      <formula>"E - Review Not Required - Proceed"</formula>
    </cfRule>
    <cfRule type="cellIs" dxfId="3131" priority="79" operator="equal">
      <formula>"B - Incorporate Comments - Proceed "</formula>
    </cfRule>
  </conditionalFormatting>
  <conditionalFormatting sqref="AK11">
    <cfRule type="cellIs" dxfId="3130" priority="69" operator="between">
      <formula>"A - Work May Proceed"</formula>
      <formula>"A - Work May Proceed"</formula>
    </cfRule>
    <cfRule type="cellIs" dxfId="3129" priority="70" operator="between">
      <formula>"B - Incorporate Comments - Proceed"</formula>
      <formula>"B - Incorporate Comments - Proceed"</formula>
    </cfRule>
    <cfRule type="cellIs" dxfId="3128" priority="71" operator="between">
      <formula>"E - Review not Required - Proceed"</formula>
      <formula>"E - Review not Required - Proceed"</formula>
    </cfRule>
    <cfRule type="cellIs" dxfId="3127" priority="72" operator="between">
      <formula>"D - Rejected "</formula>
      <formula>"D - Rejected "</formula>
    </cfRule>
    <cfRule type="cellIs" dxfId="3126" priority="73" operator="between">
      <formula>"CANCELLED"</formula>
      <formula>"CANCELLED"</formula>
    </cfRule>
    <cfRule type="cellIs" dxfId="3125" priority="74" operator="between">
      <formula>"A - Work May Proceed"</formula>
      <formula>"A - Work May Proceed"</formula>
    </cfRule>
    <cfRule type="cellIs" dxfId="3124" priority="75" operator="between">
      <formula>"C - Revise and Resubmit - Do Not Proceed"</formula>
      <formula>"C - Revise and Resubmit - Do Not Proceed"</formula>
    </cfRule>
    <cfRule type="cellIs" dxfId="3123" priority="76" stopIfTrue="1" operator="between">
      <formula>"B - Incorporate Comments - Proceed "</formula>
      <formula>"B - Incorporate Comments - Proceed "</formula>
    </cfRule>
    <cfRule type="cellIs" dxfId="3122" priority="61" operator="equal">
      <formula>"B - Incorporate Comments - Proceed"</formula>
    </cfRule>
    <cfRule type="cellIs" dxfId="3121" priority="62" operator="equal">
      <formula>"For Information"</formula>
    </cfRule>
    <cfRule type="cellIs" dxfId="3120" priority="63" operator="equal">
      <formula>"B - Incorporate Comments - Proceed "</formula>
    </cfRule>
    <cfRule type="cellIs" dxfId="3119" priority="64" operator="equal">
      <formula>"E - Review Not Required - Proceed"</formula>
    </cfRule>
    <cfRule type="cellIs" dxfId="3118" priority="65" operator="between">
      <formula>"E - Review not Required - Proceed"</formula>
      <formula>"E - Review not Required - Proceed"</formula>
    </cfRule>
    <cfRule type="cellIs" dxfId="3117" priority="66" operator="between">
      <formula>"'D - Rejected "</formula>
      <formula>"'D - Rejected "</formula>
    </cfRule>
    <cfRule type="cellIs" dxfId="3116" priority="67" operator="between">
      <formula>"C - Revise and Resubmit - Do Not Proceed"</formula>
      <formula>"C - Revise and Resubmit - Do Not Proceed"</formula>
    </cfRule>
    <cfRule type="cellIs" dxfId="3115" priority="68" operator="between">
      <formula>"B - Incorporate Comments - Proceed"</formula>
      <formula>"B - Incorporate Comments - Proceed"</formula>
    </cfRule>
  </conditionalFormatting>
  <conditionalFormatting sqref="AR11">
    <cfRule type="cellIs" dxfId="3114" priority="31" operator="between">
      <formula>"D - Rejected "</formula>
      <formula>"D - Rejected "</formula>
    </cfRule>
    <cfRule type="cellIs" dxfId="3113" priority="30" operator="between">
      <formula>"E - Review not Required - Proceed"</formula>
      <formula>"E - Review not Required - Proceed"</formula>
    </cfRule>
    <cfRule type="cellIs" dxfId="3112" priority="29" operator="between">
      <formula>"B - Incorporate Comments - Proceed"</formula>
      <formula>"B - Incorporate Comments - Proceed"</formula>
    </cfRule>
    <cfRule type="cellIs" dxfId="3111" priority="28" operator="between">
      <formula>"A - Work May Proceed"</formula>
      <formula>"A - Work May Proceed"</formula>
    </cfRule>
    <cfRule type="cellIs" dxfId="3110" priority="27" operator="between">
      <formula>"B - Incorporate Comments - Proceed"</formula>
      <formula>"B - Incorporate Comments - Proceed"</formula>
    </cfRule>
    <cfRule type="cellIs" dxfId="3109" priority="26" operator="between">
      <formula>"C - Revise and Resubmit - Do Not Proceed"</formula>
      <formula>"C - Revise and Resubmit - Do Not Proceed"</formula>
    </cfRule>
    <cfRule type="cellIs" dxfId="3108" priority="25" operator="between">
      <formula>"'D - Rejected "</formula>
      <formula>"'D - Rejected "</formula>
    </cfRule>
    <cfRule type="cellIs" dxfId="3107" priority="24" operator="between">
      <formula>"E - Review not Required - Proceed"</formula>
      <formula>"E - Review not Required - Proceed"</formula>
    </cfRule>
    <cfRule type="cellIs" dxfId="3106" priority="23" operator="equal">
      <formula>"E - Review Not Required - Proceed"</formula>
    </cfRule>
    <cfRule type="cellIs" dxfId="3105" priority="22" operator="equal">
      <formula>"B - Incorporate Comments - Proceed "</formula>
    </cfRule>
    <cfRule type="cellIs" dxfId="3104" priority="21" operator="equal">
      <formula>"For Information"</formula>
    </cfRule>
    <cfRule type="cellIs" dxfId="3103" priority="20" operator="equal">
      <formula>"A - Work May Proceed"</formula>
    </cfRule>
    <cfRule type="cellIs" dxfId="3102" priority="19" operator="equal">
      <formula>"C - Revise and Resubmit - Do Not Proceed"</formula>
    </cfRule>
    <cfRule type="cellIs" dxfId="3101" priority="17" operator="equal">
      <formula>"D - Rejected"</formula>
    </cfRule>
    <cfRule type="cellIs" dxfId="3100" priority="16" operator="equal">
      <formula>"E - Review not Required - Proceed"</formula>
    </cfRule>
    <cfRule type="cellIs" dxfId="3099" priority="32" operator="between">
      <formula>"CANCELLED"</formula>
      <formula>"CANCELLED"</formula>
    </cfRule>
    <cfRule type="cellIs" dxfId="3098" priority="18" operator="equal">
      <formula>"B - Incorporate Comments - Proceed"</formula>
    </cfRule>
    <cfRule type="cellIs" dxfId="3097" priority="35" stopIfTrue="1" operator="between">
      <formula>"B - Incorporate Comments - Proceed "</formula>
      <formula>"B - Incorporate Comments - Proceed "</formula>
    </cfRule>
    <cfRule type="cellIs" dxfId="3096" priority="34" operator="between">
      <formula>"C - Revise and Resubmit - Do Not Proceed"</formula>
      <formula>"C - Revise and Resubmit - Do Not Proceed"</formula>
    </cfRule>
    <cfRule type="cellIs" dxfId="3095" priority="33" operator="between">
      <formula>"A - Work May Proceed"</formula>
      <formula>"A - Work May Proceed"</formula>
    </cfRule>
  </conditionalFormatting>
  <conditionalFormatting sqref="AY11">
    <cfRule type="cellIs" dxfId="3094" priority="55" stopIfTrue="1" operator="between">
      <formula>"B - Incorporate Comments - Proceed "</formula>
      <formula>"B - Incorporate Comments - Proceed "</formula>
    </cfRule>
    <cfRule type="cellIs" dxfId="3093" priority="53" operator="between">
      <formula>"A - Work May Proceed"</formula>
      <formula>"A - Work May Proceed"</formula>
    </cfRule>
    <cfRule type="cellIs" dxfId="3092" priority="52" operator="between">
      <formula>"CANCELLED"</formula>
      <formula>"CANCELLED"</formula>
    </cfRule>
    <cfRule type="cellIs" dxfId="3091" priority="51" operator="between">
      <formula>"D - Rejected "</formula>
      <formula>"D - Rejected "</formula>
    </cfRule>
    <cfRule type="cellIs" dxfId="3090" priority="50" operator="between">
      <formula>"E - Review not Required - Proceed"</formula>
      <formula>"E - Review not Required - Proceed"</formula>
    </cfRule>
    <cfRule type="cellIs" dxfId="3089" priority="45" operator="between">
      <formula>"'D - Rejected "</formula>
      <formula>"'D - Rejected "</formula>
    </cfRule>
    <cfRule type="cellIs" dxfId="3088" priority="44" operator="between">
      <formula>"E - Review not Required - Proceed"</formula>
      <formula>"E - Review not Required - Proceed"</formula>
    </cfRule>
    <cfRule type="cellIs" dxfId="3087" priority="54" operator="between">
      <formula>"C - Revise and Resubmit - Do Not Proceed"</formula>
      <formula>"C - Revise and Resubmit - Do Not Proceed"</formula>
    </cfRule>
    <cfRule type="cellIs" dxfId="3086" priority="43" operator="equal">
      <formula>"E - Review Not Required - Proceed"</formula>
    </cfRule>
    <cfRule type="cellIs" dxfId="3085" priority="42" operator="equal">
      <formula>"B - Incorporate Comments - Proceed "</formula>
    </cfRule>
    <cfRule type="cellIs" dxfId="3084" priority="41" operator="equal">
      <formula>"For Information"</formula>
    </cfRule>
    <cfRule type="cellIs" dxfId="3083" priority="40" operator="equal">
      <formula>"A - Work May Proceed"</formula>
    </cfRule>
    <cfRule type="cellIs" dxfId="3082" priority="39" operator="equal">
      <formula>"C - Revise and Resubmit - Do Not Proceed"</formula>
    </cfRule>
    <cfRule type="cellIs" dxfId="3081" priority="38" operator="equal">
      <formula>"B - Incorporate Comments - Proceed"</formula>
    </cfRule>
    <cfRule type="cellIs" dxfId="3080" priority="37" operator="equal">
      <formula>"D - Rejected"</formula>
    </cfRule>
    <cfRule type="cellIs" dxfId="3079" priority="36" operator="equal">
      <formula>"E - Review not Required - Proceed"</formula>
    </cfRule>
    <cfRule type="cellIs" dxfId="3078" priority="48" operator="between">
      <formula>"A - Work May Proceed"</formula>
      <formula>"A - Work May Proceed"</formula>
    </cfRule>
    <cfRule type="cellIs" dxfId="3077" priority="47" operator="between">
      <formula>"B - Incorporate Comments - Proceed"</formula>
      <formula>"B - Incorporate Comments - Proceed"</formula>
    </cfRule>
    <cfRule type="cellIs" dxfId="3076" priority="46" operator="between">
      <formula>"C - Revise and Resubmit - Do Not Proceed"</formula>
      <formula>"C - Revise and Resubmit - Do Not Proceed"</formula>
    </cfRule>
    <cfRule type="cellIs" dxfId="3075" priority="49" operator="between">
      <formula>"B - Incorporate Comments - Proceed"</formula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7">
    <tabColor theme="9"/>
  </sheetPr>
  <dimension ref="A1:BF56"/>
  <sheetViews>
    <sheetView zoomScale="55" zoomScaleNormal="55" zoomScaleSheetLayoutView="69" workbookViewId="0">
      <pane ySplit="11" topLeftCell="A12" activePane="bottomLeft" state="frozen"/>
      <selection activeCell="A14" sqref="A14"/>
      <selection pane="bottomLeft" activeCell="A45" sqref="A45:XFD45"/>
    </sheetView>
  </sheetViews>
  <sheetFormatPr defaultColWidth="9.140625" defaultRowHeight="15" x14ac:dyDescent="0.25"/>
  <cols>
    <col min="1" max="1" width="23.285156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3" width="30.140625" style="471" customWidth="1"/>
    <col min="14" max="14" width="30.140625" style="396" customWidth="1"/>
    <col min="15" max="16" width="30.140625" style="393" customWidth="1"/>
    <col min="17" max="17" width="30.140625" style="397" customWidth="1"/>
    <col min="18" max="19" width="30.140625" style="393" customWidth="1"/>
    <col min="20" max="21" width="30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7" width="30.140625" style="397" customWidth="1"/>
    <col min="28" max="28" width="30.140625" style="398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41" width="30.140625" style="397" customWidth="1"/>
    <col min="42" max="42" width="30.140625" style="398" customWidth="1"/>
    <col min="43" max="56" width="30.140625" style="397" customWidth="1"/>
    <col min="57" max="57" width="32.85546875" style="393" customWidth="1"/>
    <col min="58" max="58" width="46" style="44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 s="111"/>
      <c r="O1"/>
      <c r="P1"/>
      <c r="Q1"/>
      <c r="R1"/>
      <c r="S1"/>
      <c r="T1"/>
      <c r="U1"/>
      <c r="V1"/>
      <c r="W1" s="7"/>
      <c r="X1" s="18"/>
      <c r="Y1" s="7"/>
      <c r="Z1" s="7"/>
      <c r="AA1" s="18"/>
      <c r="AB1" s="121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21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2"/>
    </row>
    <row r="2" spans="1:58" s="379" customFormat="1" ht="24" customHeight="1" x14ac:dyDescent="0.35">
      <c r="A2" s="8"/>
      <c r="B2" s="25" t="s">
        <v>28</v>
      </c>
      <c r="C2" s="26" t="s">
        <v>181</v>
      </c>
      <c r="D2" s="26"/>
      <c r="E2" s="26"/>
      <c r="F2" s="27"/>
      <c r="G2" s="8"/>
      <c r="H2" s="548"/>
      <c r="I2" s="558"/>
      <c r="J2"/>
      <c r="K2"/>
      <c r="L2"/>
      <c r="M2"/>
      <c r="N2" s="111"/>
      <c r="O2"/>
      <c r="P2"/>
      <c r="Q2"/>
      <c r="R2"/>
      <c r="S2"/>
      <c r="T2"/>
      <c r="U2"/>
      <c r="V2"/>
      <c r="W2" s="7"/>
      <c r="X2" s="18"/>
      <c r="Y2" s="7"/>
      <c r="Z2" s="7"/>
      <c r="AA2" s="18"/>
      <c r="AB2" s="121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21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2"/>
    </row>
    <row r="3" spans="1:58" s="379" customFormat="1" ht="24" customHeight="1" x14ac:dyDescent="0.35">
      <c r="A3" s="8"/>
      <c r="B3" s="25" t="s">
        <v>507</v>
      </c>
      <c r="C3" s="26" t="s">
        <v>95</v>
      </c>
      <c r="D3" s="26"/>
      <c r="E3" s="26"/>
      <c r="F3" s="27"/>
      <c r="G3" s="8"/>
      <c r="H3" s="8"/>
      <c r="I3"/>
      <c r="J3"/>
      <c r="K3"/>
      <c r="L3"/>
      <c r="M3"/>
      <c r="N3" s="111"/>
      <c r="O3"/>
      <c r="P3"/>
      <c r="Q3"/>
      <c r="R3"/>
      <c r="S3"/>
      <c r="T3"/>
      <c r="U3"/>
      <c r="V3"/>
      <c r="W3" s="7"/>
      <c r="X3" s="18"/>
      <c r="Y3" s="7"/>
      <c r="Z3" s="7"/>
      <c r="AA3" s="18"/>
      <c r="AB3" s="121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21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2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 s="111"/>
      <c r="O4"/>
      <c r="P4"/>
      <c r="Q4"/>
      <c r="R4"/>
      <c r="S4"/>
      <c r="T4"/>
      <c r="U4"/>
      <c r="V4"/>
      <c r="W4" s="7"/>
      <c r="X4" s="18"/>
      <c r="Y4" s="7"/>
      <c r="Z4" s="7"/>
      <c r="AA4" s="18"/>
      <c r="AB4" s="121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21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2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 s="111"/>
      <c r="O5"/>
      <c r="P5"/>
      <c r="Q5"/>
      <c r="R5"/>
      <c r="S5"/>
      <c r="T5"/>
      <c r="U5"/>
      <c r="V5"/>
      <c r="W5" s="7"/>
      <c r="X5" s="18"/>
      <c r="Y5" s="7"/>
      <c r="Z5" s="7"/>
      <c r="AA5" s="18"/>
      <c r="AB5" s="121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21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2"/>
    </row>
    <row r="6" spans="1:58" s="379" customFormat="1" ht="24" customHeight="1" x14ac:dyDescent="0.35">
      <c r="A6" s="8"/>
      <c r="B6" s="64">
        <f>COUNTIF(B11:B55,"A - Work May Proceed")</f>
        <v>32</v>
      </c>
      <c r="C6" s="65">
        <f>COUNTIF(B11:B55,"B- Incorporate Comments - Proceed")</f>
        <v>0</v>
      </c>
      <c r="D6" s="65">
        <f>COUNTIF(B11:B55,"C - Revise and Resubmit - Do Not Proceed")</f>
        <v>0</v>
      </c>
      <c r="E6" s="65">
        <f>COUNTIF(B11:B55,"D - Rejected")</f>
        <v>0</v>
      </c>
      <c r="F6" s="65">
        <f>COUNTIF(B11:B55,"E - Review not Required - Proceed")</f>
        <v>0</v>
      </c>
      <c r="G6" s="66">
        <f>COUNTIF(B11:B55,"UR")</f>
        <v>1</v>
      </c>
      <c r="H6" s="66">
        <f>COUNTIF(B11:B55,"FA")</f>
        <v>0</v>
      </c>
      <c r="I6" s="66">
        <f>COUNTIF(B11:B55,"Terminated")</f>
        <v>0</v>
      </c>
      <c r="J6" s="66">
        <f>COUNTIF(B11:B55,"Cancelled")</f>
        <v>10</v>
      </c>
      <c r="K6"/>
      <c r="L6"/>
      <c r="M6"/>
      <c r="N6" s="111"/>
      <c r="O6"/>
      <c r="P6"/>
      <c r="Q6"/>
      <c r="R6"/>
      <c r="S6"/>
      <c r="T6"/>
      <c r="U6"/>
      <c r="V6"/>
      <c r="W6" s="7"/>
      <c r="X6" s="18"/>
      <c r="Y6" s="7"/>
      <c r="Z6" s="7"/>
      <c r="AA6" s="18"/>
      <c r="AB6" s="121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21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2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 s="111"/>
      <c r="O7"/>
      <c r="P7"/>
      <c r="Q7"/>
      <c r="R7"/>
      <c r="S7"/>
      <c r="T7"/>
      <c r="U7"/>
      <c r="V7"/>
      <c r="W7" s="7"/>
      <c r="X7" s="18"/>
      <c r="Y7" s="7"/>
      <c r="Z7" s="7"/>
      <c r="AA7" s="18"/>
      <c r="AB7" s="121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21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2"/>
    </row>
    <row r="8" spans="1:58" s="379" customFormat="1" ht="24" customHeight="1" x14ac:dyDescent="0.35">
      <c r="A8" s="8"/>
      <c r="B8" s="72" t="s">
        <v>509</v>
      </c>
      <c r="C8" s="73">
        <f>SUM(B6:J6)</f>
        <v>43</v>
      </c>
      <c r="D8" s="69"/>
      <c r="E8" s="70"/>
      <c r="F8" s="132"/>
      <c r="G8" s="74"/>
      <c r="H8" s="75"/>
      <c r="I8" s="76"/>
      <c r="J8" s="75"/>
      <c r="K8"/>
      <c r="L8"/>
      <c r="M8"/>
      <c r="N8" s="111"/>
      <c r="O8"/>
      <c r="P8"/>
      <c r="Q8"/>
      <c r="R8"/>
      <c r="S8"/>
      <c r="T8"/>
      <c r="U8"/>
      <c r="V8"/>
      <c r="W8" s="7"/>
      <c r="X8" s="18"/>
      <c r="Y8" s="7"/>
      <c r="Z8" s="7"/>
      <c r="AA8" s="18"/>
      <c r="AB8" s="121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21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2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 s="111"/>
      <c r="O9"/>
      <c r="P9"/>
      <c r="Q9"/>
      <c r="R9"/>
      <c r="S9"/>
      <c r="T9"/>
      <c r="U9"/>
      <c r="V9"/>
      <c r="W9" s="7"/>
      <c r="X9" s="18"/>
      <c r="Y9" s="7"/>
      <c r="Z9" s="7"/>
      <c r="AA9" s="18"/>
      <c r="AB9" s="121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21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2"/>
    </row>
    <row r="10" spans="1:58" s="405" customFormat="1" ht="36.75" customHeight="1" x14ac:dyDescent="0.2">
      <c r="A10" s="559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112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120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125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11" t="s">
        <v>5</v>
      </c>
      <c r="C12" s="56" t="s">
        <v>2384</v>
      </c>
      <c r="D12" s="12" t="s">
        <v>177</v>
      </c>
      <c r="E12" s="12" t="s">
        <v>178</v>
      </c>
      <c r="F12" s="16" t="s">
        <v>2455</v>
      </c>
      <c r="G12" s="16" t="s">
        <v>179</v>
      </c>
      <c r="H12" s="10" t="s">
        <v>95</v>
      </c>
      <c r="I12" s="16" t="s">
        <v>3</v>
      </c>
      <c r="J12" s="14">
        <v>45559</v>
      </c>
      <c r="K12" s="12" t="s">
        <v>180</v>
      </c>
      <c r="L12" s="20">
        <f>J12+7</f>
        <v>45566</v>
      </c>
      <c r="M12" s="14">
        <v>45571</v>
      </c>
      <c r="N12" s="92">
        <f>M12-L12</f>
        <v>5</v>
      </c>
      <c r="O12" s="12" t="s">
        <v>186</v>
      </c>
      <c r="P12" s="16" t="s">
        <v>3</v>
      </c>
      <c r="Q12" s="20">
        <v>45581</v>
      </c>
      <c r="R12" s="12" t="s">
        <v>428</v>
      </c>
      <c r="S12" s="20">
        <f>Q12+7</f>
        <v>45588</v>
      </c>
      <c r="T12" s="20">
        <v>45590</v>
      </c>
      <c r="U12" s="91">
        <f>T12-S12</f>
        <v>2</v>
      </c>
      <c r="V12" s="12" t="s">
        <v>429</v>
      </c>
      <c r="W12" s="12" t="s">
        <v>3</v>
      </c>
      <c r="X12" s="20">
        <v>45593</v>
      </c>
      <c r="Y12" s="12" t="s">
        <v>589</v>
      </c>
      <c r="Z12" s="20">
        <f>X12+7</f>
        <v>45600</v>
      </c>
      <c r="AA12" s="20">
        <v>45601</v>
      </c>
      <c r="AB12" s="91">
        <f>AA12-Z12</f>
        <v>1</v>
      </c>
      <c r="AC12" s="12" t="s">
        <v>609</v>
      </c>
      <c r="AD12" s="12" t="s">
        <v>18</v>
      </c>
      <c r="AE12" s="20">
        <v>45616</v>
      </c>
      <c r="AF12" s="12" t="s">
        <v>977</v>
      </c>
      <c r="AG12" s="20">
        <f>AE12+7</f>
        <v>45623</v>
      </c>
      <c r="AH12" s="20">
        <v>45623</v>
      </c>
      <c r="AI12" s="91">
        <f>AH12-AG12</f>
        <v>0</v>
      </c>
      <c r="AJ12" s="12" t="s">
        <v>982</v>
      </c>
      <c r="AK12" s="10" t="s">
        <v>18</v>
      </c>
      <c r="AL12" s="14">
        <v>45702</v>
      </c>
      <c r="AM12" s="12" t="s">
        <v>2457</v>
      </c>
      <c r="AN12" s="20">
        <f>AL12+7</f>
        <v>45709</v>
      </c>
      <c r="AO12" s="14">
        <v>45713</v>
      </c>
      <c r="AP12" s="92">
        <f>AO12-AN12</f>
        <v>4</v>
      </c>
      <c r="AQ12" s="14" t="s">
        <v>2489</v>
      </c>
      <c r="AR12" s="11" t="s">
        <v>5</v>
      </c>
      <c r="AS12" s="14">
        <v>45794</v>
      </c>
      <c r="AT12" s="14" t="s">
        <v>3311</v>
      </c>
      <c r="AU12" s="20">
        <f>AS12+7</f>
        <v>45801</v>
      </c>
      <c r="AV12" s="14">
        <v>45802</v>
      </c>
      <c r="AW12" s="92">
        <f>AV12-AU12</f>
        <v>1</v>
      </c>
      <c r="AX12" s="14" t="s">
        <v>3313</v>
      </c>
      <c r="AY12" s="14"/>
      <c r="AZ12" s="14"/>
      <c r="BA12" s="14"/>
      <c r="BB12" s="14"/>
      <c r="BC12" s="14"/>
      <c r="BD12" s="14"/>
      <c r="BE12" s="12"/>
      <c r="BF12" s="259"/>
    </row>
    <row r="13" spans="1:58" s="381" customFormat="1" ht="42" customHeight="1" x14ac:dyDescent="0.25">
      <c r="A13" s="367">
        <v>730007</v>
      </c>
      <c r="B13" s="58" t="s">
        <v>508</v>
      </c>
      <c r="C13" s="13" t="s">
        <v>627</v>
      </c>
      <c r="D13" s="12" t="s">
        <v>334</v>
      </c>
      <c r="E13" s="12" t="s">
        <v>335</v>
      </c>
      <c r="F13" s="10" t="s">
        <v>336</v>
      </c>
      <c r="G13" s="10" t="s">
        <v>179</v>
      </c>
      <c r="H13" s="10" t="s">
        <v>95</v>
      </c>
      <c r="I13" s="10" t="s">
        <v>14</v>
      </c>
      <c r="J13" s="14">
        <v>45577</v>
      </c>
      <c r="K13" s="12" t="s">
        <v>339</v>
      </c>
      <c r="L13" s="20">
        <f t="shared" ref="L13:L22" si="0">J13+7</f>
        <v>45584</v>
      </c>
      <c r="M13" s="14">
        <v>45586</v>
      </c>
      <c r="N13" s="92">
        <f t="shared" ref="N13:N22" si="1">M13-L13</f>
        <v>2</v>
      </c>
      <c r="O13" s="12" t="s">
        <v>349</v>
      </c>
      <c r="P13" s="9" t="s">
        <v>508</v>
      </c>
      <c r="Q13" s="20">
        <v>45649</v>
      </c>
      <c r="R13" s="12" t="s">
        <v>1615</v>
      </c>
      <c r="S13" s="20" t="s">
        <v>626</v>
      </c>
      <c r="T13" s="20" t="s">
        <v>626</v>
      </c>
      <c r="U13" s="20" t="s">
        <v>626</v>
      </c>
      <c r="V13" s="20" t="s">
        <v>626</v>
      </c>
      <c r="W13" s="12"/>
      <c r="X13" s="20"/>
      <c r="Y13" s="12"/>
      <c r="Z13" s="20"/>
      <c r="AA13" s="20"/>
      <c r="AB13" s="91"/>
      <c r="AC13" s="12"/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92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259" t="s">
        <v>1036</v>
      </c>
    </row>
    <row r="14" spans="1:58" s="381" customFormat="1" ht="42" customHeight="1" x14ac:dyDescent="0.25">
      <c r="A14" s="367">
        <v>730007</v>
      </c>
      <c r="B14" s="11" t="s">
        <v>5</v>
      </c>
      <c r="C14" s="56" t="s">
        <v>725</v>
      </c>
      <c r="D14" s="12" t="s">
        <v>337</v>
      </c>
      <c r="E14" s="12" t="s">
        <v>338</v>
      </c>
      <c r="F14" s="16" t="s">
        <v>1189</v>
      </c>
      <c r="G14" s="16" t="s">
        <v>179</v>
      </c>
      <c r="H14" s="10" t="s">
        <v>95</v>
      </c>
      <c r="I14" s="16" t="s">
        <v>3</v>
      </c>
      <c r="J14" s="14">
        <v>45577</v>
      </c>
      <c r="K14" s="12" t="s">
        <v>340</v>
      </c>
      <c r="L14" s="20">
        <f t="shared" si="0"/>
        <v>45584</v>
      </c>
      <c r="M14" s="14">
        <v>45586</v>
      </c>
      <c r="N14" s="92">
        <f t="shared" si="1"/>
        <v>2</v>
      </c>
      <c r="O14" s="12" t="s">
        <v>350</v>
      </c>
      <c r="P14" s="16" t="s">
        <v>3</v>
      </c>
      <c r="Q14" s="20">
        <v>45587</v>
      </c>
      <c r="R14" s="12" t="s">
        <v>487</v>
      </c>
      <c r="S14" s="20">
        <f t="shared" ref="S14:S24" si="2">Q14+7</f>
        <v>45594</v>
      </c>
      <c r="T14" s="20">
        <v>45600</v>
      </c>
      <c r="U14" s="91">
        <f t="shared" ref="U14:U20" si="3">T14-S14</f>
        <v>6</v>
      </c>
      <c r="V14" s="12" t="s">
        <v>491</v>
      </c>
      <c r="W14" s="16" t="s">
        <v>18</v>
      </c>
      <c r="X14" s="20">
        <v>45629</v>
      </c>
      <c r="Y14" s="12" t="s">
        <v>1194</v>
      </c>
      <c r="Z14" s="20">
        <f t="shared" ref="Z14:Z21" si="4">X14+7</f>
        <v>45636</v>
      </c>
      <c r="AA14" s="20">
        <v>45641</v>
      </c>
      <c r="AB14" s="91">
        <f t="shared" ref="AB14:AB21" si="5">AA14-Z14</f>
        <v>5</v>
      </c>
      <c r="AC14" s="12" t="s">
        <v>1240</v>
      </c>
      <c r="AD14" s="12" t="s">
        <v>5</v>
      </c>
      <c r="AE14" s="20">
        <v>45702</v>
      </c>
      <c r="AF14" s="12" t="s">
        <v>2445</v>
      </c>
      <c r="AG14" s="20">
        <f>AE14+7</f>
        <v>45709</v>
      </c>
      <c r="AH14" s="20">
        <v>45705</v>
      </c>
      <c r="AI14" s="91">
        <f>AH14-AG14</f>
        <v>-4</v>
      </c>
      <c r="AJ14" s="12" t="s">
        <v>2464</v>
      </c>
      <c r="AK14" s="10"/>
      <c r="AL14" s="14"/>
      <c r="AM14" s="12"/>
      <c r="AN14" s="12"/>
      <c r="AO14" s="14"/>
      <c r="AP14" s="92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/>
      <c r="BF14" s="259"/>
    </row>
    <row r="15" spans="1:58" s="381" customFormat="1" ht="42" customHeight="1" x14ac:dyDescent="0.25">
      <c r="A15" s="367">
        <v>730007</v>
      </c>
      <c r="B15" s="11" t="s">
        <v>5</v>
      </c>
      <c r="C15" s="56" t="s">
        <v>588</v>
      </c>
      <c r="D15" s="12" t="s">
        <v>341</v>
      </c>
      <c r="E15" s="12" t="s">
        <v>342</v>
      </c>
      <c r="F15" s="16" t="s">
        <v>343</v>
      </c>
      <c r="G15" s="16" t="s">
        <v>179</v>
      </c>
      <c r="H15" s="10" t="s">
        <v>95</v>
      </c>
      <c r="I15" s="16" t="s">
        <v>3</v>
      </c>
      <c r="J15" s="14">
        <v>45577</v>
      </c>
      <c r="K15" s="12" t="s">
        <v>344</v>
      </c>
      <c r="L15" s="20">
        <f t="shared" si="0"/>
        <v>45584</v>
      </c>
      <c r="M15" s="14">
        <v>45587</v>
      </c>
      <c r="N15" s="92">
        <f t="shared" si="1"/>
        <v>3</v>
      </c>
      <c r="O15" s="12" t="s">
        <v>351</v>
      </c>
      <c r="P15" s="16" t="s">
        <v>18</v>
      </c>
      <c r="Q15" s="20">
        <v>45591</v>
      </c>
      <c r="R15" s="12" t="s">
        <v>571</v>
      </c>
      <c r="S15" s="20">
        <f t="shared" si="2"/>
        <v>45598</v>
      </c>
      <c r="T15" s="20">
        <v>45600</v>
      </c>
      <c r="U15" s="91">
        <f t="shared" si="3"/>
        <v>2</v>
      </c>
      <c r="V15" s="12" t="s">
        <v>577</v>
      </c>
      <c r="W15" s="12" t="s">
        <v>5</v>
      </c>
      <c r="X15" s="20">
        <v>45782</v>
      </c>
      <c r="Y15" s="12" t="s">
        <v>3190</v>
      </c>
      <c r="Z15" s="20">
        <f t="shared" si="4"/>
        <v>45789</v>
      </c>
      <c r="AA15" s="20">
        <v>45790</v>
      </c>
      <c r="AB15" s="91">
        <f t="shared" si="5"/>
        <v>1</v>
      </c>
      <c r="AC15" s="12" t="s">
        <v>3196</v>
      </c>
      <c r="AD15" s="12"/>
      <c r="AE15" s="20"/>
      <c r="AF15" s="12"/>
      <c r="AG15" s="12"/>
      <c r="AH15" s="20"/>
      <c r="AI15" s="20"/>
      <c r="AJ15" s="12"/>
      <c r="AK15" s="10"/>
      <c r="AL15" s="14"/>
      <c r="AM15" s="12"/>
      <c r="AN15" s="12"/>
      <c r="AO15" s="14"/>
      <c r="AP15" s="92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2"/>
      <c r="BF15" s="259"/>
    </row>
    <row r="16" spans="1:58" s="381" customFormat="1" ht="42" customHeight="1" x14ac:dyDescent="0.25">
      <c r="A16" s="367">
        <v>730007</v>
      </c>
      <c r="B16" s="58" t="s">
        <v>508</v>
      </c>
      <c r="C16" s="13" t="s">
        <v>627</v>
      </c>
      <c r="D16" s="12" t="s">
        <v>345</v>
      </c>
      <c r="E16" s="12" t="s">
        <v>346</v>
      </c>
      <c r="F16" s="10" t="s">
        <v>824</v>
      </c>
      <c r="G16" s="10" t="s">
        <v>179</v>
      </c>
      <c r="H16" s="10" t="s">
        <v>95</v>
      </c>
      <c r="I16" s="10" t="s">
        <v>3</v>
      </c>
      <c r="J16" s="14">
        <v>45577</v>
      </c>
      <c r="K16" s="12" t="s">
        <v>358</v>
      </c>
      <c r="L16" s="20">
        <f t="shared" si="0"/>
        <v>45584</v>
      </c>
      <c r="M16" s="14">
        <v>45587</v>
      </c>
      <c r="N16" s="92">
        <f t="shared" si="1"/>
        <v>3</v>
      </c>
      <c r="O16" s="12" t="s">
        <v>362</v>
      </c>
      <c r="P16" s="10" t="s">
        <v>3</v>
      </c>
      <c r="Q16" s="20">
        <v>45591</v>
      </c>
      <c r="R16" s="12" t="s">
        <v>570</v>
      </c>
      <c r="S16" s="20">
        <f t="shared" si="2"/>
        <v>45598</v>
      </c>
      <c r="T16" s="20">
        <v>45600</v>
      </c>
      <c r="U16" s="20">
        <f t="shared" si="3"/>
        <v>2</v>
      </c>
      <c r="V16" s="20" t="s">
        <v>576</v>
      </c>
      <c r="W16" s="12" t="s">
        <v>3</v>
      </c>
      <c r="X16" s="20">
        <v>45610</v>
      </c>
      <c r="Y16" s="12" t="s">
        <v>927</v>
      </c>
      <c r="Z16" s="20">
        <f t="shared" si="4"/>
        <v>45617</v>
      </c>
      <c r="AA16" s="20">
        <v>45634</v>
      </c>
      <c r="AB16" s="91">
        <f t="shared" si="5"/>
        <v>17</v>
      </c>
      <c r="AC16" s="12" t="s">
        <v>937</v>
      </c>
      <c r="AD16" s="57" t="s">
        <v>331</v>
      </c>
      <c r="AE16" s="20">
        <v>45656</v>
      </c>
      <c r="AF16" s="12" t="s">
        <v>1706</v>
      </c>
      <c r="AG16" s="12">
        <f>AE16+7</f>
        <v>45663</v>
      </c>
      <c r="AH16" s="20" t="s">
        <v>626</v>
      </c>
      <c r="AI16" s="20" t="s">
        <v>626</v>
      </c>
      <c r="AJ16" s="12" t="s">
        <v>1735</v>
      </c>
      <c r="AK16" s="88" t="s">
        <v>508</v>
      </c>
      <c r="AL16" s="14">
        <v>45778</v>
      </c>
      <c r="AM16" s="12" t="s">
        <v>3132</v>
      </c>
      <c r="AN16" s="12" t="s">
        <v>626</v>
      </c>
      <c r="AO16" s="14" t="s">
        <v>626</v>
      </c>
      <c r="AP16" s="92" t="s">
        <v>626</v>
      </c>
      <c r="AQ16" s="14" t="s">
        <v>626</v>
      </c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2"/>
      <c r="BF16" s="259"/>
    </row>
    <row r="17" spans="1:58" s="381" customFormat="1" ht="42" customHeight="1" x14ac:dyDescent="0.25">
      <c r="A17" s="367">
        <v>730007</v>
      </c>
      <c r="B17" s="11" t="s">
        <v>5</v>
      </c>
      <c r="C17" s="56" t="s">
        <v>725</v>
      </c>
      <c r="D17" s="12" t="s">
        <v>355</v>
      </c>
      <c r="E17" s="12" t="s">
        <v>356</v>
      </c>
      <c r="F17" s="16" t="s">
        <v>357</v>
      </c>
      <c r="G17" s="16" t="s">
        <v>179</v>
      </c>
      <c r="H17" s="10" t="s">
        <v>95</v>
      </c>
      <c r="I17" s="16" t="s">
        <v>3</v>
      </c>
      <c r="J17" s="14">
        <v>45577</v>
      </c>
      <c r="K17" s="12" t="s">
        <v>359</v>
      </c>
      <c r="L17" s="20">
        <f t="shared" si="0"/>
        <v>45584</v>
      </c>
      <c r="M17" s="14">
        <v>45587</v>
      </c>
      <c r="N17" s="92">
        <f t="shared" si="1"/>
        <v>3</v>
      </c>
      <c r="O17" s="12" t="s">
        <v>363</v>
      </c>
      <c r="P17" s="16" t="s">
        <v>3</v>
      </c>
      <c r="Q17" s="20">
        <v>45591</v>
      </c>
      <c r="R17" s="12" t="s">
        <v>564</v>
      </c>
      <c r="S17" s="20">
        <f t="shared" si="2"/>
        <v>45598</v>
      </c>
      <c r="T17" s="20">
        <v>45600</v>
      </c>
      <c r="U17" s="91">
        <f t="shared" si="3"/>
        <v>2</v>
      </c>
      <c r="V17" s="12" t="s">
        <v>569</v>
      </c>
      <c r="W17" s="12" t="s">
        <v>18</v>
      </c>
      <c r="X17" s="20">
        <v>45610</v>
      </c>
      <c r="Y17" s="12" t="s">
        <v>928</v>
      </c>
      <c r="Z17" s="20">
        <f t="shared" si="4"/>
        <v>45617</v>
      </c>
      <c r="AA17" s="20">
        <v>45627</v>
      </c>
      <c r="AB17" s="91">
        <f t="shared" si="5"/>
        <v>10</v>
      </c>
      <c r="AC17" s="12" t="s">
        <v>938</v>
      </c>
      <c r="AD17" s="12" t="s">
        <v>5</v>
      </c>
      <c r="AE17" s="20">
        <v>45702</v>
      </c>
      <c r="AF17" s="12" t="s">
        <v>2450</v>
      </c>
      <c r="AG17" s="20">
        <f>AE17+7</f>
        <v>45709</v>
      </c>
      <c r="AH17" s="20">
        <v>45705</v>
      </c>
      <c r="AI17" s="91">
        <f>AH17-AG17</f>
        <v>-4</v>
      </c>
      <c r="AJ17" s="12" t="s">
        <v>2466</v>
      </c>
      <c r="AK17" s="10"/>
      <c r="AL17" s="14"/>
      <c r="AM17" s="12"/>
      <c r="AN17" s="12"/>
      <c r="AO17" s="14"/>
      <c r="AP17" s="92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2"/>
      <c r="BF17" s="259"/>
    </row>
    <row r="18" spans="1:58" s="381" customFormat="1" ht="42" customHeight="1" x14ac:dyDescent="0.25">
      <c r="A18" s="367">
        <v>730007</v>
      </c>
      <c r="B18" s="11" t="s">
        <v>5</v>
      </c>
      <c r="C18" s="56" t="s">
        <v>725</v>
      </c>
      <c r="D18" s="12" t="s">
        <v>367</v>
      </c>
      <c r="E18" s="12" t="s">
        <v>368</v>
      </c>
      <c r="F18" s="16" t="s">
        <v>369</v>
      </c>
      <c r="G18" s="16" t="s">
        <v>179</v>
      </c>
      <c r="H18" s="10" t="s">
        <v>95</v>
      </c>
      <c r="I18" s="16" t="s">
        <v>3</v>
      </c>
      <c r="J18" s="14">
        <v>45578</v>
      </c>
      <c r="K18" s="12" t="s">
        <v>370</v>
      </c>
      <c r="L18" s="20">
        <f t="shared" si="0"/>
        <v>45585</v>
      </c>
      <c r="M18" s="14">
        <v>45589</v>
      </c>
      <c r="N18" s="92">
        <f t="shared" si="1"/>
        <v>4</v>
      </c>
      <c r="O18" s="12" t="s">
        <v>372</v>
      </c>
      <c r="P18" s="16" t="s">
        <v>18</v>
      </c>
      <c r="Q18" s="20">
        <v>45593</v>
      </c>
      <c r="R18" s="12" t="s">
        <v>583</v>
      </c>
      <c r="S18" s="20">
        <f t="shared" si="2"/>
        <v>45600</v>
      </c>
      <c r="T18" s="20">
        <v>45600</v>
      </c>
      <c r="U18" s="91">
        <f t="shared" si="3"/>
        <v>0</v>
      </c>
      <c r="V18" s="12" t="s">
        <v>607</v>
      </c>
      <c r="W18" s="12" t="s">
        <v>18</v>
      </c>
      <c r="X18" s="20">
        <v>45783</v>
      </c>
      <c r="Y18" s="12" t="s">
        <v>3198</v>
      </c>
      <c r="Z18" s="20">
        <f t="shared" si="4"/>
        <v>45790</v>
      </c>
      <c r="AA18" s="20">
        <v>45790</v>
      </c>
      <c r="AB18" s="91">
        <f t="shared" si="5"/>
        <v>0</v>
      </c>
      <c r="AC18" s="12" t="s">
        <v>3221</v>
      </c>
      <c r="AD18" s="12" t="s">
        <v>5</v>
      </c>
      <c r="AE18" s="20">
        <v>45796</v>
      </c>
      <c r="AF18" s="12" t="s">
        <v>3321</v>
      </c>
      <c r="AG18" s="20">
        <f>AE18+7</f>
        <v>45803</v>
      </c>
      <c r="AH18" s="20">
        <v>45830</v>
      </c>
      <c r="AI18" s="91">
        <f>AH18-AG18</f>
        <v>27</v>
      </c>
      <c r="AJ18" s="12" t="s">
        <v>3329</v>
      </c>
      <c r="AK18" s="10"/>
      <c r="AL18" s="14"/>
      <c r="AM18" s="12"/>
      <c r="AN18" s="12"/>
      <c r="AO18" s="14"/>
      <c r="AP18" s="92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2"/>
      <c r="BF18" s="259"/>
    </row>
    <row r="19" spans="1:58" s="381" customFormat="1" ht="42" customHeight="1" x14ac:dyDescent="0.25">
      <c r="A19" s="367">
        <v>730007</v>
      </c>
      <c r="B19" s="11" t="s">
        <v>5</v>
      </c>
      <c r="C19" s="56" t="s">
        <v>588</v>
      </c>
      <c r="D19" s="12" t="s">
        <v>430</v>
      </c>
      <c r="E19" s="12" t="s">
        <v>431</v>
      </c>
      <c r="F19" s="10" t="s">
        <v>5064</v>
      </c>
      <c r="G19" s="10" t="s">
        <v>179</v>
      </c>
      <c r="H19" s="10" t="s">
        <v>95</v>
      </c>
      <c r="I19" s="16" t="s">
        <v>3</v>
      </c>
      <c r="J19" s="14">
        <v>45586</v>
      </c>
      <c r="K19" s="12" t="s">
        <v>471</v>
      </c>
      <c r="L19" s="20">
        <f t="shared" si="0"/>
        <v>45593</v>
      </c>
      <c r="M19" s="14">
        <v>45595</v>
      </c>
      <c r="N19" s="92">
        <f t="shared" si="1"/>
        <v>2</v>
      </c>
      <c r="O19" s="12" t="s">
        <v>486</v>
      </c>
      <c r="P19" s="16" t="s">
        <v>18</v>
      </c>
      <c r="Q19" s="20">
        <v>45598</v>
      </c>
      <c r="R19" s="12" t="s">
        <v>959</v>
      </c>
      <c r="S19" s="20">
        <f t="shared" si="2"/>
        <v>45605</v>
      </c>
      <c r="T19" s="20">
        <v>45609</v>
      </c>
      <c r="U19" s="91">
        <f t="shared" si="3"/>
        <v>4</v>
      </c>
      <c r="V19" s="12" t="s">
        <v>673</v>
      </c>
      <c r="W19" s="12" t="s">
        <v>5</v>
      </c>
      <c r="X19" s="20">
        <v>45990</v>
      </c>
      <c r="Y19" s="12" t="s">
        <v>5065</v>
      </c>
      <c r="Z19" s="20">
        <f t="shared" si="4"/>
        <v>45997</v>
      </c>
      <c r="AA19" s="20">
        <v>45991</v>
      </c>
      <c r="AB19" s="91">
        <f t="shared" si="5"/>
        <v>-6</v>
      </c>
      <c r="AC19" s="12" t="s">
        <v>5067</v>
      </c>
      <c r="AD19" s="12"/>
      <c r="AE19" s="20"/>
      <c r="AF19" s="12"/>
      <c r="AG19" s="12"/>
      <c r="AH19" s="20"/>
      <c r="AI19" s="20"/>
      <c r="AJ19" s="12"/>
      <c r="AK19" s="10"/>
      <c r="AL19" s="14"/>
      <c r="AM19" s="12"/>
      <c r="AN19" s="12"/>
      <c r="AO19" s="14"/>
      <c r="AP19" s="92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2"/>
      <c r="BF19" s="259"/>
    </row>
    <row r="20" spans="1:58" s="381" customFormat="1" ht="42" customHeight="1" x14ac:dyDescent="0.25">
      <c r="A20" s="367">
        <v>730007</v>
      </c>
      <c r="B20" s="10" t="s">
        <v>5</v>
      </c>
      <c r="C20" s="13" t="s">
        <v>588</v>
      </c>
      <c r="D20" s="12" t="s">
        <v>496</v>
      </c>
      <c r="E20" s="12" t="s">
        <v>497</v>
      </c>
      <c r="F20" s="10" t="s">
        <v>498</v>
      </c>
      <c r="G20" s="10" t="s">
        <v>179</v>
      </c>
      <c r="H20" s="10" t="s">
        <v>95</v>
      </c>
      <c r="I20" s="10" t="s">
        <v>3</v>
      </c>
      <c r="J20" s="14">
        <v>45588</v>
      </c>
      <c r="K20" s="12" t="s">
        <v>499</v>
      </c>
      <c r="L20" s="20">
        <f t="shared" si="0"/>
        <v>45595</v>
      </c>
      <c r="M20" s="14">
        <v>45600</v>
      </c>
      <c r="N20" s="92">
        <f t="shared" si="1"/>
        <v>5</v>
      </c>
      <c r="O20" s="12" t="s">
        <v>501</v>
      </c>
      <c r="P20" s="10" t="s">
        <v>3</v>
      </c>
      <c r="Q20" s="20">
        <v>45614</v>
      </c>
      <c r="R20" s="12" t="s">
        <v>963</v>
      </c>
      <c r="S20" s="20">
        <f t="shared" si="2"/>
        <v>45621</v>
      </c>
      <c r="T20" s="20">
        <v>45623</v>
      </c>
      <c r="U20" s="91">
        <f t="shared" si="3"/>
        <v>2</v>
      </c>
      <c r="V20" s="12" t="s">
        <v>1093</v>
      </c>
      <c r="W20" s="12" t="s">
        <v>5</v>
      </c>
      <c r="X20" s="20">
        <v>45636</v>
      </c>
      <c r="Y20" s="12" t="s">
        <v>1357</v>
      </c>
      <c r="Z20" s="20">
        <f t="shared" si="4"/>
        <v>45643</v>
      </c>
      <c r="AA20" s="20">
        <v>45649</v>
      </c>
      <c r="AB20" s="91">
        <f t="shared" si="5"/>
        <v>6</v>
      </c>
      <c r="AC20" s="12" t="s">
        <v>1375</v>
      </c>
      <c r="AD20" s="12"/>
      <c r="AE20" s="20"/>
      <c r="AF20" s="12"/>
      <c r="AG20" s="12"/>
      <c r="AH20" s="20"/>
      <c r="AI20" s="20"/>
      <c r="AJ20" s="12"/>
      <c r="AK20" s="10"/>
      <c r="AL20" s="14"/>
      <c r="AM20" s="12"/>
      <c r="AN20" s="12"/>
      <c r="AO20" s="14"/>
      <c r="AP20" s="92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2"/>
      <c r="BF20" s="259"/>
    </row>
    <row r="21" spans="1:58" s="381" customFormat="1" ht="42" customHeight="1" x14ac:dyDescent="0.25">
      <c r="A21" s="367">
        <v>730007</v>
      </c>
      <c r="B21" s="11" t="s">
        <v>5</v>
      </c>
      <c r="C21" s="56" t="s">
        <v>588</v>
      </c>
      <c r="D21" s="12" t="s">
        <v>1185</v>
      </c>
      <c r="E21" s="12" t="s">
        <v>1186</v>
      </c>
      <c r="F21" s="10" t="s">
        <v>1187</v>
      </c>
      <c r="G21" s="10" t="s">
        <v>179</v>
      </c>
      <c r="H21" s="10" t="s">
        <v>95</v>
      </c>
      <c r="I21" s="16" t="s">
        <v>3</v>
      </c>
      <c r="J21" s="14">
        <v>45629</v>
      </c>
      <c r="K21" s="12" t="s">
        <v>1188</v>
      </c>
      <c r="L21" s="20">
        <f t="shared" si="0"/>
        <v>45636</v>
      </c>
      <c r="M21" s="14">
        <v>45641</v>
      </c>
      <c r="N21" s="92">
        <f t="shared" si="1"/>
        <v>5</v>
      </c>
      <c r="O21" s="12" t="s">
        <v>1241</v>
      </c>
      <c r="P21" s="16" t="s">
        <v>18</v>
      </c>
      <c r="Q21" s="20">
        <v>45644</v>
      </c>
      <c r="R21" s="12" t="s">
        <v>1530</v>
      </c>
      <c r="S21" s="20">
        <f t="shared" si="2"/>
        <v>45651</v>
      </c>
      <c r="T21" s="20">
        <v>45654</v>
      </c>
      <c r="U21" s="91">
        <f t="shared" ref="U21:U26" si="6">T21-S21</f>
        <v>3</v>
      </c>
      <c r="V21" s="12" t="s">
        <v>1543</v>
      </c>
      <c r="W21" s="12" t="s">
        <v>5</v>
      </c>
      <c r="X21" s="20">
        <v>46090</v>
      </c>
      <c r="Y21" s="12" t="s">
        <v>5996</v>
      </c>
      <c r="Z21" s="20">
        <f t="shared" si="4"/>
        <v>46097</v>
      </c>
      <c r="AA21" s="20">
        <v>46091</v>
      </c>
      <c r="AB21" s="91">
        <f t="shared" si="5"/>
        <v>-6</v>
      </c>
      <c r="AC21" s="12" t="s">
        <v>5999</v>
      </c>
      <c r="AD21" s="12"/>
      <c r="AE21" s="20"/>
      <c r="AF21" s="12"/>
      <c r="AG21" s="12"/>
      <c r="AH21" s="20"/>
      <c r="AI21" s="20"/>
      <c r="AJ21" s="12"/>
      <c r="AK21" s="10"/>
      <c r="AL21" s="14"/>
      <c r="AM21" s="12"/>
      <c r="AN21" s="12"/>
      <c r="AO21" s="14"/>
      <c r="AP21" s="92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2"/>
      <c r="BF21" s="259"/>
    </row>
    <row r="22" spans="1:58" s="381" customFormat="1" ht="42" customHeight="1" x14ac:dyDescent="0.25">
      <c r="A22" s="367">
        <v>730007</v>
      </c>
      <c r="B22" s="11" t="s">
        <v>5</v>
      </c>
      <c r="C22" s="56" t="s">
        <v>208</v>
      </c>
      <c r="D22" s="12" t="s">
        <v>1854</v>
      </c>
      <c r="E22" s="12" t="s">
        <v>1855</v>
      </c>
      <c r="F22" s="10" t="s">
        <v>1856</v>
      </c>
      <c r="G22" s="10" t="s">
        <v>179</v>
      </c>
      <c r="H22" s="10" t="s">
        <v>95</v>
      </c>
      <c r="I22" s="16" t="s">
        <v>18</v>
      </c>
      <c r="J22" s="14">
        <v>45663</v>
      </c>
      <c r="K22" s="12" t="s">
        <v>1857</v>
      </c>
      <c r="L22" s="20">
        <f t="shared" si="0"/>
        <v>45670</v>
      </c>
      <c r="M22" s="14">
        <v>45671</v>
      </c>
      <c r="N22" s="92">
        <f t="shared" si="1"/>
        <v>1</v>
      </c>
      <c r="O22" s="12" t="s">
        <v>1867</v>
      </c>
      <c r="P22" s="16" t="s">
        <v>5</v>
      </c>
      <c r="Q22" s="20">
        <v>45707</v>
      </c>
      <c r="R22" s="12" t="s">
        <v>2528</v>
      </c>
      <c r="S22" s="20">
        <f>Q22+7</f>
        <v>45714</v>
      </c>
      <c r="T22" s="20">
        <v>45731</v>
      </c>
      <c r="U22" s="91">
        <f t="shared" si="6"/>
        <v>17</v>
      </c>
      <c r="V22" s="12" t="s">
        <v>2554</v>
      </c>
      <c r="W22" s="12"/>
      <c r="X22" s="20"/>
      <c r="Y22" s="12"/>
      <c r="Z22" s="12"/>
      <c r="AA22" s="20"/>
      <c r="AB22" s="91"/>
      <c r="AC22" s="12"/>
      <c r="AD22" s="12"/>
      <c r="AE22" s="20"/>
      <c r="AF22" s="12"/>
      <c r="AG22" s="12"/>
      <c r="AH22" s="20"/>
      <c r="AI22" s="20"/>
      <c r="AJ22" s="12"/>
      <c r="AK22" s="10"/>
      <c r="AL22" s="14"/>
      <c r="AM22" s="12"/>
      <c r="AN22" s="12"/>
      <c r="AO22" s="14"/>
      <c r="AP22" s="92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2"/>
      <c r="BF22" s="259"/>
    </row>
    <row r="23" spans="1:58" s="381" customFormat="1" ht="42" customHeight="1" x14ac:dyDescent="0.25">
      <c r="A23" s="367">
        <v>730007</v>
      </c>
      <c r="B23" s="58" t="s">
        <v>508</v>
      </c>
      <c r="C23" s="56" t="s">
        <v>627</v>
      </c>
      <c r="D23" s="12" t="s">
        <v>1954</v>
      </c>
      <c r="E23" s="12" t="s">
        <v>1955</v>
      </c>
      <c r="F23" s="10" t="s">
        <v>1956</v>
      </c>
      <c r="G23" s="10" t="s">
        <v>179</v>
      </c>
      <c r="H23" s="10" t="s">
        <v>95</v>
      </c>
      <c r="I23" s="16" t="s">
        <v>3</v>
      </c>
      <c r="J23" s="14">
        <v>45670</v>
      </c>
      <c r="K23" s="12" t="s">
        <v>1957</v>
      </c>
      <c r="L23" s="20">
        <f t="shared" ref="L23:L30" si="7">J23+7</f>
        <v>45677</v>
      </c>
      <c r="M23" s="14">
        <v>45678</v>
      </c>
      <c r="N23" s="92">
        <f t="shared" ref="N23:N29" si="8">M23-L23</f>
        <v>1</v>
      </c>
      <c r="O23" s="12" t="s">
        <v>1964</v>
      </c>
      <c r="P23" s="16" t="s">
        <v>18</v>
      </c>
      <c r="Q23" s="20">
        <v>45685</v>
      </c>
      <c r="R23" s="12" t="s">
        <v>2182</v>
      </c>
      <c r="S23" s="20">
        <f t="shared" si="2"/>
        <v>45692</v>
      </c>
      <c r="T23" s="20">
        <v>45697</v>
      </c>
      <c r="U23" s="91">
        <f t="shared" si="6"/>
        <v>5</v>
      </c>
      <c r="V23" s="12" t="s">
        <v>2221</v>
      </c>
      <c r="W23" s="12" t="s">
        <v>508</v>
      </c>
      <c r="X23" s="20">
        <v>46083</v>
      </c>
      <c r="Y23" s="12" t="s">
        <v>5922</v>
      </c>
      <c r="Z23" s="12" t="s">
        <v>626</v>
      </c>
      <c r="AA23" s="20" t="s">
        <v>626</v>
      </c>
      <c r="AB23" s="91" t="s">
        <v>626</v>
      </c>
      <c r="AC23" s="12" t="s">
        <v>626</v>
      </c>
      <c r="AD23" s="12"/>
      <c r="AE23" s="20"/>
      <c r="AF23" s="12"/>
      <c r="AG23" s="12"/>
      <c r="AH23" s="20"/>
      <c r="AI23" s="20"/>
      <c r="AJ23" s="12"/>
      <c r="AK23" s="10"/>
      <c r="AL23" s="14"/>
      <c r="AM23" s="12"/>
      <c r="AN23" s="12"/>
      <c r="AO23" s="14"/>
      <c r="AP23" s="92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2"/>
      <c r="BF23" s="259"/>
    </row>
    <row r="24" spans="1:58" s="381" customFormat="1" ht="42" customHeight="1" x14ac:dyDescent="0.25">
      <c r="A24" s="367">
        <v>730007</v>
      </c>
      <c r="B24" s="12" t="s">
        <v>5</v>
      </c>
      <c r="C24" s="56" t="s">
        <v>588</v>
      </c>
      <c r="D24" s="12" t="s">
        <v>1968</v>
      </c>
      <c r="E24" s="12" t="s">
        <v>1969</v>
      </c>
      <c r="F24" s="10" t="s">
        <v>1970</v>
      </c>
      <c r="G24" s="10" t="s">
        <v>179</v>
      </c>
      <c r="H24" s="10" t="s">
        <v>95</v>
      </c>
      <c r="I24" s="16" t="s">
        <v>18</v>
      </c>
      <c r="J24" s="14">
        <v>45670</v>
      </c>
      <c r="K24" s="12" t="s">
        <v>1971</v>
      </c>
      <c r="L24" s="20">
        <f t="shared" si="7"/>
        <v>45677</v>
      </c>
      <c r="M24" s="14">
        <v>45678</v>
      </c>
      <c r="N24" s="92">
        <f t="shared" si="8"/>
        <v>1</v>
      </c>
      <c r="O24" s="12" t="s">
        <v>1977</v>
      </c>
      <c r="P24" s="16" t="s">
        <v>18</v>
      </c>
      <c r="Q24" s="20">
        <v>45786</v>
      </c>
      <c r="R24" s="12" t="s">
        <v>3229</v>
      </c>
      <c r="S24" s="20">
        <f t="shared" si="2"/>
        <v>45793</v>
      </c>
      <c r="T24" s="20">
        <v>45795</v>
      </c>
      <c r="U24" s="91">
        <f t="shared" si="6"/>
        <v>2</v>
      </c>
      <c r="V24" s="12" t="s">
        <v>3246</v>
      </c>
      <c r="W24" s="12" t="s">
        <v>5</v>
      </c>
      <c r="X24" s="20">
        <v>45806</v>
      </c>
      <c r="Y24" s="12" t="s">
        <v>3402</v>
      </c>
      <c r="Z24" s="20">
        <f>X24+7</f>
        <v>45813</v>
      </c>
      <c r="AA24" s="20">
        <v>45830</v>
      </c>
      <c r="AB24" s="95">
        <f>AA24-Z24</f>
        <v>17</v>
      </c>
      <c r="AC24" s="151" t="s">
        <v>3425</v>
      </c>
      <c r="AD24" s="12"/>
      <c r="AE24" s="20"/>
      <c r="AF24" s="12"/>
      <c r="AG24" s="12"/>
      <c r="AH24" s="20"/>
      <c r="AI24" s="20"/>
      <c r="AJ24" s="12"/>
      <c r="AK24" s="10"/>
      <c r="AL24" s="14"/>
      <c r="AM24" s="12"/>
      <c r="AN24" s="12"/>
      <c r="AO24" s="14"/>
      <c r="AP24" s="92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2"/>
      <c r="BF24" s="259"/>
    </row>
    <row r="25" spans="1:58" s="381" customFormat="1" ht="42" customHeight="1" x14ac:dyDescent="0.25">
      <c r="A25" s="367">
        <v>730007</v>
      </c>
      <c r="B25" s="12" t="s">
        <v>5</v>
      </c>
      <c r="C25" s="56" t="s">
        <v>588</v>
      </c>
      <c r="D25" s="12" t="s">
        <v>1994</v>
      </c>
      <c r="E25" s="12" t="s">
        <v>1993</v>
      </c>
      <c r="F25" s="10" t="s">
        <v>1995</v>
      </c>
      <c r="G25" s="10" t="s">
        <v>179</v>
      </c>
      <c r="H25" s="10" t="s">
        <v>95</v>
      </c>
      <c r="I25" s="16" t="s">
        <v>3</v>
      </c>
      <c r="J25" s="14">
        <v>45671</v>
      </c>
      <c r="K25" s="12" t="s">
        <v>1996</v>
      </c>
      <c r="L25" s="20">
        <f t="shared" si="7"/>
        <v>45678</v>
      </c>
      <c r="M25" s="14">
        <v>45680</v>
      </c>
      <c r="N25" s="92">
        <f t="shared" si="8"/>
        <v>2</v>
      </c>
      <c r="O25" s="12" t="s">
        <v>2019</v>
      </c>
      <c r="P25" s="16" t="s">
        <v>18</v>
      </c>
      <c r="Q25" s="20">
        <v>45690</v>
      </c>
      <c r="R25" s="12" t="s">
        <v>2278</v>
      </c>
      <c r="S25" s="20">
        <f>Q25+7</f>
        <v>45697</v>
      </c>
      <c r="T25" s="20">
        <v>45699</v>
      </c>
      <c r="U25" s="91">
        <f t="shared" si="6"/>
        <v>2</v>
      </c>
      <c r="V25" s="12" t="s">
        <v>2284</v>
      </c>
      <c r="W25" s="12" t="s">
        <v>5</v>
      </c>
      <c r="X25" s="20">
        <v>45796</v>
      </c>
      <c r="Y25" s="12" t="s">
        <v>3323</v>
      </c>
      <c r="Z25" s="20">
        <f>X25+7</f>
        <v>45803</v>
      </c>
      <c r="AA25" s="20">
        <v>45806</v>
      </c>
      <c r="AB25" s="95">
        <f>AA25-Z25</f>
        <v>3</v>
      </c>
      <c r="AC25" s="12" t="s">
        <v>3332</v>
      </c>
      <c r="AD25" s="12"/>
      <c r="AE25" s="20"/>
      <c r="AF25" s="12"/>
      <c r="AG25" s="12"/>
      <c r="AH25" s="20"/>
      <c r="AI25" s="20"/>
      <c r="AJ25" s="12"/>
      <c r="AK25" s="10"/>
      <c r="AL25" s="14"/>
      <c r="AM25" s="12"/>
      <c r="AN25" s="12"/>
      <c r="AO25" s="14"/>
      <c r="AP25" s="92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2"/>
      <c r="BF25" s="259"/>
    </row>
    <row r="26" spans="1:58" s="381" customFormat="1" ht="42" customHeight="1" x14ac:dyDescent="0.25">
      <c r="A26" s="367">
        <v>730007</v>
      </c>
      <c r="B26" s="12" t="s">
        <v>5</v>
      </c>
      <c r="C26" s="56" t="s">
        <v>208</v>
      </c>
      <c r="D26" s="12" t="s">
        <v>2014</v>
      </c>
      <c r="E26" s="12" t="s">
        <v>2015</v>
      </c>
      <c r="F26" s="10" t="s">
        <v>2016</v>
      </c>
      <c r="G26" s="10" t="s">
        <v>179</v>
      </c>
      <c r="H26" s="10" t="s">
        <v>95</v>
      </c>
      <c r="I26" s="16" t="s">
        <v>3</v>
      </c>
      <c r="J26" s="14">
        <v>45672</v>
      </c>
      <c r="K26" s="12" t="s">
        <v>2017</v>
      </c>
      <c r="L26" s="20">
        <f t="shared" si="7"/>
        <v>45679</v>
      </c>
      <c r="M26" s="14">
        <v>45678</v>
      </c>
      <c r="N26" s="92">
        <f t="shared" si="8"/>
        <v>-1</v>
      </c>
      <c r="O26" s="12" t="s">
        <v>2024</v>
      </c>
      <c r="P26" s="16" t="s">
        <v>5</v>
      </c>
      <c r="Q26" s="20">
        <v>45704</v>
      </c>
      <c r="R26" s="12" t="s">
        <v>2488</v>
      </c>
      <c r="S26" s="20">
        <f>Q26+7</f>
        <v>45711</v>
      </c>
      <c r="T26" s="21">
        <v>45712</v>
      </c>
      <c r="U26" s="91">
        <f t="shared" si="6"/>
        <v>1</v>
      </c>
      <c r="V26" s="12" t="s">
        <v>2493</v>
      </c>
      <c r="W26" s="12"/>
      <c r="X26" s="20"/>
      <c r="Y26" s="12"/>
      <c r="Z26" s="12"/>
      <c r="AA26" s="20"/>
      <c r="AB26" s="91"/>
      <c r="AC26" s="12"/>
      <c r="AD26" s="12"/>
      <c r="AE26" s="20"/>
      <c r="AF26" s="12"/>
      <c r="AG26" s="12"/>
      <c r="AH26" s="20"/>
      <c r="AI26" s="20"/>
      <c r="AJ26" s="12"/>
      <c r="AK26" s="10"/>
      <c r="AL26" s="14"/>
      <c r="AM26" s="12"/>
      <c r="AN26" s="12"/>
      <c r="AO26" s="14"/>
      <c r="AP26" s="92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2"/>
      <c r="BF26" s="259"/>
    </row>
    <row r="27" spans="1:58" s="381" customFormat="1" ht="42" customHeight="1" x14ac:dyDescent="0.25">
      <c r="A27" s="367">
        <v>730007</v>
      </c>
      <c r="B27" s="11" t="s">
        <v>5</v>
      </c>
      <c r="C27" s="56" t="s">
        <v>54</v>
      </c>
      <c r="D27" s="12" t="s">
        <v>2030</v>
      </c>
      <c r="E27" s="12" t="s">
        <v>2031</v>
      </c>
      <c r="F27" s="10" t="s">
        <v>2032</v>
      </c>
      <c r="G27" s="10" t="s">
        <v>179</v>
      </c>
      <c r="H27" s="10" t="s">
        <v>95</v>
      </c>
      <c r="I27" s="16" t="s">
        <v>5</v>
      </c>
      <c r="J27" s="14">
        <v>45675</v>
      </c>
      <c r="K27" s="12" t="s">
        <v>2033</v>
      </c>
      <c r="L27" s="20">
        <f t="shared" si="7"/>
        <v>45682</v>
      </c>
      <c r="M27" s="14">
        <v>45680</v>
      </c>
      <c r="N27" s="92">
        <f t="shared" si="8"/>
        <v>-2</v>
      </c>
      <c r="O27" s="12" t="s">
        <v>2035</v>
      </c>
      <c r="P27" s="16"/>
      <c r="Q27" s="20"/>
      <c r="R27" s="12"/>
      <c r="S27" s="20"/>
      <c r="T27" s="20"/>
      <c r="U27" s="91"/>
      <c r="V27" s="12"/>
      <c r="W27" s="12"/>
      <c r="X27" s="20"/>
      <c r="Y27" s="12"/>
      <c r="Z27" s="12"/>
      <c r="AA27" s="20"/>
      <c r="AB27" s="91"/>
      <c r="AC27" s="12"/>
      <c r="AD27" s="12"/>
      <c r="AE27" s="20"/>
      <c r="AF27" s="12"/>
      <c r="AG27" s="12"/>
      <c r="AH27" s="20"/>
      <c r="AI27" s="20"/>
      <c r="AJ27" s="12"/>
      <c r="AK27" s="10"/>
      <c r="AL27" s="14"/>
      <c r="AM27" s="12"/>
      <c r="AN27" s="12"/>
      <c r="AO27" s="14"/>
      <c r="AP27" s="92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2"/>
      <c r="BF27" s="259"/>
    </row>
    <row r="28" spans="1:58" s="381" customFormat="1" ht="42" customHeight="1" x14ac:dyDescent="0.25">
      <c r="A28" s="367">
        <v>730007</v>
      </c>
      <c r="B28" s="11" t="s">
        <v>5</v>
      </c>
      <c r="C28" s="56" t="s">
        <v>588</v>
      </c>
      <c r="D28" s="12" t="s">
        <v>2054</v>
      </c>
      <c r="E28" s="12" t="s">
        <v>2055</v>
      </c>
      <c r="F28" s="16" t="s">
        <v>2056</v>
      </c>
      <c r="G28" s="10" t="s">
        <v>179</v>
      </c>
      <c r="H28" s="10" t="s">
        <v>95</v>
      </c>
      <c r="I28" s="16" t="s">
        <v>18</v>
      </c>
      <c r="J28" s="14">
        <v>45677</v>
      </c>
      <c r="K28" s="13" t="s">
        <v>2057</v>
      </c>
      <c r="L28" s="14">
        <f t="shared" si="7"/>
        <v>45684</v>
      </c>
      <c r="M28" s="14">
        <v>45683</v>
      </c>
      <c r="N28" s="92">
        <f t="shared" si="8"/>
        <v>-1</v>
      </c>
      <c r="O28" s="10" t="s">
        <v>2150</v>
      </c>
      <c r="P28" s="129" t="s">
        <v>18</v>
      </c>
      <c r="Q28" s="21">
        <v>45796</v>
      </c>
      <c r="R28" s="10" t="s">
        <v>3322</v>
      </c>
      <c r="S28" s="20">
        <f>Q28+7</f>
        <v>45803</v>
      </c>
      <c r="T28" s="21">
        <v>45830</v>
      </c>
      <c r="U28" s="91">
        <f>T28-S28</f>
        <v>27</v>
      </c>
      <c r="V28" s="10" t="s">
        <v>3330</v>
      </c>
      <c r="W28" s="10" t="s">
        <v>5</v>
      </c>
      <c r="X28" s="21">
        <v>45836</v>
      </c>
      <c r="Y28" s="150" t="s">
        <v>3545</v>
      </c>
      <c r="Z28" s="20">
        <f>X28+7</f>
        <v>45843</v>
      </c>
      <c r="AA28" s="21">
        <v>45851</v>
      </c>
      <c r="AB28" s="95">
        <f>AA28-Z28</f>
        <v>8</v>
      </c>
      <c r="AC28" s="151" t="s">
        <v>3550</v>
      </c>
      <c r="AD28" s="10"/>
      <c r="AE28" s="21"/>
      <c r="AF28" s="10"/>
      <c r="AG28" s="10"/>
      <c r="AH28" s="21"/>
      <c r="AI28" s="21"/>
      <c r="AJ28" s="10"/>
      <c r="AK28" s="10"/>
      <c r="AL28" s="17"/>
      <c r="AM28" s="11"/>
      <c r="AN28" s="11"/>
      <c r="AO28" s="17"/>
      <c r="AP28" s="123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1"/>
      <c r="BF28" s="259"/>
    </row>
    <row r="29" spans="1:58" s="381" customFormat="1" ht="42" customHeight="1" x14ac:dyDescent="0.25">
      <c r="A29" s="367">
        <v>730007</v>
      </c>
      <c r="B29" s="58" t="s">
        <v>508</v>
      </c>
      <c r="C29" s="56" t="s">
        <v>627</v>
      </c>
      <c r="D29" s="12" t="s">
        <v>2058</v>
      </c>
      <c r="E29" s="12" t="s">
        <v>2059</v>
      </c>
      <c r="F29" s="16" t="s">
        <v>2060</v>
      </c>
      <c r="G29" s="10" t="s">
        <v>179</v>
      </c>
      <c r="H29" s="10" t="s">
        <v>95</v>
      </c>
      <c r="I29" s="16" t="s">
        <v>3</v>
      </c>
      <c r="J29" s="14">
        <v>45680</v>
      </c>
      <c r="K29" s="13" t="s">
        <v>2113</v>
      </c>
      <c r="L29" s="14">
        <f t="shared" si="7"/>
        <v>45687</v>
      </c>
      <c r="M29" s="14">
        <v>45691</v>
      </c>
      <c r="N29" s="92">
        <f t="shared" si="8"/>
        <v>4</v>
      </c>
      <c r="O29" s="10" t="s">
        <v>2115</v>
      </c>
      <c r="P29" s="88" t="s">
        <v>508</v>
      </c>
      <c r="Q29" s="21">
        <v>45778</v>
      </c>
      <c r="R29" s="10" t="s">
        <v>3131</v>
      </c>
      <c r="S29" s="10" t="s">
        <v>626</v>
      </c>
      <c r="T29" s="21" t="s">
        <v>626</v>
      </c>
      <c r="U29" s="21" t="s">
        <v>626</v>
      </c>
      <c r="V29" s="10" t="s">
        <v>626</v>
      </c>
      <c r="W29" s="10"/>
      <c r="X29" s="21"/>
      <c r="Y29" s="10"/>
      <c r="Z29" s="10"/>
      <c r="AA29" s="21"/>
      <c r="AB29" s="95"/>
      <c r="AC29" s="10"/>
      <c r="AD29" s="10"/>
      <c r="AE29" s="21"/>
      <c r="AF29" s="10"/>
      <c r="AG29" s="10"/>
      <c r="AH29" s="21"/>
      <c r="AI29" s="21"/>
      <c r="AJ29" s="10"/>
      <c r="AK29" s="10"/>
      <c r="AL29" s="17"/>
      <c r="AM29" s="11"/>
      <c r="AN29" s="11"/>
      <c r="AO29" s="17"/>
      <c r="AP29" s="123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1"/>
      <c r="BF29" s="259"/>
    </row>
    <row r="30" spans="1:58" s="381" customFormat="1" ht="42" customHeight="1" x14ac:dyDescent="0.25">
      <c r="A30" s="367">
        <v>730007</v>
      </c>
      <c r="B30" s="11" t="s">
        <v>5</v>
      </c>
      <c r="C30" s="56" t="s">
        <v>588</v>
      </c>
      <c r="D30" s="12" t="s">
        <v>2108</v>
      </c>
      <c r="E30" s="12" t="s">
        <v>2107</v>
      </c>
      <c r="F30" s="16" t="s">
        <v>2106</v>
      </c>
      <c r="G30" s="10" t="s">
        <v>179</v>
      </c>
      <c r="H30" s="10" t="s">
        <v>95</v>
      </c>
      <c r="I30" s="16" t="s">
        <v>18</v>
      </c>
      <c r="J30" s="14">
        <v>45680</v>
      </c>
      <c r="K30" s="13" t="s">
        <v>2109</v>
      </c>
      <c r="L30" s="14">
        <f t="shared" si="7"/>
        <v>45687</v>
      </c>
      <c r="M30" s="14">
        <v>45691</v>
      </c>
      <c r="N30" s="92">
        <f t="shared" ref="N30:N54" si="9">M30-L30</f>
        <v>4</v>
      </c>
      <c r="O30" s="10" t="s">
        <v>2114</v>
      </c>
      <c r="P30" s="10" t="s">
        <v>18</v>
      </c>
      <c r="Q30" s="21">
        <v>46202</v>
      </c>
      <c r="R30" s="10" t="s">
        <v>7138</v>
      </c>
      <c r="S30" s="20">
        <f>Q30+7</f>
        <v>46209</v>
      </c>
      <c r="T30" s="21">
        <v>46212</v>
      </c>
      <c r="U30" s="91">
        <f>T30-S30</f>
        <v>3</v>
      </c>
      <c r="V30" s="10" t="s">
        <v>7152</v>
      </c>
      <c r="W30" s="10" t="s">
        <v>5</v>
      </c>
      <c r="X30" s="21">
        <v>46217</v>
      </c>
      <c r="Y30" s="10" t="s">
        <v>7278</v>
      </c>
      <c r="Z30" s="20">
        <f>X30+7</f>
        <v>46224</v>
      </c>
      <c r="AA30" s="21">
        <v>46222</v>
      </c>
      <c r="AB30" s="95">
        <f>AA30-Z30</f>
        <v>-2</v>
      </c>
      <c r="AC30" s="151" t="s">
        <v>7295</v>
      </c>
      <c r="AD30" s="10"/>
      <c r="AE30" s="21"/>
      <c r="AF30" s="10"/>
      <c r="AG30" s="10"/>
      <c r="AH30" s="21"/>
      <c r="AI30" s="21"/>
      <c r="AJ30" s="10"/>
      <c r="AK30" s="10"/>
      <c r="AL30" s="17"/>
      <c r="AM30" s="11"/>
      <c r="AN30" s="11"/>
      <c r="AO30" s="17"/>
      <c r="AP30" s="123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1"/>
      <c r="BF30" s="259"/>
    </row>
    <row r="31" spans="1:58" s="381" customFormat="1" ht="42" customHeight="1" x14ac:dyDescent="0.25">
      <c r="A31" s="367">
        <v>730007</v>
      </c>
      <c r="B31" s="11" t="s">
        <v>5</v>
      </c>
      <c r="C31" s="56" t="s">
        <v>588</v>
      </c>
      <c r="D31" s="12" t="s">
        <v>2201</v>
      </c>
      <c r="E31" s="12" t="s">
        <v>2202</v>
      </c>
      <c r="F31" s="16" t="s">
        <v>2203</v>
      </c>
      <c r="G31" s="10" t="s">
        <v>179</v>
      </c>
      <c r="H31" s="10" t="s">
        <v>95</v>
      </c>
      <c r="I31" s="16" t="s">
        <v>18</v>
      </c>
      <c r="J31" s="14">
        <v>45686</v>
      </c>
      <c r="K31" s="13" t="s">
        <v>2204</v>
      </c>
      <c r="L31" s="14">
        <f t="shared" ref="L31:L38" si="10">J31+7</f>
        <v>45693</v>
      </c>
      <c r="M31" s="14">
        <v>45698</v>
      </c>
      <c r="N31" s="92">
        <f t="shared" si="9"/>
        <v>5</v>
      </c>
      <c r="O31" s="10" t="s">
        <v>2226</v>
      </c>
      <c r="P31" s="12" t="s">
        <v>18</v>
      </c>
      <c r="Q31" s="21">
        <v>45794</v>
      </c>
      <c r="R31" s="10" t="s">
        <v>3312</v>
      </c>
      <c r="S31" s="20">
        <f>Q31+7</f>
        <v>45801</v>
      </c>
      <c r="T31" s="21">
        <v>45802</v>
      </c>
      <c r="U31" s="91">
        <f>T31-S31</f>
        <v>1</v>
      </c>
      <c r="V31" s="10" t="s">
        <v>3316</v>
      </c>
      <c r="W31" s="10" t="s">
        <v>5</v>
      </c>
      <c r="X31" s="21">
        <v>45806</v>
      </c>
      <c r="Y31" s="10" t="s">
        <v>3406</v>
      </c>
      <c r="Z31" s="20">
        <f>X31+7</f>
        <v>45813</v>
      </c>
      <c r="AA31" s="21">
        <v>45832</v>
      </c>
      <c r="AB31" s="95">
        <f>AA31-Z31</f>
        <v>19</v>
      </c>
      <c r="AC31" s="151" t="s">
        <v>3426</v>
      </c>
      <c r="AD31" s="10"/>
      <c r="AE31" s="21"/>
      <c r="AF31" s="10"/>
      <c r="AG31" s="10"/>
      <c r="AH31" s="21"/>
      <c r="AI31" s="21"/>
      <c r="AJ31" s="10"/>
      <c r="AK31" s="10"/>
      <c r="AL31" s="17"/>
      <c r="AM31" s="11"/>
      <c r="AN31" s="11"/>
      <c r="AO31" s="17"/>
      <c r="AP31" s="123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1"/>
      <c r="BF31" s="259"/>
    </row>
    <row r="32" spans="1:58" s="381" customFormat="1" ht="42" customHeight="1" x14ac:dyDescent="0.25">
      <c r="A32" s="367">
        <v>730007</v>
      </c>
      <c r="B32" s="11" t="s">
        <v>5</v>
      </c>
      <c r="C32" s="56" t="s">
        <v>208</v>
      </c>
      <c r="D32" s="12" t="s">
        <v>2251</v>
      </c>
      <c r="E32" s="12" t="s">
        <v>2252</v>
      </c>
      <c r="F32" s="16" t="s">
        <v>2253</v>
      </c>
      <c r="G32" s="10" t="s">
        <v>179</v>
      </c>
      <c r="H32" s="10" t="s">
        <v>95</v>
      </c>
      <c r="I32" s="16" t="s">
        <v>3</v>
      </c>
      <c r="J32" s="14">
        <v>45689</v>
      </c>
      <c r="K32" s="13" t="s">
        <v>2254</v>
      </c>
      <c r="L32" s="14">
        <f t="shared" si="10"/>
        <v>45696</v>
      </c>
      <c r="M32" s="14">
        <v>45698</v>
      </c>
      <c r="N32" s="92">
        <f t="shared" si="9"/>
        <v>2</v>
      </c>
      <c r="O32" s="10" t="s">
        <v>2279</v>
      </c>
      <c r="P32" s="10" t="s">
        <v>5</v>
      </c>
      <c r="Q32" s="21">
        <v>45699</v>
      </c>
      <c r="R32" s="10" t="s">
        <v>2418</v>
      </c>
      <c r="S32" s="20">
        <f>Q32+7</f>
        <v>45706</v>
      </c>
      <c r="T32" s="21">
        <v>45712</v>
      </c>
      <c r="U32" s="91">
        <f>T32-S32</f>
        <v>6</v>
      </c>
      <c r="V32" s="10" t="s">
        <v>2427</v>
      </c>
      <c r="W32" s="10"/>
      <c r="X32" s="21"/>
      <c r="Y32" s="10"/>
      <c r="Z32" s="10"/>
      <c r="AA32" s="21"/>
      <c r="AB32" s="95"/>
      <c r="AC32" s="10"/>
      <c r="AD32" s="10"/>
      <c r="AE32" s="21"/>
      <c r="AF32" s="10"/>
      <c r="AG32" s="10"/>
      <c r="AH32" s="21"/>
      <c r="AI32" s="21"/>
      <c r="AJ32" s="10"/>
      <c r="AK32" s="10"/>
      <c r="AL32" s="17"/>
      <c r="AM32" s="11"/>
      <c r="AN32" s="11"/>
      <c r="AO32" s="17"/>
      <c r="AP32" s="123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1"/>
      <c r="BF32" s="259"/>
    </row>
    <row r="33" spans="1:58" s="381" customFormat="1" ht="42" customHeight="1" x14ac:dyDescent="0.25">
      <c r="A33" s="367">
        <v>730007</v>
      </c>
      <c r="B33" s="11" t="s">
        <v>508</v>
      </c>
      <c r="C33" s="56" t="s">
        <v>627</v>
      </c>
      <c r="D33" s="12" t="s">
        <v>2307</v>
      </c>
      <c r="E33" s="12" t="s">
        <v>2308</v>
      </c>
      <c r="F33" s="16" t="s">
        <v>2309</v>
      </c>
      <c r="G33" s="10" t="s">
        <v>179</v>
      </c>
      <c r="H33" s="10" t="s">
        <v>95</v>
      </c>
      <c r="I33" s="16" t="s">
        <v>18</v>
      </c>
      <c r="J33" s="14">
        <v>45691</v>
      </c>
      <c r="K33" s="13" t="s">
        <v>2310</v>
      </c>
      <c r="L33" s="14">
        <f t="shared" si="10"/>
        <v>45698</v>
      </c>
      <c r="M33" s="14">
        <v>45701</v>
      </c>
      <c r="N33" s="92">
        <f t="shared" si="9"/>
        <v>3</v>
      </c>
      <c r="O33" s="10" t="s">
        <v>2321</v>
      </c>
      <c r="P33" s="10" t="s">
        <v>508</v>
      </c>
      <c r="Q33" s="21">
        <v>45971</v>
      </c>
      <c r="R33" s="10" t="s">
        <v>4812</v>
      </c>
      <c r="S33" s="10" t="s">
        <v>626</v>
      </c>
      <c r="T33" s="21" t="s">
        <v>626</v>
      </c>
      <c r="U33" s="21" t="s">
        <v>626</v>
      </c>
      <c r="V33" s="10" t="s">
        <v>626</v>
      </c>
      <c r="W33" s="10"/>
      <c r="X33" s="21"/>
      <c r="Y33" s="10"/>
      <c r="Z33" s="10"/>
      <c r="AA33" s="21"/>
      <c r="AB33" s="95"/>
      <c r="AC33" s="10"/>
      <c r="AD33" s="10"/>
      <c r="AE33" s="21"/>
      <c r="AF33" s="10"/>
      <c r="AG33" s="10"/>
      <c r="AH33" s="21"/>
      <c r="AI33" s="21"/>
      <c r="AJ33" s="10"/>
      <c r="AK33" s="10"/>
      <c r="AL33" s="17"/>
      <c r="AM33" s="11"/>
      <c r="AN33" s="11"/>
      <c r="AO33" s="17"/>
      <c r="AP33" s="123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1"/>
      <c r="BF33" s="259" t="s">
        <v>4268</v>
      </c>
    </row>
    <row r="34" spans="1:58" s="381" customFormat="1" ht="42" customHeight="1" x14ac:dyDescent="0.25">
      <c r="A34" s="367">
        <v>730007</v>
      </c>
      <c r="B34" s="11" t="s">
        <v>5</v>
      </c>
      <c r="C34" s="56" t="s">
        <v>588</v>
      </c>
      <c r="D34" s="12" t="s">
        <v>2312</v>
      </c>
      <c r="E34" s="12" t="s">
        <v>2311</v>
      </c>
      <c r="F34" s="16" t="s">
        <v>2313</v>
      </c>
      <c r="G34" s="10" t="s">
        <v>179</v>
      </c>
      <c r="H34" s="10" t="s">
        <v>95</v>
      </c>
      <c r="I34" s="16" t="s">
        <v>18</v>
      </c>
      <c r="J34" s="14">
        <v>45692</v>
      </c>
      <c r="K34" s="13" t="s">
        <v>2324</v>
      </c>
      <c r="L34" s="14">
        <f t="shared" si="10"/>
        <v>45699</v>
      </c>
      <c r="M34" s="14">
        <v>45715</v>
      </c>
      <c r="N34" s="92">
        <f t="shared" si="9"/>
        <v>16</v>
      </c>
      <c r="O34" s="10" t="s">
        <v>2330</v>
      </c>
      <c r="P34" s="16" t="s">
        <v>18</v>
      </c>
      <c r="Q34" s="21">
        <v>45778</v>
      </c>
      <c r="R34" s="10" t="s">
        <v>3134</v>
      </c>
      <c r="S34" s="20">
        <f>Q34+7</f>
        <v>45785</v>
      </c>
      <c r="T34" s="21">
        <v>45788</v>
      </c>
      <c r="U34" s="92">
        <f>T34-S34</f>
        <v>3</v>
      </c>
      <c r="V34" s="10" t="s">
        <v>3163</v>
      </c>
      <c r="W34" s="10" t="s">
        <v>5</v>
      </c>
      <c r="X34" s="21">
        <v>45789</v>
      </c>
      <c r="Y34" s="10" t="s">
        <v>3274</v>
      </c>
      <c r="Z34" s="20">
        <f>X34+7</f>
        <v>45796</v>
      </c>
      <c r="AA34" s="21">
        <v>45794</v>
      </c>
      <c r="AB34" s="95">
        <f>AA34-Z34</f>
        <v>-2</v>
      </c>
      <c r="AC34" s="10" t="s">
        <v>3273</v>
      </c>
      <c r="AD34" s="10"/>
      <c r="AE34" s="21"/>
      <c r="AF34" s="10"/>
      <c r="AG34" s="10"/>
      <c r="AH34" s="21"/>
      <c r="AI34" s="21"/>
      <c r="AJ34" s="10"/>
      <c r="AK34" s="10"/>
      <c r="AL34" s="17"/>
      <c r="AM34" s="11"/>
      <c r="AN34" s="11"/>
      <c r="AO34" s="17"/>
      <c r="AP34" s="123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1"/>
      <c r="BF34" s="259"/>
    </row>
    <row r="35" spans="1:58" s="381" customFormat="1" ht="42" customHeight="1" x14ac:dyDescent="0.25">
      <c r="A35" s="367">
        <v>730007</v>
      </c>
      <c r="B35" s="11" t="s">
        <v>5</v>
      </c>
      <c r="C35" s="56" t="s">
        <v>588</v>
      </c>
      <c r="D35" s="12" t="s">
        <v>2800</v>
      </c>
      <c r="E35" s="12" t="s">
        <v>2802</v>
      </c>
      <c r="F35" s="16" t="s">
        <v>2804</v>
      </c>
      <c r="G35" s="10" t="s">
        <v>179</v>
      </c>
      <c r="H35" s="10" t="s">
        <v>95</v>
      </c>
      <c r="I35" s="16" t="s">
        <v>18</v>
      </c>
      <c r="J35" s="14">
        <v>45731</v>
      </c>
      <c r="K35" s="13" t="s">
        <v>2805</v>
      </c>
      <c r="L35" s="14">
        <f t="shared" si="10"/>
        <v>45738</v>
      </c>
      <c r="M35" s="14">
        <v>45736</v>
      </c>
      <c r="N35" s="92">
        <f t="shared" si="9"/>
        <v>-2</v>
      </c>
      <c r="O35" s="10" t="s">
        <v>2811</v>
      </c>
      <c r="P35" s="10" t="s">
        <v>18</v>
      </c>
      <c r="Q35" s="21">
        <v>45761</v>
      </c>
      <c r="R35" s="10" t="s">
        <v>2978</v>
      </c>
      <c r="S35" s="20">
        <f>Q35+7</f>
        <v>45768</v>
      </c>
      <c r="T35" s="21">
        <v>45777</v>
      </c>
      <c r="U35" s="92">
        <f>T35-S35</f>
        <v>9</v>
      </c>
      <c r="V35" s="10" t="s">
        <v>3000</v>
      </c>
      <c r="W35" s="10" t="s">
        <v>5</v>
      </c>
      <c r="X35" s="21">
        <v>45781</v>
      </c>
      <c r="Y35" s="10" t="s">
        <v>3180</v>
      </c>
      <c r="Z35" s="20">
        <f>X35+7</f>
        <v>45788</v>
      </c>
      <c r="AA35" s="21">
        <v>45790</v>
      </c>
      <c r="AB35" s="95">
        <f>AA35-Z35</f>
        <v>2</v>
      </c>
      <c r="AC35" s="10" t="s">
        <v>3193</v>
      </c>
      <c r="AD35" s="10"/>
      <c r="AE35" s="21"/>
      <c r="AF35" s="10"/>
      <c r="AG35" s="10"/>
      <c r="AH35" s="21"/>
      <c r="AI35" s="21"/>
      <c r="AJ35" s="10"/>
      <c r="AK35" s="10"/>
      <c r="AL35" s="17"/>
      <c r="AM35" s="11"/>
      <c r="AN35" s="11"/>
      <c r="AO35" s="17"/>
      <c r="AP35" s="123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1"/>
      <c r="BF35" s="259"/>
    </row>
    <row r="36" spans="1:58" s="381" customFormat="1" ht="42" customHeight="1" x14ac:dyDescent="0.25">
      <c r="A36" s="367">
        <v>730007</v>
      </c>
      <c r="B36" s="58" t="s">
        <v>508</v>
      </c>
      <c r="C36" s="56" t="s">
        <v>627</v>
      </c>
      <c r="D36" s="12" t="s">
        <v>2897</v>
      </c>
      <c r="E36" s="12" t="s">
        <v>2898</v>
      </c>
      <c r="F36" s="16" t="s">
        <v>2953</v>
      </c>
      <c r="G36" s="10" t="s">
        <v>179</v>
      </c>
      <c r="H36" s="10" t="s">
        <v>95</v>
      </c>
      <c r="I36" s="16" t="s">
        <v>3</v>
      </c>
      <c r="J36" s="14">
        <v>45739</v>
      </c>
      <c r="K36" s="13" t="s">
        <v>2899</v>
      </c>
      <c r="L36" s="14">
        <f t="shared" si="10"/>
        <v>45746</v>
      </c>
      <c r="M36" s="14">
        <v>45753</v>
      </c>
      <c r="N36" s="92">
        <f t="shared" si="9"/>
        <v>7</v>
      </c>
      <c r="O36" s="10" t="s">
        <v>2909</v>
      </c>
      <c r="P36" s="12" t="s">
        <v>18</v>
      </c>
      <c r="Q36" s="21">
        <v>45755</v>
      </c>
      <c r="R36" s="10" t="s">
        <v>2958</v>
      </c>
      <c r="S36" s="20">
        <f>Q36+7</f>
        <v>45762</v>
      </c>
      <c r="T36" s="21">
        <v>45757</v>
      </c>
      <c r="U36" s="92">
        <f>T36-S36</f>
        <v>-5</v>
      </c>
      <c r="V36" s="10" t="s">
        <v>2959</v>
      </c>
      <c r="W36" s="12" t="s">
        <v>508</v>
      </c>
      <c r="X36" s="20">
        <v>46083</v>
      </c>
      <c r="Y36" s="12" t="s">
        <v>5922</v>
      </c>
      <c r="Z36" s="12" t="s">
        <v>626</v>
      </c>
      <c r="AA36" s="20" t="s">
        <v>626</v>
      </c>
      <c r="AB36" s="91" t="s">
        <v>626</v>
      </c>
      <c r="AC36" s="12" t="s">
        <v>626</v>
      </c>
      <c r="AD36" s="10"/>
      <c r="AE36" s="21"/>
      <c r="AF36" s="10"/>
      <c r="AG36" s="10"/>
      <c r="AH36" s="21"/>
      <c r="AI36" s="21"/>
      <c r="AJ36" s="10"/>
      <c r="AK36" s="10"/>
      <c r="AL36" s="17"/>
      <c r="AM36" s="11"/>
      <c r="AN36" s="11"/>
      <c r="AO36" s="17"/>
      <c r="AP36" s="123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1"/>
      <c r="BF36" s="259"/>
    </row>
    <row r="37" spans="1:58" s="381" customFormat="1" ht="42" customHeight="1" x14ac:dyDescent="0.25">
      <c r="A37" s="367">
        <v>730007</v>
      </c>
      <c r="B37" s="11" t="s">
        <v>5</v>
      </c>
      <c r="C37" s="56" t="s">
        <v>208</v>
      </c>
      <c r="D37" s="12" t="s">
        <v>3447</v>
      </c>
      <c r="E37" s="12" t="s">
        <v>3448</v>
      </c>
      <c r="F37" s="16" t="s">
        <v>3449</v>
      </c>
      <c r="G37" s="10" t="s">
        <v>179</v>
      </c>
      <c r="H37" s="10" t="s">
        <v>95</v>
      </c>
      <c r="I37" s="16" t="s">
        <v>18</v>
      </c>
      <c r="J37" s="14">
        <v>45811</v>
      </c>
      <c r="K37" s="13" t="s">
        <v>3450</v>
      </c>
      <c r="L37" s="14">
        <f t="shared" si="10"/>
        <v>45818</v>
      </c>
      <c r="M37" s="14">
        <v>45832</v>
      </c>
      <c r="N37" s="92">
        <f t="shared" si="9"/>
        <v>14</v>
      </c>
      <c r="O37" s="10" t="s">
        <v>3456</v>
      </c>
      <c r="P37" s="10" t="s">
        <v>5</v>
      </c>
      <c r="Q37" s="21">
        <v>45930</v>
      </c>
      <c r="R37" s="10" t="s">
        <v>6109</v>
      </c>
      <c r="S37" s="20">
        <f>Q37+7</f>
        <v>45937</v>
      </c>
      <c r="T37" s="21">
        <v>45941</v>
      </c>
      <c r="U37" s="92">
        <f>T37-S37</f>
        <v>4</v>
      </c>
      <c r="V37" s="10" t="s">
        <v>4349</v>
      </c>
      <c r="W37" s="10"/>
      <c r="X37" s="21"/>
      <c r="Y37" s="10"/>
      <c r="Z37" s="10"/>
      <c r="AA37" s="21"/>
      <c r="AB37" s="95"/>
      <c r="AC37" s="10"/>
      <c r="AD37" s="10"/>
      <c r="AE37" s="21"/>
      <c r="AF37" s="10"/>
      <c r="AG37" s="10"/>
      <c r="AH37" s="21"/>
      <c r="AI37" s="21"/>
      <c r="AJ37" s="10"/>
      <c r="AK37" s="10"/>
      <c r="AL37" s="17"/>
      <c r="AM37" s="11"/>
      <c r="AN37" s="11"/>
      <c r="AO37" s="17"/>
      <c r="AP37" s="123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1"/>
      <c r="BF37" s="259"/>
    </row>
    <row r="38" spans="1:58" s="381" customFormat="1" ht="42" customHeight="1" x14ac:dyDescent="0.25">
      <c r="A38" s="367">
        <v>730007</v>
      </c>
      <c r="B38" s="11" t="s">
        <v>5</v>
      </c>
      <c r="C38" s="56" t="s">
        <v>208</v>
      </c>
      <c r="D38" s="12" t="s">
        <v>3603</v>
      </c>
      <c r="E38" s="12" t="s">
        <v>3604</v>
      </c>
      <c r="F38" s="16" t="s">
        <v>6106</v>
      </c>
      <c r="G38" s="10" t="s">
        <v>179</v>
      </c>
      <c r="H38" s="10" t="s">
        <v>95</v>
      </c>
      <c r="I38" s="16" t="s">
        <v>18</v>
      </c>
      <c r="J38" s="14">
        <v>45845</v>
      </c>
      <c r="K38" s="13" t="s">
        <v>3605</v>
      </c>
      <c r="L38" s="14">
        <f t="shared" si="10"/>
        <v>45852</v>
      </c>
      <c r="M38" s="14">
        <v>45855</v>
      </c>
      <c r="N38" s="92">
        <f t="shared" si="9"/>
        <v>3</v>
      </c>
      <c r="O38" s="10" t="s">
        <v>3694</v>
      </c>
      <c r="P38" s="12" t="s">
        <v>5</v>
      </c>
      <c r="Q38" s="21">
        <v>46105</v>
      </c>
      <c r="R38" s="10" t="s">
        <v>6108</v>
      </c>
      <c r="S38" s="20">
        <f>Q38+7</f>
        <v>46112</v>
      </c>
      <c r="T38" s="21">
        <v>46114</v>
      </c>
      <c r="U38" s="92">
        <f>T38-S38</f>
        <v>2</v>
      </c>
      <c r="V38" s="10" t="s">
        <v>6118</v>
      </c>
      <c r="W38" s="10"/>
      <c r="X38" s="21"/>
      <c r="Y38" s="10"/>
      <c r="Z38" s="10"/>
      <c r="AA38" s="21"/>
      <c r="AB38" s="95"/>
      <c r="AC38" s="10"/>
      <c r="AD38" s="10"/>
      <c r="AE38" s="21"/>
      <c r="AF38" s="10"/>
      <c r="AG38" s="10"/>
      <c r="AH38" s="21"/>
      <c r="AI38" s="21"/>
      <c r="AJ38" s="10"/>
      <c r="AK38" s="10"/>
      <c r="AL38" s="17"/>
      <c r="AM38" s="11"/>
      <c r="AN38" s="11"/>
      <c r="AO38" s="17"/>
      <c r="AP38" s="123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1"/>
      <c r="BF38" s="259"/>
    </row>
    <row r="39" spans="1:58" s="381" customFormat="1" ht="42" customHeight="1" x14ac:dyDescent="0.25">
      <c r="A39" s="367">
        <v>730007</v>
      </c>
      <c r="B39" s="58" t="s">
        <v>508</v>
      </c>
      <c r="C39" s="56" t="s">
        <v>627</v>
      </c>
      <c r="D39" s="12" t="s">
        <v>3647</v>
      </c>
      <c r="E39" s="12" t="s">
        <v>3648</v>
      </c>
      <c r="F39" s="16" t="s">
        <v>3649</v>
      </c>
      <c r="G39" s="10" t="s">
        <v>179</v>
      </c>
      <c r="H39" s="10" t="s">
        <v>95</v>
      </c>
      <c r="I39" s="16" t="s">
        <v>18</v>
      </c>
      <c r="J39" s="14">
        <v>45851</v>
      </c>
      <c r="K39" s="13" t="s">
        <v>3650</v>
      </c>
      <c r="L39" s="14">
        <f t="shared" ref="L39:L44" si="11">J39+7</f>
        <v>45858</v>
      </c>
      <c r="M39" s="14">
        <v>45862</v>
      </c>
      <c r="N39" s="92">
        <f t="shared" si="9"/>
        <v>4</v>
      </c>
      <c r="O39" s="10" t="s">
        <v>3660</v>
      </c>
      <c r="P39" s="16"/>
      <c r="Q39" s="21"/>
      <c r="R39" s="10"/>
      <c r="S39" s="10"/>
      <c r="T39" s="21"/>
      <c r="U39" s="21"/>
      <c r="V39" s="10"/>
      <c r="W39" s="12" t="s">
        <v>508</v>
      </c>
      <c r="X39" s="20">
        <v>46083</v>
      </c>
      <c r="Y39" s="12" t="s">
        <v>5922</v>
      </c>
      <c r="Z39" s="12" t="s">
        <v>626</v>
      </c>
      <c r="AA39" s="20" t="s">
        <v>626</v>
      </c>
      <c r="AB39" s="91" t="s">
        <v>626</v>
      </c>
      <c r="AC39" s="12" t="s">
        <v>626</v>
      </c>
      <c r="AD39" s="10"/>
      <c r="AE39" s="21"/>
      <c r="AF39" s="10"/>
      <c r="AG39" s="10"/>
      <c r="AH39" s="21"/>
      <c r="AI39" s="21"/>
      <c r="AJ39" s="10"/>
      <c r="AK39" s="10"/>
      <c r="AL39" s="17"/>
      <c r="AM39" s="11"/>
      <c r="AN39" s="11"/>
      <c r="AO39" s="17"/>
      <c r="AP39" s="123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1"/>
      <c r="BF39" s="259"/>
    </row>
    <row r="40" spans="1:58" s="381" customFormat="1" ht="42" customHeight="1" x14ac:dyDescent="0.25">
      <c r="A40" s="367">
        <v>730007</v>
      </c>
      <c r="B40" s="58" t="s">
        <v>508</v>
      </c>
      <c r="C40" s="56" t="s">
        <v>627</v>
      </c>
      <c r="D40" s="12" t="s">
        <v>3672</v>
      </c>
      <c r="E40" s="12" t="s">
        <v>3673</v>
      </c>
      <c r="F40" s="16" t="s">
        <v>3674</v>
      </c>
      <c r="G40" s="10" t="s">
        <v>179</v>
      </c>
      <c r="H40" s="10" t="s">
        <v>95</v>
      </c>
      <c r="I40" s="16" t="s">
        <v>18</v>
      </c>
      <c r="J40" s="14">
        <v>45854</v>
      </c>
      <c r="K40" s="13" t="s">
        <v>3675</v>
      </c>
      <c r="L40" s="14">
        <f t="shared" si="11"/>
        <v>45861</v>
      </c>
      <c r="M40" s="14">
        <v>45862</v>
      </c>
      <c r="N40" s="92">
        <f t="shared" si="9"/>
        <v>1</v>
      </c>
      <c r="O40" s="10" t="s">
        <v>3689</v>
      </c>
      <c r="P40" s="10"/>
      <c r="Q40" s="21"/>
      <c r="R40" s="10"/>
      <c r="S40" s="10"/>
      <c r="T40" s="21"/>
      <c r="U40" s="21"/>
      <c r="V40" s="10"/>
      <c r="W40" s="12" t="s">
        <v>508</v>
      </c>
      <c r="X40" s="20">
        <v>46083</v>
      </c>
      <c r="Y40" s="12" t="s">
        <v>5922</v>
      </c>
      <c r="Z40" s="12" t="s">
        <v>626</v>
      </c>
      <c r="AA40" s="20" t="s">
        <v>626</v>
      </c>
      <c r="AB40" s="91" t="s">
        <v>626</v>
      </c>
      <c r="AC40" s="12" t="s">
        <v>626</v>
      </c>
      <c r="AD40" s="10"/>
      <c r="AE40" s="21"/>
      <c r="AF40" s="10"/>
      <c r="AG40" s="10"/>
      <c r="AH40" s="21"/>
      <c r="AI40" s="21"/>
      <c r="AJ40" s="10"/>
      <c r="AK40" s="10"/>
      <c r="AL40" s="17"/>
      <c r="AM40" s="11"/>
      <c r="AN40" s="11"/>
      <c r="AO40" s="17"/>
      <c r="AP40" s="123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1"/>
      <c r="BF40" s="259"/>
    </row>
    <row r="41" spans="1:58" s="381" customFormat="1" ht="42" customHeight="1" x14ac:dyDescent="0.25">
      <c r="A41" s="367">
        <v>730007</v>
      </c>
      <c r="B41" s="58" t="s">
        <v>508</v>
      </c>
      <c r="C41" s="56" t="s">
        <v>627</v>
      </c>
      <c r="D41" s="12" t="s">
        <v>3905</v>
      </c>
      <c r="E41" s="12" t="s">
        <v>3906</v>
      </c>
      <c r="F41" s="16" t="s">
        <v>3907</v>
      </c>
      <c r="G41" s="10" t="s">
        <v>179</v>
      </c>
      <c r="H41" s="10" t="s">
        <v>95</v>
      </c>
      <c r="I41" s="16" t="s">
        <v>18</v>
      </c>
      <c r="J41" s="14">
        <v>45908</v>
      </c>
      <c r="K41" s="13" t="s">
        <v>4150</v>
      </c>
      <c r="L41" s="14">
        <f t="shared" si="11"/>
        <v>45915</v>
      </c>
      <c r="M41" s="14">
        <v>45917</v>
      </c>
      <c r="N41" s="92">
        <f t="shared" si="9"/>
        <v>2</v>
      </c>
      <c r="O41" s="10" t="s">
        <v>4149</v>
      </c>
      <c r="P41" s="16"/>
      <c r="Q41" s="21"/>
      <c r="R41" s="10"/>
      <c r="S41" s="10"/>
      <c r="T41" s="21"/>
      <c r="U41" s="21"/>
      <c r="V41" s="10"/>
      <c r="W41" s="12" t="s">
        <v>508</v>
      </c>
      <c r="X41" s="20">
        <v>46083</v>
      </c>
      <c r="Y41" s="12" t="s">
        <v>5922</v>
      </c>
      <c r="Z41" s="12" t="s">
        <v>626</v>
      </c>
      <c r="AA41" s="20" t="s">
        <v>626</v>
      </c>
      <c r="AB41" s="91" t="s">
        <v>626</v>
      </c>
      <c r="AC41" s="12" t="s">
        <v>626</v>
      </c>
      <c r="AD41" s="10"/>
      <c r="AE41" s="21"/>
      <c r="AF41" s="10"/>
      <c r="AG41" s="10"/>
      <c r="AH41" s="21"/>
      <c r="AI41" s="21"/>
      <c r="AJ41" s="10"/>
      <c r="AK41" s="10"/>
      <c r="AL41" s="17"/>
      <c r="AM41" s="11"/>
      <c r="AN41" s="11"/>
      <c r="AO41" s="17"/>
      <c r="AP41" s="123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1"/>
      <c r="BF41" s="259"/>
    </row>
    <row r="42" spans="1:58" s="452" customFormat="1" ht="42" customHeight="1" x14ac:dyDescent="0.25">
      <c r="A42" s="367">
        <v>730007</v>
      </c>
      <c r="B42" s="11" t="s">
        <v>5</v>
      </c>
      <c r="C42" s="56" t="s">
        <v>54</v>
      </c>
      <c r="D42" s="11" t="s">
        <v>4025</v>
      </c>
      <c r="E42" s="11" t="s">
        <v>4026</v>
      </c>
      <c r="F42" s="16" t="s">
        <v>4052</v>
      </c>
      <c r="G42" s="16" t="s">
        <v>179</v>
      </c>
      <c r="H42" s="16" t="s">
        <v>95</v>
      </c>
      <c r="I42" s="16" t="s">
        <v>5</v>
      </c>
      <c r="J42" s="184">
        <v>45897</v>
      </c>
      <c r="K42" s="56" t="s">
        <v>4053</v>
      </c>
      <c r="L42" s="14">
        <f t="shared" si="11"/>
        <v>45904</v>
      </c>
      <c r="M42" s="184">
        <v>45902</v>
      </c>
      <c r="N42" s="92">
        <f t="shared" si="9"/>
        <v>-2</v>
      </c>
      <c r="O42" s="16" t="s">
        <v>4074</v>
      </c>
      <c r="P42" s="16"/>
      <c r="Q42" s="181"/>
      <c r="R42" s="16"/>
      <c r="S42" s="16"/>
      <c r="T42" s="181"/>
      <c r="U42" s="181"/>
      <c r="V42" s="16"/>
      <c r="W42" s="16"/>
      <c r="X42" s="181"/>
      <c r="Y42" s="16"/>
      <c r="Z42" s="16"/>
      <c r="AA42" s="181"/>
      <c r="AB42" s="185"/>
      <c r="AC42" s="16"/>
      <c r="AD42" s="16"/>
      <c r="AE42" s="181"/>
      <c r="AF42" s="16"/>
      <c r="AG42" s="16"/>
      <c r="AH42" s="181"/>
      <c r="AI42" s="181"/>
      <c r="AJ42" s="16"/>
      <c r="AK42" s="16"/>
      <c r="AL42" s="17"/>
      <c r="AM42" s="11"/>
      <c r="AN42" s="11"/>
      <c r="AO42" s="17"/>
      <c r="AP42" s="123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1"/>
      <c r="BF42" s="460"/>
    </row>
    <row r="43" spans="1:58" s="381" customFormat="1" ht="42" customHeight="1" x14ac:dyDescent="0.25">
      <c r="A43" s="367">
        <v>730007</v>
      </c>
      <c r="B43" s="11" t="s">
        <v>5</v>
      </c>
      <c r="C43" s="56" t="s">
        <v>588</v>
      </c>
      <c r="D43" s="11" t="s">
        <v>4058</v>
      </c>
      <c r="E43" s="11" t="s">
        <v>4059</v>
      </c>
      <c r="F43" s="16" t="s">
        <v>4060</v>
      </c>
      <c r="G43" s="16" t="s">
        <v>179</v>
      </c>
      <c r="H43" s="16" t="s">
        <v>95</v>
      </c>
      <c r="I43" s="16" t="s">
        <v>3</v>
      </c>
      <c r="J43" s="184">
        <v>45913</v>
      </c>
      <c r="K43" s="56" t="s">
        <v>4176</v>
      </c>
      <c r="L43" s="14">
        <f t="shared" si="11"/>
        <v>45920</v>
      </c>
      <c r="M43" s="14">
        <v>45921</v>
      </c>
      <c r="N43" s="92">
        <f t="shared" si="9"/>
        <v>1</v>
      </c>
      <c r="O43" s="10" t="s">
        <v>4181</v>
      </c>
      <c r="P43" s="56" t="s">
        <v>18</v>
      </c>
      <c r="Q43" s="21">
        <v>45922</v>
      </c>
      <c r="R43" s="10" t="s">
        <v>4276</v>
      </c>
      <c r="S43" s="14">
        <f>Q43+7</f>
        <v>45929</v>
      </c>
      <c r="T43" s="21">
        <v>45928</v>
      </c>
      <c r="U43" s="92">
        <f>T43-S43</f>
        <v>-1</v>
      </c>
      <c r="V43" s="10" t="s">
        <v>4289</v>
      </c>
      <c r="W43" s="10" t="s">
        <v>5</v>
      </c>
      <c r="X43" s="21">
        <v>45946</v>
      </c>
      <c r="Y43" s="10" t="s">
        <v>4482</v>
      </c>
      <c r="Z43" s="14">
        <f>X43+7</f>
        <v>45953</v>
      </c>
      <c r="AA43" s="21">
        <v>45949</v>
      </c>
      <c r="AB43" s="92">
        <f>AA43-Z43</f>
        <v>-4</v>
      </c>
      <c r="AC43" s="10" t="s">
        <v>4500</v>
      </c>
      <c r="AD43" s="10"/>
      <c r="AE43" s="21"/>
      <c r="AF43" s="10"/>
      <c r="AG43" s="10"/>
      <c r="AH43" s="21"/>
      <c r="AI43" s="21"/>
      <c r="AJ43" s="10"/>
      <c r="AK43" s="10"/>
      <c r="AL43" s="17"/>
      <c r="AM43" s="11"/>
      <c r="AN43" s="11"/>
      <c r="AO43" s="17"/>
      <c r="AP43" s="123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1"/>
      <c r="BF43" s="259"/>
    </row>
    <row r="44" spans="1:58" s="381" customFormat="1" ht="42" customHeight="1" x14ac:dyDescent="0.25">
      <c r="A44" s="367">
        <v>730007</v>
      </c>
      <c r="B44" s="11" t="s">
        <v>5</v>
      </c>
      <c r="C44" s="56" t="s">
        <v>588</v>
      </c>
      <c r="D44" s="11" t="s">
        <v>6101</v>
      </c>
      <c r="E44" s="11" t="s">
        <v>6102</v>
      </c>
      <c r="F44" s="16" t="s">
        <v>6533</v>
      </c>
      <c r="G44" s="16" t="s">
        <v>179</v>
      </c>
      <c r="H44" s="16" t="s">
        <v>95</v>
      </c>
      <c r="I44" s="16" t="s">
        <v>3</v>
      </c>
      <c r="J44" s="184">
        <v>46104</v>
      </c>
      <c r="K44" s="56" t="s">
        <v>6103</v>
      </c>
      <c r="L44" s="14">
        <f t="shared" si="11"/>
        <v>46111</v>
      </c>
      <c r="M44" s="14">
        <v>46111</v>
      </c>
      <c r="N44" s="92">
        <f t="shared" si="9"/>
        <v>0</v>
      </c>
      <c r="O44" s="10" t="s">
        <v>6111</v>
      </c>
      <c r="P44" s="56" t="s">
        <v>18</v>
      </c>
      <c r="Q44" s="21">
        <v>46119</v>
      </c>
      <c r="R44" s="10" t="s">
        <v>6289</v>
      </c>
      <c r="S44" s="14">
        <f>Q44+7</f>
        <v>46126</v>
      </c>
      <c r="T44" s="21">
        <v>46121</v>
      </c>
      <c r="U44" s="92">
        <f>T44-S44</f>
        <v>-5</v>
      </c>
      <c r="V44" s="10" t="s">
        <v>6299</v>
      </c>
      <c r="W44" s="10" t="s">
        <v>5</v>
      </c>
      <c r="X44" s="21">
        <v>46138</v>
      </c>
      <c r="Y44" s="10" t="s">
        <v>6534</v>
      </c>
      <c r="Z44" s="14">
        <f>X44+7</f>
        <v>46145</v>
      </c>
      <c r="AA44" s="21">
        <v>46142</v>
      </c>
      <c r="AB44" s="92">
        <f>AA44-Z44</f>
        <v>-3</v>
      </c>
      <c r="AC44" s="10" t="s">
        <v>6539</v>
      </c>
      <c r="AD44" s="10"/>
      <c r="AE44" s="21"/>
      <c r="AF44" s="10"/>
      <c r="AG44" s="10"/>
      <c r="AH44" s="21"/>
      <c r="AI44" s="21"/>
      <c r="AJ44" s="10"/>
      <c r="AK44" s="10"/>
      <c r="AL44" s="17"/>
      <c r="AM44" s="11"/>
      <c r="AN44" s="11"/>
      <c r="AO44" s="17"/>
      <c r="AP44" s="123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1"/>
      <c r="BF44" s="259"/>
    </row>
    <row r="45" spans="1:58" s="381" customFormat="1" ht="42" customHeight="1" x14ac:dyDescent="0.25">
      <c r="A45" s="367">
        <v>100008</v>
      </c>
      <c r="B45" s="11" t="s">
        <v>5</v>
      </c>
      <c r="C45" s="56" t="s">
        <v>588</v>
      </c>
      <c r="D45" s="12" t="s">
        <v>4161</v>
      </c>
      <c r="E45" s="12" t="s">
        <v>4160</v>
      </c>
      <c r="F45" s="16" t="s">
        <v>4162</v>
      </c>
      <c r="G45" s="16" t="s">
        <v>179</v>
      </c>
      <c r="H45" s="16" t="s">
        <v>95</v>
      </c>
      <c r="I45" s="16" t="s">
        <v>18</v>
      </c>
      <c r="J45" s="14">
        <v>45911</v>
      </c>
      <c r="K45" s="13" t="s">
        <v>4163</v>
      </c>
      <c r="L45" s="14">
        <f t="shared" ref="L45:L53" si="12">J45+7</f>
        <v>45918</v>
      </c>
      <c r="M45" s="14">
        <v>45918</v>
      </c>
      <c r="N45" s="92">
        <f t="shared" si="9"/>
        <v>0</v>
      </c>
      <c r="O45" s="10" t="s">
        <v>4173</v>
      </c>
      <c r="P45" s="16" t="s">
        <v>18</v>
      </c>
      <c r="Q45" s="21">
        <v>46058</v>
      </c>
      <c r="R45" s="10" t="s">
        <v>5764</v>
      </c>
      <c r="S45" s="14">
        <f>Q45+7</f>
        <v>46065</v>
      </c>
      <c r="T45" s="21">
        <v>46069</v>
      </c>
      <c r="U45" s="92">
        <f>T45-S45</f>
        <v>4</v>
      </c>
      <c r="V45" s="10" t="s">
        <v>5785</v>
      </c>
      <c r="W45" s="10" t="s">
        <v>5</v>
      </c>
      <c r="X45" s="21">
        <v>46188</v>
      </c>
      <c r="Y45" s="10" t="s">
        <v>6998</v>
      </c>
      <c r="Z45" s="14">
        <f>X45+7</f>
        <v>46195</v>
      </c>
      <c r="AA45" s="21">
        <v>46198</v>
      </c>
      <c r="AB45" s="92">
        <f>AA45-Z45</f>
        <v>3</v>
      </c>
      <c r="AC45" s="10" t="s">
        <v>7008</v>
      </c>
      <c r="AD45" s="10"/>
      <c r="AE45" s="21"/>
      <c r="AF45" s="10"/>
      <c r="AG45" s="10"/>
      <c r="AH45" s="21"/>
      <c r="AI45" s="21"/>
      <c r="AJ45" s="10"/>
      <c r="AK45" s="10"/>
      <c r="AL45" s="17"/>
      <c r="AM45" s="11"/>
      <c r="AN45" s="11"/>
      <c r="AO45" s="17"/>
      <c r="AP45" s="123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1"/>
      <c r="BF45" s="259"/>
    </row>
    <row r="46" spans="1:58" s="381" customFormat="1" ht="42" customHeight="1" x14ac:dyDescent="0.25">
      <c r="A46" s="367">
        <v>100008</v>
      </c>
      <c r="B46" s="11" t="s">
        <v>5</v>
      </c>
      <c r="C46" s="56" t="s">
        <v>208</v>
      </c>
      <c r="D46" s="12" t="s">
        <v>4283</v>
      </c>
      <c r="E46" s="12" t="s">
        <v>4284</v>
      </c>
      <c r="F46" s="16" t="s">
        <v>4282</v>
      </c>
      <c r="G46" s="16" t="s">
        <v>179</v>
      </c>
      <c r="H46" s="16" t="s">
        <v>95</v>
      </c>
      <c r="I46" s="16" t="s">
        <v>18</v>
      </c>
      <c r="J46" s="14">
        <v>45922</v>
      </c>
      <c r="K46" s="12" t="s">
        <v>4285</v>
      </c>
      <c r="L46" s="20">
        <f t="shared" si="12"/>
        <v>45929</v>
      </c>
      <c r="M46" s="14">
        <v>45936</v>
      </c>
      <c r="N46" s="92">
        <f t="shared" si="9"/>
        <v>7</v>
      </c>
      <c r="O46" s="12" t="s">
        <v>4303</v>
      </c>
      <c r="P46" s="16" t="s">
        <v>5</v>
      </c>
      <c r="Q46" s="20">
        <v>46105</v>
      </c>
      <c r="R46" s="12" t="s">
        <v>6107</v>
      </c>
      <c r="S46" s="14">
        <f>Q46+7</f>
        <v>46112</v>
      </c>
      <c r="T46" s="20">
        <v>46114</v>
      </c>
      <c r="U46" s="92">
        <f>T46-S46</f>
        <v>2</v>
      </c>
      <c r="V46" s="12" t="s">
        <v>6117</v>
      </c>
      <c r="W46" s="12"/>
      <c r="X46" s="20"/>
      <c r="Y46" s="12"/>
      <c r="Z46" s="12"/>
      <c r="AA46" s="20"/>
      <c r="AB46" s="20"/>
      <c r="AC46" s="12"/>
      <c r="AD46" s="12"/>
      <c r="AE46" s="20"/>
      <c r="AF46" s="12"/>
      <c r="AG46" s="12"/>
      <c r="AH46" s="20"/>
      <c r="AI46" s="20"/>
      <c r="AJ46" s="12"/>
      <c r="AK46" s="10"/>
      <c r="AL46" s="14"/>
      <c r="AM46" s="12"/>
      <c r="AN46" s="12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2"/>
      <c r="BF46" s="259"/>
    </row>
    <row r="47" spans="1:58" s="381" customFormat="1" ht="42" customHeight="1" x14ac:dyDescent="0.25">
      <c r="A47" s="367">
        <v>100008</v>
      </c>
      <c r="B47" s="58" t="s">
        <v>508</v>
      </c>
      <c r="C47" s="56" t="s">
        <v>627</v>
      </c>
      <c r="D47" s="12" t="s">
        <v>4370</v>
      </c>
      <c r="E47" s="12" t="s">
        <v>4371</v>
      </c>
      <c r="F47" s="16" t="s">
        <v>4372</v>
      </c>
      <c r="G47" s="16" t="s">
        <v>179</v>
      </c>
      <c r="H47" s="16" t="s">
        <v>95</v>
      </c>
      <c r="I47" s="16" t="s">
        <v>18</v>
      </c>
      <c r="J47" s="14">
        <v>45932</v>
      </c>
      <c r="K47" s="13" t="s">
        <v>4373</v>
      </c>
      <c r="L47" s="14">
        <f t="shared" si="12"/>
        <v>45939</v>
      </c>
      <c r="M47" s="14">
        <v>45945</v>
      </c>
      <c r="N47" s="92">
        <f t="shared" si="9"/>
        <v>6</v>
      </c>
      <c r="O47" s="10" t="s">
        <v>4374</v>
      </c>
      <c r="P47" s="10" t="s">
        <v>508</v>
      </c>
      <c r="Q47" s="21">
        <v>45977</v>
      </c>
      <c r="R47" s="10" t="s">
        <v>4922</v>
      </c>
      <c r="S47" s="10" t="s">
        <v>626</v>
      </c>
      <c r="T47" s="21" t="s">
        <v>626</v>
      </c>
      <c r="U47" s="21" t="s">
        <v>626</v>
      </c>
      <c r="V47" s="10" t="s">
        <v>626</v>
      </c>
      <c r="W47" s="10"/>
      <c r="X47" s="21"/>
      <c r="Y47" s="10"/>
      <c r="Z47" s="10"/>
      <c r="AA47" s="21"/>
      <c r="AB47" s="95"/>
      <c r="AC47" s="10"/>
      <c r="AD47" s="10"/>
      <c r="AE47" s="21"/>
      <c r="AF47" s="10"/>
      <c r="AG47" s="10"/>
      <c r="AH47" s="21"/>
      <c r="AI47" s="21"/>
      <c r="AJ47" s="10"/>
      <c r="AK47" s="10"/>
      <c r="AL47" s="17"/>
      <c r="AM47" s="11"/>
      <c r="AN47" s="11"/>
      <c r="AO47" s="17"/>
      <c r="AP47" s="123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1"/>
      <c r="BF47" s="259" t="s">
        <v>4433</v>
      </c>
    </row>
    <row r="48" spans="1:58" s="381" customFormat="1" ht="42" customHeight="1" x14ac:dyDescent="0.25">
      <c r="A48" s="367">
        <v>100008</v>
      </c>
      <c r="B48" s="16" t="s">
        <v>5</v>
      </c>
      <c r="C48" s="56" t="s">
        <v>588</v>
      </c>
      <c r="D48" s="12" t="s">
        <v>4433</v>
      </c>
      <c r="E48" s="12" t="s">
        <v>4434</v>
      </c>
      <c r="F48" s="16" t="s">
        <v>4436</v>
      </c>
      <c r="G48" s="16" t="s">
        <v>179</v>
      </c>
      <c r="H48" s="16" t="s">
        <v>95</v>
      </c>
      <c r="I48" s="16" t="s">
        <v>3</v>
      </c>
      <c r="J48" s="14">
        <v>45941</v>
      </c>
      <c r="K48" s="13" t="s">
        <v>4437</v>
      </c>
      <c r="L48" s="14">
        <f t="shared" si="12"/>
        <v>45948</v>
      </c>
      <c r="M48" s="14">
        <v>45955</v>
      </c>
      <c r="N48" s="92">
        <f t="shared" si="9"/>
        <v>7</v>
      </c>
      <c r="O48" s="10" t="s">
        <v>4451</v>
      </c>
      <c r="P48" s="16" t="s">
        <v>3</v>
      </c>
      <c r="Q48" s="21">
        <v>45960</v>
      </c>
      <c r="R48" s="10" t="s">
        <v>4684</v>
      </c>
      <c r="S48" s="14">
        <f t="shared" ref="S48:S54" si="13">Q48+7</f>
        <v>45967</v>
      </c>
      <c r="T48" s="21">
        <v>45966</v>
      </c>
      <c r="U48" s="92">
        <f t="shared" ref="U48:U54" si="14">T48-S48</f>
        <v>-1</v>
      </c>
      <c r="V48" s="10" t="s">
        <v>4683</v>
      </c>
      <c r="W48" s="10" t="s">
        <v>5</v>
      </c>
      <c r="X48" s="21">
        <v>45967</v>
      </c>
      <c r="Y48" s="10" t="s">
        <v>4767</v>
      </c>
      <c r="Z48" s="14">
        <f>X48+7</f>
        <v>45974</v>
      </c>
      <c r="AA48" s="21">
        <v>45969</v>
      </c>
      <c r="AB48" s="92">
        <f>AA48-Z48</f>
        <v>-5</v>
      </c>
      <c r="AC48" s="10" t="s">
        <v>4775</v>
      </c>
      <c r="AD48" s="10"/>
      <c r="AE48" s="21"/>
      <c r="AF48" s="10"/>
      <c r="AG48" s="10"/>
      <c r="AH48" s="21"/>
      <c r="AI48" s="21"/>
      <c r="AJ48" s="10"/>
      <c r="AK48" s="10"/>
      <c r="AL48" s="17"/>
      <c r="AM48" s="11"/>
      <c r="AN48" s="11"/>
      <c r="AO48" s="17"/>
      <c r="AP48" s="123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1"/>
      <c r="BF48" s="259"/>
    </row>
    <row r="49" spans="1:58" s="381" customFormat="1" ht="42" customHeight="1" x14ac:dyDescent="0.25">
      <c r="A49" s="367">
        <v>100008</v>
      </c>
      <c r="B49" s="11" t="s">
        <v>5</v>
      </c>
      <c r="C49" s="56" t="s">
        <v>208</v>
      </c>
      <c r="D49" s="12" t="s">
        <v>4660</v>
      </c>
      <c r="E49" s="12" t="s">
        <v>4661</v>
      </c>
      <c r="F49" s="16" t="s">
        <v>4666</v>
      </c>
      <c r="G49" s="16" t="s">
        <v>179</v>
      </c>
      <c r="H49" s="16" t="s">
        <v>95</v>
      </c>
      <c r="I49" s="16" t="s">
        <v>18</v>
      </c>
      <c r="J49" s="14">
        <v>45960</v>
      </c>
      <c r="K49" s="13" t="s">
        <v>4662</v>
      </c>
      <c r="L49" s="14">
        <f t="shared" si="12"/>
        <v>45967</v>
      </c>
      <c r="M49" s="14">
        <v>45976</v>
      </c>
      <c r="N49" s="92">
        <f t="shared" si="9"/>
        <v>9</v>
      </c>
      <c r="O49" s="10" t="s">
        <v>4685</v>
      </c>
      <c r="P49" s="10" t="s">
        <v>5</v>
      </c>
      <c r="Q49" s="21">
        <v>45977</v>
      </c>
      <c r="R49" s="10" t="s">
        <v>4932</v>
      </c>
      <c r="S49" s="14">
        <f t="shared" si="13"/>
        <v>45984</v>
      </c>
      <c r="T49" s="21">
        <v>45981</v>
      </c>
      <c r="U49" s="92">
        <f t="shared" si="14"/>
        <v>-3</v>
      </c>
      <c r="V49" s="10" t="s">
        <v>4953</v>
      </c>
      <c r="W49" s="10"/>
      <c r="X49" s="21"/>
      <c r="Y49" s="10"/>
      <c r="Z49" s="10"/>
      <c r="AA49" s="21"/>
      <c r="AB49" s="95"/>
      <c r="AC49" s="10"/>
      <c r="AD49" s="10"/>
      <c r="AE49" s="21"/>
      <c r="AF49" s="10"/>
      <c r="AG49" s="10"/>
      <c r="AH49" s="21"/>
      <c r="AI49" s="21"/>
      <c r="AJ49" s="10"/>
      <c r="AK49" s="10"/>
      <c r="AL49" s="17"/>
      <c r="AM49" s="11"/>
      <c r="AN49" s="11"/>
      <c r="AO49" s="17"/>
      <c r="AP49" s="123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1"/>
      <c r="BF49" s="259"/>
    </row>
    <row r="50" spans="1:58" s="381" customFormat="1" ht="42" customHeight="1" x14ac:dyDescent="0.25">
      <c r="A50" s="367">
        <v>100008</v>
      </c>
      <c r="B50" s="11" t="s">
        <v>5</v>
      </c>
      <c r="C50" s="56" t="s">
        <v>588</v>
      </c>
      <c r="D50" s="12" t="s">
        <v>4753</v>
      </c>
      <c r="E50" s="12" t="s">
        <v>4754</v>
      </c>
      <c r="F50" s="16" t="s">
        <v>4755</v>
      </c>
      <c r="G50" s="16" t="s">
        <v>179</v>
      </c>
      <c r="H50" s="16" t="s">
        <v>95</v>
      </c>
      <c r="I50" s="16" t="s">
        <v>3</v>
      </c>
      <c r="J50" s="14">
        <v>45966</v>
      </c>
      <c r="K50" s="13" t="s">
        <v>4756</v>
      </c>
      <c r="L50" s="14">
        <f t="shared" si="12"/>
        <v>45973</v>
      </c>
      <c r="M50" s="14">
        <v>45976</v>
      </c>
      <c r="N50" s="92">
        <f t="shared" si="9"/>
        <v>3</v>
      </c>
      <c r="O50" s="10" t="s">
        <v>4769</v>
      </c>
      <c r="P50" s="10" t="s">
        <v>18</v>
      </c>
      <c r="Q50" s="21">
        <v>45976</v>
      </c>
      <c r="R50" s="10" t="s">
        <v>4913</v>
      </c>
      <c r="S50" s="14">
        <f t="shared" si="13"/>
        <v>45983</v>
      </c>
      <c r="T50" s="21">
        <v>45984</v>
      </c>
      <c r="U50" s="92">
        <f t="shared" si="14"/>
        <v>1</v>
      </c>
      <c r="V50" s="10" t="s">
        <v>4938</v>
      </c>
      <c r="W50" s="10" t="s">
        <v>5</v>
      </c>
      <c r="X50" s="21">
        <v>45984</v>
      </c>
      <c r="Y50" s="10" t="s">
        <v>5023</v>
      </c>
      <c r="Z50" s="14">
        <f>X50+7</f>
        <v>45991</v>
      </c>
      <c r="AA50" s="21">
        <v>45991</v>
      </c>
      <c r="AB50" s="92">
        <f>AA50-Z50</f>
        <v>0</v>
      </c>
      <c r="AC50" s="10" t="s">
        <v>5030</v>
      </c>
      <c r="AD50" s="10"/>
      <c r="AE50" s="21"/>
      <c r="AF50" s="10"/>
      <c r="AG50" s="10"/>
      <c r="AH50" s="21"/>
      <c r="AI50" s="21"/>
      <c r="AJ50" s="10"/>
      <c r="AK50" s="10"/>
      <c r="AL50" s="17"/>
      <c r="AM50" s="11"/>
      <c r="AN50" s="11"/>
      <c r="AO50" s="17"/>
      <c r="AP50" s="123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1"/>
      <c r="BF50" s="259"/>
    </row>
    <row r="51" spans="1:58" s="381" customFormat="1" ht="42" customHeight="1" x14ac:dyDescent="0.25">
      <c r="A51" s="367">
        <v>100008</v>
      </c>
      <c r="B51" s="11" t="s">
        <v>5</v>
      </c>
      <c r="C51" s="56" t="s">
        <v>725</v>
      </c>
      <c r="D51" s="12" t="s">
        <v>5312</v>
      </c>
      <c r="E51" s="12" t="s">
        <v>5314</v>
      </c>
      <c r="F51" s="16" t="s">
        <v>5313</v>
      </c>
      <c r="G51" s="16" t="s">
        <v>179</v>
      </c>
      <c r="H51" s="16" t="s">
        <v>95</v>
      </c>
      <c r="I51" s="16" t="s">
        <v>3</v>
      </c>
      <c r="J51" s="14">
        <v>46006</v>
      </c>
      <c r="K51" s="13" t="s">
        <v>5316</v>
      </c>
      <c r="L51" s="14">
        <f t="shared" si="12"/>
        <v>46013</v>
      </c>
      <c r="M51" s="14">
        <v>46021</v>
      </c>
      <c r="N51" s="92">
        <f t="shared" si="9"/>
        <v>8</v>
      </c>
      <c r="O51" s="10" t="s">
        <v>5315</v>
      </c>
      <c r="P51" s="10" t="s">
        <v>18</v>
      </c>
      <c r="Q51" s="21">
        <v>46023</v>
      </c>
      <c r="R51" s="10" t="s">
        <v>5433</v>
      </c>
      <c r="S51" s="14">
        <f t="shared" si="13"/>
        <v>46030</v>
      </c>
      <c r="T51" s="21">
        <v>46033</v>
      </c>
      <c r="U51" s="92">
        <f t="shared" si="14"/>
        <v>3</v>
      </c>
      <c r="V51" s="10" t="s">
        <v>5435</v>
      </c>
      <c r="W51" s="10" t="s">
        <v>18</v>
      </c>
      <c r="X51" s="21">
        <v>46060</v>
      </c>
      <c r="Y51" s="10" t="s">
        <v>5777</v>
      </c>
      <c r="Z51" s="14">
        <f>X51+7</f>
        <v>46067</v>
      </c>
      <c r="AA51" s="21">
        <v>46076</v>
      </c>
      <c r="AB51" s="92">
        <f>AA51-Z51</f>
        <v>9</v>
      </c>
      <c r="AC51" s="10" t="s">
        <v>5786</v>
      </c>
      <c r="AD51" s="10" t="s">
        <v>5</v>
      </c>
      <c r="AE51" s="21">
        <v>46093</v>
      </c>
      <c r="AF51" s="10" t="s">
        <v>6018</v>
      </c>
      <c r="AG51" s="14">
        <f>AE51+7</f>
        <v>46100</v>
      </c>
      <c r="AH51" s="21">
        <v>46098</v>
      </c>
      <c r="AI51" s="92">
        <f>AH51-AG51</f>
        <v>-2</v>
      </c>
      <c r="AJ51" s="10" t="s">
        <v>6029</v>
      </c>
      <c r="AK51" s="10"/>
      <c r="AL51" s="17"/>
      <c r="AM51" s="11"/>
      <c r="AN51" s="11"/>
      <c r="AO51" s="17"/>
      <c r="AP51" s="123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1"/>
      <c r="BF51" s="259"/>
    </row>
    <row r="52" spans="1:58" s="381" customFormat="1" ht="42" customHeight="1" x14ac:dyDescent="0.25">
      <c r="A52" s="367">
        <v>100008</v>
      </c>
      <c r="B52" s="16" t="s">
        <v>5</v>
      </c>
      <c r="C52" s="56" t="s">
        <v>208</v>
      </c>
      <c r="D52" s="12" t="s">
        <v>6394</v>
      </c>
      <c r="E52" s="12" t="s">
        <v>6395</v>
      </c>
      <c r="F52" s="16" t="s">
        <v>6396</v>
      </c>
      <c r="G52" s="16" t="s">
        <v>179</v>
      </c>
      <c r="H52" s="16" t="s">
        <v>95</v>
      </c>
      <c r="I52" s="16" t="s">
        <v>3</v>
      </c>
      <c r="J52" s="14">
        <v>46127</v>
      </c>
      <c r="K52" s="13" t="s">
        <v>6397</v>
      </c>
      <c r="L52" s="14">
        <f t="shared" si="12"/>
        <v>46134</v>
      </c>
      <c r="M52" s="14">
        <v>46137</v>
      </c>
      <c r="N52" s="92">
        <f t="shared" si="9"/>
        <v>3</v>
      </c>
      <c r="O52" s="10" t="s">
        <v>6428</v>
      </c>
      <c r="P52" s="10" t="s">
        <v>5</v>
      </c>
      <c r="Q52" s="21">
        <v>46138</v>
      </c>
      <c r="R52" s="10" t="s">
        <v>6535</v>
      </c>
      <c r="S52" s="14">
        <f t="shared" si="13"/>
        <v>46145</v>
      </c>
      <c r="T52" s="21">
        <v>46142</v>
      </c>
      <c r="U52" s="92">
        <f t="shared" si="14"/>
        <v>-3</v>
      </c>
      <c r="V52" s="10" t="s">
        <v>6538</v>
      </c>
      <c r="W52" s="10"/>
      <c r="X52" s="21"/>
      <c r="Y52" s="10"/>
      <c r="Z52" s="14"/>
      <c r="AA52" s="21"/>
      <c r="AB52" s="92"/>
      <c r="AC52" s="10"/>
      <c r="AD52" s="10"/>
      <c r="AE52" s="21"/>
      <c r="AF52" s="10"/>
      <c r="AG52" s="14"/>
      <c r="AH52" s="21"/>
      <c r="AI52" s="92"/>
      <c r="AJ52" s="10"/>
      <c r="AK52" s="10"/>
      <c r="AL52" s="17"/>
      <c r="AM52" s="11"/>
      <c r="AN52" s="11"/>
      <c r="AO52" s="17"/>
      <c r="AP52" s="123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1"/>
      <c r="BF52" s="259"/>
    </row>
    <row r="53" spans="1:58" s="381" customFormat="1" ht="42" customHeight="1" x14ac:dyDescent="0.25">
      <c r="A53" s="367">
        <v>100008</v>
      </c>
      <c r="B53" s="16" t="s">
        <v>4</v>
      </c>
      <c r="C53" s="56" t="s">
        <v>208</v>
      </c>
      <c r="D53" s="12" t="s">
        <v>6768</v>
      </c>
      <c r="E53" s="10" t="s">
        <v>6769</v>
      </c>
      <c r="F53" s="16" t="s">
        <v>6770</v>
      </c>
      <c r="G53" s="16" t="s">
        <v>179</v>
      </c>
      <c r="H53" s="16" t="s">
        <v>95</v>
      </c>
      <c r="I53" s="16" t="s">
        <v>18</v>
      </c>
      <c r="J53" s="14">
        <v>46155</v>
      </c>
      <c r="K53" s="13" t="s">
        <v>6771</v>
      </c>
      <c r="L53" s="14">
        <f t="shared" si="12"/>
        <v>46162</v>
      </c>
      <c r="M53" s="14">
        <v>46174</v>
      </c>
      <c r="N53" s="92">
        <f t="shared" si="9"/>
        <v>12</v>
      </c>
      <c r="O53" s="10" t="s">
        <v>6788</v>
      </c>
      <c r="P53" s="10" t="s">
        <v>4</v>
      </c>
      <c r="Q53" s="21">
        <v>46256</v>
      </c>
      <c r="R53" s="10" t="s">
        <v>7499</v>
      </c>
      <c r="S53" s="14">
        <f t="shared" si="13"/>
        <v>46263</v>
      </c>
      <c r="T53" s="21"/>
      <c r="U53" s="92">
        <f t="shared" si="14"/>
        <v>-46263</v>
      </c>
      <c r="V53" s="10" t="s">
        <v>7505</v>
      </c>
      <c r="W53" s="10"/>
      <c r="X53" s="21"/>
      <c r="Y53" s="10"/>
      <c r="Z53" s="14"/>
      <c r="AA53" s="21"/>
      <c r="AB53" s="92"/>
      <c r="AC53" s="10"/>
      <c r="AD53" s="10"/>
      <c r="AE53" s="21"/>
      <c r="AF53" s="10"/>
      <c r="AG53" s="14"/>
      <c r="AH53" s="21"/>
      <c r="AI53" s="92"/>
      <c r="AJ53" s="10"/>
      <c r="AK53" s="10"/>
      <c r="AL53" s="17"/>
      <c r="AM53" s="11"/>
      <c r="AN53" s="11"/>
      <c r="AO53" s="17"/>
      <c r="AP53" s="123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1"/>
      <c r="BF53" s="259"/>
    </row>
    <row r="54" spans="1:58" s="381" customFormat="1" ht="42" customHeight="1" x14ac:dyDescent="0.25">
      <c r="A54" s="367">
        <v>310002</v>
      </c>
      <c r="B54" s="11" t="s">
        <v>5</v>
      </c>
      <c r="C54" s="56" t="s">
        <v>588</v>
      </c>
      <c r="D54" s="12" t="s">
        <v>4664</v>
      </c>
      <c r="E54" s="12" t="s">
        <v>4663</v>
      </c>
      <c r="F54" s="16" t="s">
        <v>4665</v>
      </c>
      <c r="G54" s="16" t="s">
        <v>179</v>
      </c>
      <c r="H54" s="16" t="s">
        <v>95</v>
      </c>
      <c r="I54" s="16" t="s">
        <v>3</v>
      </c>
      <c r="J54" s="14">
        <v>45966</v>
      </c>
      <c r="K54" s="13" t="s">
        <v>4748</v>
      </c>
      <c r="L54" s="14">
        <f>J54+7</f>
        <v>45973</v>
      </c>
      <c r="M54" s="14">
        <v>45979</v>
      </c>
      <c r="N54" s="92">
        <f t="shared" si="9"/>
        <v>6</v>
      </c>
      <c r="O54" s="10" t="s">
        <v>4762</v>
      </c>
      <c r="P54" s="10" t="s">
        <v>18</v>
      </c>
      <c r="Q54" s="21">
        <v>46058</v>
      </c>
      <c r="R54" s="10" t="s">
        <v>5763</v>
      </c>
      <c r="S54" s="14">
        <f t="shared" si="13"/>
        <v>46065</v>
      </c>
      <c r="T54" s="21">
        <v>46068</v>
      </c>
      <c r="U54" s="92">
        <f t="shared" si="14"/>
        <v>3</v>
      </c>
      <c r="V54" s="10" t="s">
        <v>5779</v>
      </c>
      <c r="W54" s="10" t="s">
        <v>5</v>
      </c>
      <c r="X54" s="21">
        <v>46097</v>
      </c>
      <c r="Y54" s="10" t="s">
        <v>6084</v>
      </c>
      <c r="Z54" s="14">
        <f>X54+7</f>
        <v>46104</v>
      </c>
      <c r="AA54" s="21">
        <v>46111</v>
      </c>
      <c r="AB54" s="92">
        <f>AA54-Z54</f>
        <v>7</v>
      </c>
      <c r="AC54" s="10" t="s">
        <v>6098</v>
      </c>
      <c r="AD54" s="10"/>
      <c r="AE54" s="21"/>
      <c r="AF54" s="10"/>
      <c r="AG54" s="10"/>
      <c r="AH54" s="21"/>
      <c r="AI54" s="21"/>
      <c r="AJ54" s="10"/>
      <c r="AK54" s="10"/>
      <c r="AL54" s="17"/>
      <c r="AM54" s="11"/>
      <c r="AN54" s="11"/>
      <c r="AO54" s="17"/>
      <c r="AP54" s="123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1"/>
      <c r="BF54" s="259"/>
    </row>
    <row r="55" spans="1:58" s="381" customFormat="1" ht="42" customHeight="1" x14ac:dyDescent="0.25">
      <c r="A55" s="367"/>
      <c r="B55" s="57"/>
      <c r="C55" s="57"/>
      <c r="D55" s="12" t="s">
        <v>5037</v>
      </c>
      <c r="E55" s="12"/>
      <c r="F55" s="16"/>
      <c r="G55" s="10"/>
      <c r="H55" s="10"/>
      <c r="I55" s="9" t="s">
        <v>5038</v>
      </c>
      <c r="J55" s="14"/>
      <c r="K55" s="13"/>
      <c r="L55" s="13"/>
      <c r="M55" s="14"/>
      <c r="N55" s="92"/>
      <c r="O55" s="10"/>
      <c r="P55" s="9"/>
      <c r="Q55" s="21"/>
      <c r="R55" s="10"/>
      <c r="S55" s="10"/>
      <c r="T55" s="21"/>
      <c r="U55" s="21"/>
      <c r="V55" s="10"/>
      <c r="W55" s="10"/>
      <c r="X55" s="21"/>
      <c r="Y55" s="10"/>
      <c r="Z55" s="10"/>
      <c r="AA55" s="21"/>
      <c r="AB55" s="95"/>
      <c r="AC55" s="10"/>
      <c r="AD55" s="10"/>
      <c r="AE55" s="21"/>
      <c r="AF55" s="10"/>
      <c r="AG55" s="10"/>
      <c r="AH55" s="21"/>
      <c r="AI55" s="21"/>
      <c r="AJ55" s="10"/>
      <c r="AK55" s="10"/>
      <c r="AL55" s="17"/>
      <c r="AM55" s="11"/>
      <c r="AN55" s="11"/>
      <c r="AO55" s="17"/>
      <c r="AP55" s="123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1"/>
      <c r="BF55" s="259"/>
    </row>
    <row r="56" spans="1:58" s="381" customFormat="1" ht="42" customHeight="1" thickBot="1" x14ac:dyDescent="0.3">
      <c r="A56" s="369"/>
      <c r="B56" s="446"/>
      <c r="C56" s="446"/>
      <c r="D56" s="370"/>
      <c r="E56" s="370"/>
      <c r="F56" s="262"/>
      <c r="G56" s="263"/>
      <c r="H56" s="263"/>
      <c r="I56" s="447"/>
      <c r="J56" s="474"/>
      <c r="K56" s="373"/>
      <c r="L56" s="373"/>
      <c r="M56" s="474"/>
      <c r="N56" s="425"/>
      <c r="O56" s="263"/>
      <c r="P56" s="447"/>
      <c r="Q56" s="374"/>
      <c r="R56" s="263"/>
      <c r="S56" s="263"/>
      <c r="T56" s="374"/>
      <c r="U56" s="374"/>
      <c r="V56" s="263"/>
      <c r="W56" s="263"/>
      <c r="X56" s="374"/>
      <c r="Y56" s="263"/>
      <c r="Z56" s="263"/>
      <c r="AA56" s="374"/>
      <c r="AB56" s="375"/>
      <c r="AC56" s="263"/>
      <c r="AD56" s="263"/>
      <c r="AE56" s="374"/>
      <c r="AF56" s="263"/>
      <c r="AG56" s="263"/>
      <c r="AH56" s="374"/>
      <c r="AI56" s="374"/>
      <c r="AJ56" s="263"/>
      <c r="AK56" s="263"/>
      <c r="AL56" s="376"/>
      <c r="AM56" s="371"/>
      <c r="AN56" s="371"/>
      <c r="AO56" s="376"/>
      <c r="AP56" s="377"/>
      <c r="AQ56" s="376"/>
      <c r="AR56" s="376"/>
      <c r="AS56" s="376"/>
      <c r="AT56" s="376"/>
      <c r="AU56" s="376"/>
      <c r="AV56" s="376"/>
      <c r="AW56" s="376"/>
      <c r="AX56" s="376"/>
      <c r="AY56" s="376"/>
      <c r="AZ56" s="376"/>
      <c r="BA56" s="376"/>
      <c r="BB56" s="376"/>
      <c r="BC56" s="376"/>
      <c r="BD56" s="376"/>
      <c r="BE56" s="371"/>
      <c r="BF56" s="266"/>
    </row>
  </sheetData>
  <autoFilter ref="A11:BF11" xr:uid="{00000000-0001-0000-1500-000000000000}"/>
  <mergeCells count="18">
    <mergeCell ref="H1:H2"/>
    <mergeCell ref="I1:I2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  <mergeCell ref="A10:A11"/>
    <mergeCell ref="G10:G11"/>
    <mergeCell ref="B10:B11"/>
    <mergeCell ref="C10:C11"/>
    <mergeCell ref="D10:D11"/>
    <mergeCell ref="E10:E11"/>
    <mergeCell ref="F10:F11"/>
  </mergeCells>
  <phoneticPr fontId="5" type="noConversion"/>
  <conditionalFormatting sqref="A10:A1048576">
    <cfRule type="cellIs" dxfId="3074" priority="61" operator="equal">
      <formula>"E - Review not Required - Proceed"</formula>
    </cfRule>
    <cfRule type="cellIs" dxfId="3073" priority="62" operator="equal">
      <formula>"D - Rejected"</formula>
    </cfRule>
    <cfRule type="cellIs" dxfId="3072" priority="63" operator="equal">
      <formula>"B- Incorporate Comments - Proceed"</formula>
    </cfRule>
    <cfRule type="cellIs" dxfId="3071" priority="64" operator="equal">
      <formula>"C - Revise and Resubmit - Do Not Proceed"</formula>
    </cfRule>
    <cfRule type="cellIs" dxfId="3070" priority="83" operator="equal">
      <formula>"A - Work May Proceed"</formula>
    </cfRule>
  </conditionalFormatting>
  <conditionalFormatting sqref="B12:BE23 BF12:XFD31 B24:AB24 AD24:BE24 B25:BE27 B28:X28 Z28:AB28 AD28:BE28 B29:BE29 B30:AB31 AD30:BE31">
    <cfRule type="cellIs" dxfId="3069" priority="112" operator="equal">
      <formula>"C - Revise and Resubmit - Do Not Proceed"</formula>
    </cfRule>
    <cfRule type="cellIs" dxfId="3068" priority="109" operator="equal">
      <formula>"E - Review not Required - Proceed"</formula>
    </cfRule>
    <cfRule type="cellIs" dxfId="3067" priority="110" operator="equal">
      <formula>"D - Rejected"</formula>
    </cfRule>
    <cfRule type="cellIs" dxfId="3066" priority="111" operator="equal">
      <formula>"B- Incorporate Comments - Proceed"</formula>
    </cfRule>
    <cfRule type="cellIs" dxfId="3065" priority="113" operator="equal">
      <formula>"A - Work May Proceed"</formula>
    </cfRule>
  </conditionalFormatting>
  <conditionalFormatting sqref="B32:XFD56">
    <cfRule type="cellIs" dxfId="3064" priority="2" operator="equal">
      <formula>"D - Rejected"</formula>
    </cfRule>
    <cfRule type="cellIs" dxfId="3063" priority="3" operator="equal">
      <formula>"B- Incorporate Comments - Proceed"</formula>
    </cfRule>
    <cfRule type="cellIs" dxfId="3062" priority="4" operator="equal">
      <formula>"C - Revise and Resubmit - Do Not Proceed"</formula>
    </cfRule>
    <cfRule type="cellIs" dxfId="3061" priority="5" operator="equal">
      <formula>"A - Work May Proceed"</formula>
    </cfRule>
    <cfRule type="cellIs" dxfId="3060" priority="1" operator="equal">
      <formula>"E - Review not Required - Proceed"</formula>
    </cfRule>
  </conditionalFormatting>
  <conditionalFormatting sqref="D11:BE11 B1:G2 W1:XFD9 B3:H4 B9:H9 B10:XFD10 B11">
    <cfRule type="cellIs" dxfId="3059" priority="161" operator="equal">
      <formula>"B- Incorporate Comments - Proceed"</formula>
    </cfRule>
    <cfRule type="cellIs" dxfId="3058" priority="162" operator="equal">
      <formula>"C - Revise and Resubmit - Do Not Proceed"</formula>
    </cfRule>
    <cfRule type="cellIs" dxfId="3057" priority="163" operator="equal">
      <formula>"A - Work May Proceed"</formula>
    </cfRule>
    <cfRule type="cellIs" dxfId="3056" priority="159" operator="equal">
      <formula>"E - Review not Required - Proceed"</formula>
    </cfRule>
    <cfRule type="cellIs" dxfId="3055" priority="160" operator="equal">
      <formula>"D - Rejected"</formula>
    </cfRule>
  </conditionalFormatting>
  <conditionalFormatting sqref="I11">
    <cfRule type="cellIs" dxfId="3054" priority="231" operator="equal">
      <formula>"E - Review Not Required - Proceed"</formula>
    </cfRule>
    <cfRule type="cellIs" dxfId="3053" priority="230" operator="equal">
      <formula>"B - Incorporate Comments - Proceed "</formula>
    </cfRule>
    <cfRule type="cellIs" dxfId="3052" priority="229" operator="equal">
      <formula>"For Information"</formula>
    </cfRule>
    <cfRule type="cellIs" dxfId="3051" priority="228" operator="equal">
      <formula>"B - Incorporate Comments - Proceed"</formula>
    </cfRule>
    <cfRule type="cellIs" dxfId="3050" priority="243" stopIfTrue="1" operator="between">
      <formula>"B - Incorporate Comments - Proceed "</formula>
      <formula>"B - Incorporate Comments - Proceed "</formula>
    </cfRule>
    <cfRule type="cellIs" dxfId="3049" priority="242" operator="between">
      <formula>"C - Revise and Resubmit - Do Not Proceed"</formula>
      <formula>"C - Revise and Resubmit - Do Not Proceed"</formula>
    </cfRule>
    <cfRule type="cellIs" dxfId="3048" priority="241" operator="between">
      <formula>"A - Work May Proceed"</formula>
      <formula>"A - Work May Proceed"</formula>
    </cfRule>
    <cfRule type="cellIs" dxfId="3047" priority="240" operator="between">
      <formula>"CANCELLED"</formula>
      <formula>"CANCELLED"</formula>
    </cfRule>
    <cfRule type="cellIs" dxfId="3046" priority="239" operator="between">
      <formula>"D - Rejected "</formula>
      <formula>"D - Rejected "</formula>
    </cfRule>
    <cfRule type="cellIs" dxfId="3045" priority="238" operator="between">
      <formula>"E - Review not Required - Proceed"</formula>
      <formula>"E - Review not Required - Proceed"</formula>
    </cfRule>
    <cfRule type="cellIs" dxfId="3044" priority="237" operator="between">
      <formula>"B - Incorporate Comments - Proceed"</formula>
      <formula>"B - Incorporate Comments - Proceed"</formula>
    </cfRule>
    <cfRule type="cellIs" dxfId="3043" priority="236" operator="between">
      <formula>"A - Work May Proceed"</formula>
      <formula>"A - Work May Proceed"</formula>
    </cfRule>
    <cfRule type="cellIs" dxfId="3042" priority="235" operator="between">
      <formula>"B - Incorporate Comments - Proceed"</formula>
      <formula>"B - Incorporate Comments - Proceed"</formula>
    </cfRule>
    <cfRule type="cellIs" dxfId="3041" priority="234" operator="between">
      <formula>"C - Revise and Resubmit - Do Not Proceed"</formula>
      <formula>"C - Revise and Resubmit - Do Not Proceed"</formula>
    </cfRule>
    <cfRule type="cellIs" dxfId="3040" priority="233" operator="between">
      <formula>"'D - Rejected "</formula>
      <formula>"'D - Rejected "</formula>
    </cfRule>
    <cfRule type="cellIs" dxfId="3039" priority="232" operator="between">
      <formula>"E - Review not Required - Proceed"</formula>
      <formula>"E - Review not Required - Proceed"</formula>
    </cfRule>
  </conditionalFormatting>
  <conditionalFormatting sqref="J5:J6 B5:I7 B8:J8">
    <cfRule type="cellIs" dxfId="3038" priority="99" operator="equal">
      <formula>"E - Review not Required - Proceed"</formula>
    </cfRule>
    <cfRule type="cellIs" dxfId="3037" priority="100" operator="equal">
      <formula>"D - Rejected"</formula>
    </cfRule>
    <cfRule type="cellIs" dxfId="3036" priority="101" operator="equal">
      <formula>"B- Incorporate Comments - Proceed"</formula>
    </cfRule>
    <cfRule type="cellIs" dxfId="3035" priority="102" operator="equal">
      <formula>"C - Revise and Resubmit - Do Not Proceed"</formula>
    </cfRule>
    <cfRule type="cellIs" dxfId="3034" priority="103" stopIfTrue="1" operator="equal">
      <formula>"A - Work May Proceed"</formula>
    </cfRule>
  </conditionalFormatting>
  <conditionalFormatting sqref="P11">
    <cfRule type="cellIs" dxfId="3033" priority="212" operator="equal">
      <formula>"B - Incorporate Comments - Proceed"</formula>
    </cfRule>
    <cfRule type="cellIs" dxfId="3032" priority="213" operator="equal">
      <formula>"For Information"</formula>
    </cfRule>
    <cfRule type="cellIs" dxfId="3031" priority="214" operator="equal">
      <formula>"B - Incorporate Comments - Proceed "</formula>
    </cfRule>
    <cfRule type="cellIs" dxfId="3030" priority="215" operator="equal">
      <formula>"E - Review Not Required - Proceed"</formula>
    </cfRule>
    <cfRule type="cellIs" dxfId="3029" priority="216" operator="between">
      <formula>"E - Review not Required - Proceed"</formula>
      <formula>"E - Review not Required - Proceed"</formula>
    </cfRule>
    <cfRule type="cellIs" dxfId="3028" priority="217" operator="between">
      <formula>"'D - Rejected "</formula>
      <formula>"'D - Rejected "</formula>
    </cfRule>
    <cfRule type="cellIs" dxfId="3027" priority="218" operator="between">
      <formula>"C - Revise and Resubmit - Do Not Proceed"</formula>
      <formula>"C - Revise and Resubmit - Do Not Proceed"</formula>
    </cfRule>
    <cfRule type="cellIs" dxfId="3026" priority="219" operator="between">
      <formula>"B - Incorporate Comments - Proceed"</formula>
      <formula>"B - Incorporate Comments - Proceed"</formula>
    </cfRule>
    <cfRule type="cellIs" dxfId="3025" priority="220" operator="between">
      <formula>"A - Work May Proceed"</formula>
      <formula>"A - Work May Proceed"</formula>
    </cfRule>
    <cfRule type="cellIs" dxfId="3024" priority="221" operator="between">
      <formula>"B - Incorporate Comments - Proceed"</formula>
      <formula>"B - Incorporate Comments - Proceed"</formula>
    </cfRule>
    <cfRule type="cellIs" dxfId="3023" priority="222" operator="between">
      <formula>"E - Review not Required - Proceed"</formula>
      <formula>"E - Review not Required - Proceed"</formula>
    </cfRule>
    <cfRule type="cellIs" dxfId="3022" priority="223" operator="between">
      <formula>"D - Rejected "</formula>
      <formula>"D - Rejected "</formula>
    </cfRule>
    <cfRule type="cellIs" dxfId="3021" priority="224" operator="between">
      <formula>"CANCELLED"</formula>
      <formula>"CANCELLED"</formula>
    </cfRule>
    <cfRule type="cellIs" dxfId="3020" priority="226" operator="between">
      <formula>"C - Revise and Resubmit - Do Not Proceed"</formula>
      <formula>"C - Revise and Resubmit - Do Not Proceed"</formula>
    </cfRule>
    <cfRule type="cellIs" dxfId="3019" priority="227" stopIfTrue="1" operator="between">
      <formula>"B - Incorporate Comments - Proceed "</formula>
      <formula>"B - Incorporate Comments - Proceed "</formula>
    </cfRule>
    <cfRule type="cellIs" dxfId="3018" priority="225" operator="between">
      <formula>"A - Work May Proceed"</formula>
      <formula>"A - Work May Proceed"</formula>
    </cfRule>
  </conditionalFormatting>
  <conditionalFormatting sqref="W11">
    <cfRule type="cellIs" dxfId="3017" priority="196" operator="equal">
      <formula>"B - Incorporate Comments - Proceed"</formula>
    </cfRule>
    <cfRule type="cellIs" dxfId="3016" priority="197" operator="equal">
      <formula>"For Information"</formula>
    </cfRule>
    <cfRule type="cellIs" dxfId="3015" priority="200" operator="between">
      <formula>"E - Review not Required - Proceed"</formula>
      <formula>"E - Review not Required - Proceed"</formula>
    </cfRule>
    <cfRule type="cellIs" dxfId="3014" priority="198" operator="equal">
      <formula>"B - Incorporate Comments - Proceed "</formula>
    </cfRule>
    <cfRule type="cellIs" dxfId="3013" priority="199" operator="equal">
      <formula>"E - Review Not Required - Proceed"</formula>
    </cfRule>
    <cfRule type="cellIs" dxfId="3012" priority="207" operator="between">
      <formula>"D - Rejected "</formula>
      <formula>"D - Rejected "</formula>
    </cfRule>
    <cfRule type="cellIs" dxfId="3011" priority="210" operator="between">
      <formula>"C - Revise and Resubmit - Do Not Proceed"</formula>
      <formula>"C - Revise and Resubmit - Do Not Proceed"</formula>
    </cfRule>
    <cfRule type="cellIs" dxfId="3010" priority="209" operator="between">
      <formula>"A - Work May Proceed"</formula>
      <formula>"A - Work May Proceed"</formula>
    </cfRule>
    <cfRule type="cellIs" dxfId="3009" priority="208" operator="between">
      <formula>"CANCELLED"</formula>
      <formula>"CANCELLED"</formula>
    </cfRule>
    <cfRule type="cellIs" dxfId="3008" priority="206" operator="between">
      <formula>"E - Review not Required - Proceed"</formula>
      <formula>"E - Review not Required - Proceed"</formula>
    </cfRule>
    <cfRule type="cellIs" dxfId="3007" priority="205" operator="between">
      <formula>"B - Incorporate Comments - Proceed"</formula>
      <formula>"B - Incorporate Comments - Proceed"</formula>
    </cfRule>
    <cfRule type="cellIs" dxfId="3006" priority="211" stopIfTrue="1" operator="between">
      <formula>"B - Incorporate Comments - Proceed "</formula>
      <formula>"B - Incorporate Comments - Proceed "</formula>
    </cfRule>
    <cfRule type="cellIs" dxfId="3005" priority="204" operator="between">
      <formula>"A - Work May Proceed"</formula>
      <formula>"A - Work May Proceed"</formula>
    </cfRule>
    <cfRule type="cellIs" dxfId="3004" priority="203" operator="between">
      <formula>"B - Incorporate Comments - Proceed"</formula>
      <formula>"B - Incorporate Comments - Proceed"</formula>
    </cfRule>
    <cfRule type="cellIs" dxfId="3003" priority="202" operator="between">
      <formula>"C - Revise and Resubmit - Do Not Proceed"</formula>
      <formula>"C - Revise and Resubmit - Do Not Proceed"</formula>
    </cfRule>
    <cfRule type="cellIs" dxfId="3002" priority="201" operator="between">
      <formula>"'D - Rejected "</formula>
      <formula>"'D - Rejected "</formula>
    </cfRule>
  </conditionalFormatting>
  <conditionalFormatting sqref="AD11">
    <cfRule type="cellIs" dxfId="3001" priority="184" operator="between">
      <formula>"E - Review not Required - Proceed"</formula>
      <formula>"E - Review not Required - Proceed"</formula>
    </cfRule>
    <cfRule type="cellIs" dxfId="3000" priority="185" operator="between">
      <formula>"'D - Rejected "</formula>
      <formula>"'D - Rejected "</formula>
    </cfRule>
    <cfRule type="cellIs" dxfId="2999" priority="186" operator="between">
      <formula>"C - Revise and Resubmit - Do Not Proceed"</formula>
      <formula>"C - Revise and Resubmit - Do Not Proceed"</formula>
    </cfRule>
    <cfRule type="cellIs" dxfId="2998" priority="189" operator="between">
      <formula>"B - Incorporate Comments - Proceed"</formula>
      <formula>"B - Incorporate Comments - Proceed"</formula>
    </cfRule>
    <cfRule type="cellIs" dxfId="2997" priority="187" operator="between">
      <formula>"B - Incorporate Comments - Proceed"</formula>
      <formula>"B - Incorporate Comments - Proceed"</formula>
    </cfRule>
    <cfRule type="cellIs" dxfId="2996" priority="188" operator="between">
      <formula>"A - Work May Proceed"</formula>
      <formula>"A - Work May Proceed"</formula>
    </cfRule>
    <cfRule type="cellIs" dxfId="2995" priority="190" operator="between">
      <formula>"E - Review not Required - Proceed"</formula>
      <formula>"E - Review not Required - Proceed"</formula>
    </cfRule>
    <cfRule type="cellIs" dxfId="2994" priority="191" operator="between">
      <formula>"D - Rejected "</formula>
      <formula>"D - Rejected "</formula>
    </cfRule>
    <cfRule type="cellIs" dxfId="2993" priority="192" operator="between">
      <formula>"CANCELLED"</formula>
      <formula>"CANCELLED"</formula>
    </cfRule>
    <cfRule type="cellIs" dxfId="2992" priority="193" operator="between">
      <formula>"A - Work May Proceed"</formula>
      <formula>"A - Work May Proceed"</formula>
    </cfRule>
    <cfRule type="cellIs" dxfId="2991" priority="194" operator="between">
      <formula>"C - Revise and Resubmit - Do Not Proceed"</formula>
      <formula>"C - Revise and Resubmit - Do Not Proceed"</formula>
    </cfRule>
    <cfRule type="cellIs" dxfId="2990" priority="195" stopIfTrue="1" operator="between">
      <formula>"B - Incorporate Comments - Proceed "</formula>
      <formula>"B - Incorporate Comments - Proceed "</formula>
    </cfRule>
    <cfRule type="cellIs" dxfId="2989" priority="181" operator="equal">
      <formula>"For Information"</formula>
    </cfRule>
    <cfRule type="cellIs" dxfId="2988" priority="180" operator="equal">
      <formula>"B - Incorporate Comments - Proceed"</formula>
    </cfRule>
    <cfRule type="cellIs" dxfId="2987" priority="182" operator="equal">
      <formula>"B - Incorporate Comments - Proceed "</formula>
    </cfRule>
    <cfRule type="cellIs" dxfId="2986" priority="183" operator="equal">
      <formula>"E - Review Not Required - Proceed"</formula>
    </cfRule>
  </conditionalFormatting>
  <conditionalFormatting sqref="AK11">
    <cfRule type="cellIs" dxfId="2985" priority="171" operator="between">
      <formula>"B - Incorporate Comments - Proceed"</formula>
      <formula>"B - Incorporate Comments - Proceed"</formula>
    </cfRule>
    <cfRule type="cellIs" dxfId="2984" priority="179" stopIfTrue="1" operator="between">
      <formula>"B - Incorporate Comments - Proceed "</formula>
      <formula>"B - Incorporate Comments - Proceed "</formula>
    </cfRule>
    <cfRule type="cellIs" dxfId="2983" priority="176" operator="between">
      <formula>"CANCELLED"</formula>
      <formula>"CANCELLED"</formula>
    </cfRule>
    <cfRule type="cellIs" dxfId="2982" priority="178" operator="between">
      <formula>"C - Revise and Resubmit - Do Not Proceed"</formula>
      <formula>"C - Revise and Resubmit - Do Not Proceed"</formula>
    </cfRule>
    <cfRule type="cellIs" dxfId="2981" priority="177" operator="between">
      <formula>"A - Work May Proceed"</formula>
      <formula>"A - Work May Proceed"</formula>
    </cfRule>
    <cfRule type="cellIs" dxfId="2980" priority="172" operator="between">
      <formula>"A - Work May Proceed"</formula>
      <formula>"A - Work May Proceed"</formula>
    </cfRule>
    <cfRule type="cellIs" dxfId="2979" priority="173" operator="between">
      <formula>"B - Incorporate Comments - Proceed"</formula>
      <formula>"B - Incorporate Comments - Proceed"</formula>
    </cfRule>
    <cfRule type="cellIs" dxfId="2978" priority="165" operator="equal">
      <formula>"For Information"</formula>
    </cfRule>
    <cfRule type="cellIs" dxfId="2977" priority="174" operator="between">
      <formula>"E - Review not Required - Proceed"</formula>
      <formula>"E - Review not Required - Proceed"</formula>
    </cfRule>
    <cfRule type="cellIs" dxfId="2976" priority="175" operator="between">
      <formula>"D - Rejected "</formula>
      <formula>"D - Rejected "</formula>
    </cfRule>
    <cfRule type="cellIs" dxfId="2975" priority="169" operator="between">
      <formula>"'D - Rejected "</formula>
      <formula>"'D - Rejected "</formula>
    </cfRule>
    <cfRule type="cellIs" dxfId="2974" priority="168" operator="between">
      <formula>"E - Review not Required - Proceed"</formula>
      <formula>"E - Review not Required - Proceed"</formula>
    </cfRule>
    <cfRule type="cellIs" dxfId="2973" priority="167" operator="equal">
      <formula>"E - Review Not Required - Proceed"</formula>
    </cfRule>
    <cfRule type="cellIs" dxfId="2972" priority="166" operator="equal">
      <formula>"B - Incorporate Comments - Proceed "</formula>
    </cfRule>
    <cfRule type="cellIs" dxfId="2971" priority="164" operator="equal">
      <formula>"B - Incorporate Comments - Proceed"</formula>
    </cfRule>
    <cfRule type="cellIs" dxfId="2970" priority="170" operator="between">
      <formula>"C - Revise and Resubmit - Do Not Proceed"</formula>
      <formula>"C - Revise and Resubmit - Do Not Proceed"</formula>
    </cfRule>
  </conditionalFormatting>
  <conditionalFormatting sqref="AR11">
    <cfRule type="cellIs" dxfId="2969" priority="125" operator="equal">
      <formula>"B - Incorporate Comments - Proceed "</formula>
    </cfRule>
    <cfRule type="cellIs" dxfId="2968" priority="127" operator="between">
      <formula>"E - Review not Required - Proceed"</formula>
      <formula>"E - Review not Required - Proceed"</formula>
    </cfRule>
    <cfRule type="cellIs" dxfId="2967" priority="128" operator="between">
      <formula>"'D - Rejected "</formula>
      <formula>"'D - Rejected "</formula>
    </cfRule>
    <cfRule type="cellIs" dxfId="2966" priority="129" operator="between">
      <formula>"C - Revise and Resubmit - Do Not Proceed"</formula>
      <formula>"C - Revise and Resubmit - Do Not Proceed"</formula>
    </cfRule>
    <cfRule type="cellIs" dxfId="2965" priority="131" operator="between">
      <formula>"A - Work May Proceed"</formula>
      <formula>"A - Work May Proceed"</formula>
    </cfRule>
    <cfRule type="cellIs" dxfId="2964" priority="132" operator="between">
      <formula>"B - Incorporate Comments - Proceed"</formula>
      <formula>"B - Incorporate Comments - Proceed"</formula>
    </cfRule>
    <cfRule type="cellIs" dxfId="2963" priority="133" operator="between">
      <formula>"E - Review not Required - Proceed"</formula>
      <formula>"E - Review not Required - Proceed"</formula>
    </cfRule>
    <cfRule type="cellIs" dxfId="2962" priority="134" operator="between">
      <formula>"D - Rejected "</formula>
      <formula>"D - Rejected "</formula>
    </cfRule>
    <cfRule type="cellIs" dxfId="2961" priority="135" operator="between">
      <formula>"CANCELLED"</formula>
      <formula>"CANCELLED"</formula>
    </cfRule>
    <cfRule type="cellIs" dxfId="2960" priority="136" operator="between">
      <formula>"A - Work May Proceed"</formula>
      <formula>"A - Work May Proceed"</formula>
    </cfRule>
    <cfRule type="cellIs" dxfId="2959" priority="137" operator="between">
      <formula>"C - Revise and Resubmit - Do Not Proceed"</formula>
      <formula>"C - Revise and Resubmit - Do Not Proceed"</formula>
    </cfRule>
    <cfRule type="cellIs" dxfId="2958" priority="138" stopIfTrue="1" operator="between">
      <formula>"B - Incorporate Comments - Proceed "</formula>
      <formula>"B - Incorporate Comments - Proceed "</formula>
    </cfRule>
    <cfRule type="cellIs" dxfId="2957" priority="126" operator="equal">
      <formula>"E - Review Not Required - Proceed"</formula>
    </cfRule>
    <cfRule type="cellIs" dxfId="2956" priority="119" operator="equal">
      <formula>"E - Review not Required - Proceed"</formula>
    </cfRule>
    <cfRule type="cellIs" dxfId="2955" priority="120" operator="equal">
      <formula>"D - Rejected"</formula>
    </cfRule>
    <cfRule type="cellIs" dxfId="2954" priority="121" operator="equal">
      <formula>"B - Incorporate Comments - Proceed"</formula>
    </cfRule>
    <cfRule type="cellIs" dxfId="2953" priority="122" operator="equal">
      <formula>"C - Revise and Resubmit - Do Not Proceed"</formula>
    </cfRule>
    <cfRule type="cellIs" dxfId="2952" priority="130" operator="between">
      <formula>"B - Incorporate Comments - Proceed"</formula>
      <formula>"B - Incorporate Comments - Proceed"</formula>
    </cfRule>
    <cfRule type="cellIs" dxfId="2951" priority="123" operator="equal">
      <formula>"A - Work May Proceed"</formula>
    </cfRule>
    <cfRule type="cellIs" dxfId="2950" priority="124" operator="equal">
      <formula>"For Information"</formula>
    </cfRule>
  </conditionalFormatting>
  <conditionalFormatting sqref="AY11">
    <cfRule type="cellIs" dxfId="2949" priority="146" operator="equal">
      <formula>"E - Review Not Required - Proceed"</formula>
    </cfRule>
    <cfRule type="cellIs" dxfId="2948" priority="139" operator="equal">
      <formula>"E - Review not Required - Proceed"</formula>
    </cfRule>
    <cfRule type="cellIs" dxfId="2947" priority="145" operator="equal">
      <formula>"B - Incorporate Comments - Proceed "</formula>
    </cfRule>
    <cfRule type="cellIs" dxfId="2946" priority="144" operator="equal">
      <formula>"For Information"</formula>
    </cfRule>
    <cfRule type="cellIs" dxfId="2945" priority="153" operator="between">
      <formula>"E - Review not Required - Proceed"</formula>
      <formula>"E - Review not Required - Proceed"</formula>
    </cfRule>
    <cfRule type="cellIs" dxfId="2944" priority="141" operator="equal">
      <formula>"B - Incorporate Comments - Proceed"</formula>
    </cfRule>
    <cfRule type="cellIs" dxfId="2943" priority="143" operator="equal">
      <formula>"A - Work May Proceed"</formula>
    </cfRule>
    <cfRule type="cellIs" dxfId="2942" priority="149" operator="between">
      <formula>"C - Revise and Resubmit - Do Not Proceed"</formula>
      <formula>"C - Revise and Resubmit - Do Not Proceed"</formula>
    </cfRule>
    <cfRule type="cellIs" dxfId="2941" priority="140" operator="equal">
      <formula>"D - Rejected"</formula>
    </cfRule>
    <cfRule type="cellIs" dxfId="2940" priority="148" operator="between">
      <formula>"'D - Rejected "</formula>
      <formula>"'D - Rejected "</formula>
    </cfRule>
    <cfRule type="cellIs" dxfId="2939" priority="158" stopIfTrue="1" operator="between">
      <formula>"B - Incorporate Comments - Proceed "</formula>
      <formula>"B - Incorporate Comments - Proceed "</formula>
    </cfRule>
    <cfRule type="cellIs" dxfId="2938" priority="157" operator="between">
      <formula>"C - Revise and Resubmit - Do Not Proceed"</formula>
      <formula>"C - Revise and Resubmit - Do Not Proceed"</formula>
    </cfRule>
    <cfRule type="cellIs" dxfId="2937" priority="142" operator="equal">
      <formula>"C - Revise and Resubmit - Do Not Proceed"</formula>
    </cfRule>
    <cfRule type="cellIs" dxfId="2936" priority="155" operator="between">
      <formula>"CANCELLED"</formula>
      <formula>"CANCELLED"</formula>
    </cfRule>
    <cfRule type="cellIs" dxfId="2935" priority="154" operator="between">
      <formula>"D - Rejected "</formula>
      <formula>"D - Rejected "</formula>
    </cfRule>
    <cfRule type="cellIs" dxfId="2934" priority="147" operator="between">
      <formula>"E - Review not Required - Proceed"</formula>
      <formula>"E - Review not Required - Proceed"</formula>
    </cfRule>
    <cfRule type="cellIs" dxfId="2933" priority="152" operator="between">
      <formula>"B - Incorporate Comments - Proceed"</formula>
      <formula>"B - Incorporate Comments - Proceed"</formula>
    </cfRule>
    <cfRule type="cellIs" dxfId="2932" priority="151" operator="between">
      <formula>"A - Work May Proceed"</formula>
      <formula>"A - Work May Proceed"</formula>
    </cfRule>
    <cfRule type="cellIs" dxfId="2931" priority="150" operator="between">
      <formula>"B - Incorporate Comments - Proceed"</formula>
      <formula>"B - Incorporate Comments - Proceed"</formula>
    </cfRule>
    <cfRule type="cellIs" dxfId="2930" priority="156" operator="between">
      <formula>"A - Work May Proceed"</formula>
      <formula>"A - Work May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>
    <tabColor theme="9"/>
  </sheetPr>
  <dimension ref="A1:BF21"/>
  <sheetViews>
    <sheetView tabSelected="1" zoomScale="55" zoomScaleNormal="55" zoomScaleSheetLayoutView="70" workbookViewId="0">
      <pane ySplit="11" topLeftCell="A12" activePane="bottomLeft" state="frozen"/>
      <selection activeCell="A14" sqref="A14"/>
      <selection pane="bottomLeft" activeCell="C1" sqref="C1"/>
    </sheetView>
  </sheetViews>
  <sheetFormatPr defaultColWidth="9.140625" defaultRowHeight="15" x14ac:dyDescent="0.25"/>
  <cols>
    <col min="1" max="1" width="26.57031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3" width="30.140625" style="471" customWidth="1"/>
    <col min="14" max="14" width="30.140625" style="396" customWidth="1"/>
    <col min="15" max="16" width="30.140625" style="393" customWidth="1"/>
    <col min="17" max="17" width="30.140625" style="397" customWidth="1"/>
    <col min="18" max="19" width="30.140625" style="393" customWidth="1"/>
    <col min="20" max="21" width="30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52" style="401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 s="111"/>
      <c r="O1"/>
      <c r="P1"/>
      <c r="Q1"/>
      <c r="R1"/>
      <c r="S1"/>
      <c r="T1"/>
      <c r="U1"/>
      <c r="V1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"/>
    </row>
    <row r="2" spans="1:58" s="379" customFormat="1" ht="24" customHeight="1" x14ac:dyDescent="0.35">
      <c r="A2" s="8"/>
      <c r="B2" s="25" t="s">
        <v>28</v>
      </c>
      <c r="C2" s="26" t="s">
        <v>181</v>
      </c>
      <c r="D2" s="26"/>
      <c r="E2" s="26"/>
      <c r="F2" s="27"/>
      <c r="G2" s="8"/>
      <c r="H2" s="548"/>
      <c r="I2" s="558"/>
      <c r="J2"/>
      <c r="K2"/>
      <c r="L2"/>
      <c r="M2"/>
      <c r="N2" s="111"/>
      <c r="O2"/>
      <c r="P2"/>
      <c r="Q2"/>
      <c r="R2"/>
      <c r="S2"/>
      <c r="T2"/>
      <c r="U2"/>
      <c r="V2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"/>
    </row>
    <row r="3" spans="1:58" s="379" customFormat="1" ht="24" customHeight="1" x14ac:dyDescent="0.35">
      <c r="A3" s="8"/>
      <c r="B3" s="25" t="s">
        <v>507</v>
      </c>
      <c r="C3" s="49" t="s">
        <v>147</v>
      </c>
      <c r="D3" s="26"/>
      <c r="E3" s="26"/>
      <c r="F3" s="27"/>
      <c r="G3" s="8"/>
      <c r="H3" s="8"/>
      <c r="I3"/>
      <c r="J3"/>
      <c r="K3"/>
      <c r="L3"/>
      <c r="M3"/>
      <c r="N3" s="111"/>
      <c r="O3"/>
      <c r="P3"/>
      <c r="Q3"/>
      <c r="R3"/>
      <c r="S3"/>
      <c r="T3"/>
      <c r="U3"/>
      <c r="V3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 s="111"/>
      <c r="O4"/>
      <c r="P4"/>
      <c r="Q4"/>
      <c r="R4"/>
      <c r="S4"/>
      <c r="T4"/>
      <c r="U4"/>
      <c r="V4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 s="111"/>
      <c r="O5"/>
      <c r="P5"/>
      <c r="Q5"/>
      <c r="R5"/>
      <c r="S5"/>
      <c r="T5"/>
      <c r="U5"/>
      <c r="V5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"/>
    </row>
    <row r="6" spans="1:58" s="379" customFormat="1" ht="24" customHeight="1" x14ac:dyDescent="0.35">
      <c r="A6" s="8"/>
      <c r="B6" s="64">
        <f>COUNTIF(B11:B21,"A - Work May Proceed")</f>
        <v>9</v>
      </c>
      <c r="C6" s="65">
        <f>COUNTIF(B11:B21,"B- Incorporate Comments - Proceed")</f>
        <v>0</v>
      </c>
      <c r="D6" s="65">
        <f>COUNTIF(B11:B21,"C - Revise and Resubmit - Do Not Proceed")</f>
        <v>0</v>
      </c>
      <c r="E6" s="65">
        <f>COUNTIF(B11:B21,"D - Rejected")</f>
        <v>0</v>
      </c>
      <c r="F6" s="65">
        <f>COUNTIF(B11:B21,"E - Review not Required - Proceed")</f>
        <v>0</v>
      </c>
      <c r="G6" s="66">
        <f>COUNTIF(B11:B21,"UR")</f>
        <v>0</v>
      </c>
      <c r="H6" s="66">
        <f>COUNTIF(B11:B21,"FA")</f>
        <v>0</v>
      </c>
      <c r="I6" s="66">
        <f>COUNTIF(B11:B21,"Terminated")</f>
        <v>0</v>
      </c>
      <c r="J6" s="66">
        <f>COUNTIF(B11:B21,"Cancelled")</f>
        <v>0</v>
      </c>
      <c r="K6"/>
      <c r="L6"/>
      <c r="M6"/>
      <c r="N6" s="111"/>
      <c r="O6"/>
      <c r="P6"/>
      <c r="Q6"/>
      <c r="R6"/>
      <c r="S6"/>
      <c r="T6"/>
      <c r="U6"/>
      <c r="V6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 s="111"/>
      <c r="O7"/>
      <c r="P7"/>
      <c r="Q7"/>
      <c r="R7"/>
      <c r="S7"/>
      <c r="T7"/>
      <c r="U7"/>
      <c r="V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"/>
    </row>
    <row r="8" spans="1:58" s="379" customFormat="1" ht="24" customHeight="1" x14ac:dyDescent="0.35">
      <c r="A8" s="8"/>
      <c r="B8" s="72" t="s">
        <v>509</v>
      </c>
      <c r="C8" s="73">
        <f>SUM(B6:I6)</f>
        <v>9</v>
      </c>
      <c r="D8" s="69"/>
      <c r="E8" s="70"/>
      <c r="F8" s="70"/>
      <c r="G8" s="74"/>
      <c r="H8" s="75"/>
      <c r="I8" s="76"/>
      <c r="J8" s="75"/>
      <c r="K8"/>
      <c r="L8"/>
      <c r="M8"/>
      <c r="N8" s="111"/>
      <c r="O8"/>
      <c r="P8"/>
      <c r="Q8"/>
      <c r="R8"/>
      <c r="S8"/>
      <c r="T8"/>
      <c r="U8"/>
      <c r="V8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 s="111"/>
      <c r="O9"/>
      <c r="P9"/>
      <c r="Q9"/>
      <c r="R9"/>
      <c r="S9"/>
      <c r="T9"/>
      <c r="U9"/>
      <c r="V9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"/>
    </row>
    <row r="10" spans="1:58" s="405" customFormat="1" ht="36.75" customHeight="1" x14ac:dyDescent="0.2">
      <c r="A10" s="559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112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407" customFormat="1" ht="42.6" customHeight="1" x14ac:dyDescent="0.25">
      <c r="A12" s="419">
        <v>730007</v>
      </c>
      <c r="B12" s="346" t="s">
        <v>5</v>
      </c>
      <c r="C12" s="346" t="s">
        <v>2456</v>
      </c>
      <c r="D12" s="358" t="s">
        <v>1018</v>
      </c>
      <c r="E12" s="358" t="s">
        <v>1017</v>
      </c>
      <c r="F12" s="347" t="s">
        <v>7483</v>
      </c>
      <c r="G12" s="347" t="s">
        <v>179</v>
      </c>
      <c r="H12" s="355" t="s">
        <v>147</v>
      </c>
      <c r="I12" s="361" t="s">
        <v>3</v>
      </c>
      <c r="J12" s="357">
        <v>45619</v>
      </c>
      <c r="K12" s="358" t="s">
        <v>1019</v>
      </c>
      <c r="L12" s="359">
        <f t="shared" ref="L12:L20" si="0">J12+7</f>
        <v>45626</v>
      </c>
      <c r="M12" s="357">
        <v>45635</v>
      </c>
      <c r="N12" s="360">
        <f t="shared" ref="N12:N20" si="1">M12-L12</f>
        <v>9</v>
      </c>
      <c r="O12" s="358" t="s">
        <v>1028</v>
      </c>
      <c r="P12" s="347" t="s">
        <v>3</v>
      </c>
      <c r="Q12" s="359">
        <v>45642</v>
      </c>
      <c r="R12" s="358" t="s">
        <v>1444</v>
      </c>
      <c r="S12" s="359">
        <f t="shared" ref="S12:S19" si="2">Q12+7</f>
        <v>45649</v>
      </c>
      <c r="T12" s="359">
        <v>45654</v>
      </c>
      <c r="U12" s="360">
        <f t="shared" ref="U12:U20" si="3">T12-S12</f>
        <v>5</v>
      </c>
      <c r="V12" s="358" t="s">
        <v>1486</v>
      </c>
      <c r="W12" s="358" t="s">
        <v>18</v>
      </c>
      <c r="X12" s="359">
        <v>45665</v>
      </c>
      <c r="Y12" s="358" t="s">
        <v>1886</v>
      </c>
      <c r="Z12" s="359">
        <f>X12+7</f>
        <v>45672</v>
      </c>
      <c r="AA12" s="359">
        <v>45673</v>
      </c>
      <c r="AB12" s="360">
        <f>AA12-Z12</f>
        <v>1</v>
      </c>
      <c r="AC12" s="358" t="s">
        <v>1897</v>
      </c>
      <c r="AD12" s="358" t="s">
        <v>5</v>
      </c>
      <c r="AE12" s="359">
        <v>45781</v>
      </c>
      <c r="AF12" s="358" t="s">
        <v>3179</v>
      </c>
      <c r="AG12" s="359">
        <f>AE12+7</f>
        <v>45788</v>
      </c>
      <c r="AH12" s="359">
        <v>45790</v>
      </c>
      <c r="AI12" s="360">
        <f>AH12-AG12</f>
        <v>2</v>
      </c>
      <c r="AJ12" s="358" t="s">
        <v>3195</v>
      </c>
      <c r="AK12" s="346" t="s">
        <v>5</v>
      </c>
      <c r="AL12" s="357">
        <v>46253</v>
      </c>
      <c r="AM12" s="358" t="s">
        <v>7492</v>
      </c>
      <c r="AN12" s="359">
        <f>AL12+7</f>
        <v>46260</v>
      </c>
      <c r="AO12" s="359">
        <v>46265</v>
      </c>
      <c r="AP12" s="360">
        <f>AO12-AN12</f>
        <v>5</v>
      </c>
      <c r="AQ12" s="357" t="s">
        <v>7496</v>
      </c>
      <c r="AR12" s="357"/>
      <c r="AS12" s="357"/>
      <c r="AT12" s="357"/>
      <c r="AU12" s="357"/>
      <c r="AV12" s="357"/>
      <c r="AW12" s="357"/>
      <c r="AX12" s="357"/>
      <c r="AY12" s="357"/>
      <c r="AZ12" s="357"/>
      <c r="BA12" s="357"/>
      <c r="BB12" s="357"/>
      <c r="BC12" s="357"/>
      <c r="BD12" s="357"/>
      <c r="BE12" s="358"/>
      <c r="BF12" s="420"/>
    </row>
    <row r="13" spans="1:58" s="381" customFormat="1" ht="41.25" customHeight="1" x14ac:dyDescent="0.25">
      <c r="A13" s="367">
        <v>730007</v>
      </c>
      <c r="B13" s="56" t="s">
        <v>5</v>
      </c>
      <c r="C13" s="56" t="s">
        <v>588</v>
      </c>
      <c r="D13" s="12" t="s">
        <v>2275</v>
      </c>
      <c r="E13" s="12" t="s">
        <v>2276</v>
      </c>
      <c r="F13" s="16" t="s">
        <v>3151</v>
      </c>
      <c r="G13" s="16" t="s">
        <v>179</v>
      </c>
      <c r="H13" s="10" t="s">
        <v>147</v>
      </c>
      <c r="I13" s="16" t="s">
        <v>3</v>
      </c>
      <c r="J13" s="14">
        <v>45690</v>
      </c>
      <c r="K13" s="10" t="s">
        <v>2277</v>
      </c>
      <c r="L13" s="20">
        <f t="shared" si="0"/>
        <v>45697</v>
      </c>
      <c r="M13" s="14">
        <v>45705</v>
      </c>
      <c r="N13" s="92">
        <f t="shared" si="1"/>
        <v>8</v>
      </c>
      <c r="O13" s="12" t="s">
        <v>2314</v>
      </c>
      <c r="P13" s="16" t="s">
        <v>18</v>
      </c>
      <c r="Q13" s="20">
        <v>45779</v>
      </c>
      <c r="R13" s="12" t="s">
        <v>3152</v>
      </c>
      <c r="S13" s="20">
        <f t="shared" si="2"/>
        <v>45786</v>
      </c>
      <c r="T13" s="20">
        <v>45788</v>
      </c>
      <c r="U13" s="92">
        <f t="shared" si="3"/>
        <v>2</v>
      </c>
      <c r="V13" s="12" t="s">
        <v>3169</v>
      </c>
      <c r="W13" s="12" t="s">
        <v>5</v>
      </c>
      <c r="X13" s="20">
        <v>45790</v>
      </c>
      <c r="Y13" s="12" t="s">
        <v>3271</v>
      </c>
      <c r="Z13" s="20">
        <f>X13+7</f>
        <v>45797</v>
      </c>
      <c r="AA13" s="20">
        <v>45794</v>
      </c>
      <c r="AB13" s="92">
        <f>AA13-Z13</f>
        <v>-3</v>
      </c>
      <c r="AC13" s="12" t="s">
        <v>3280</v>
      </c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368"/>
    </row>
    <row r="14" spans="1:58" s="381" customFormat="1" ht="41.25" customHeight="1" x14ac:dyDescent="0.25">
      <c r="A14" s="367">
        <v>730007</v>
      </c>
      <c r="B14" s="56" t="s">
        <v>5</v>
      </c>
      <c r="C14" s="56" t="s">
        <v>208</v>
      </c>
      <c r="D14" s="12" t="s">
        <v>6366</v>
      </c>
      <c r="E14" s="12" t="s">
        <v>6367</v>
      </c>
      <c r="F14" s="16" t="s">
        <v>6384</v>
      </c>
      <c r="G14" s="16" t="s">
        <v>179</v>
      </c>
      <c r="H14" s="10" t="s">
        <v>147</v>
      </c>
      <c r="I14" s="16" t="s">
        <v>18</v>
      </c>
      <c r="J14" s="14">
        <v>46126</v>
      </c>
      <c r="K14" s="10" t="s">
        <v>6385</v>
      </c>
      <c r="L14" s="20">
        <f t="shared" si="0"/>
        <v>46133</v>
      </c>
      <c r="M14" s="14">
        <v>46134</v>
      </c>
      <c r="N14" s="92">
        <f t="shared" si="1"/>
        <v>1</v>
      </c>
      <c r="O14" s="12" t="s">
        <v>6392</v>
      </c>
      <c r="P14" s="12" t="s">
        <v>5</v>
      </c>
      <c r="Q14" s="20">
        <v>46144</v>
      </c>
      <c r="R14" s="12" t="s">
        <v>6617</v>
      </c>
      <c r="S14" s="20">
        <f t="shared" si="2"/>
        <v>46151</v>
      </c>
      <c r="T14" s="20">
        <v>46148</v>
      </c>
      <c r="U14" s="92">
        <f t="shared" si="3"/>
        <v>-3</v>
      </c>
      <c r="V14" s="12" t="s">
        <v>6625</v>
      </c>
      <c r="W14" s="12"/>
      <c r="X14" s="20"/>
      <c r="Y14" s="12"/>
      <c r="Z14" s="20"/>
      <c r="AA14" s="20"/>
      <c r="AB14" s="92"/>
      <c r="AC14" s="12"/>
      <c r="AD14" s="12"/>
      <c r="AE14" s="20"/>
      <c r="AF14" s="12"/>
      <c r="AG14" s="12"/>
      <c r="AH14" s="20"/>
      <c r="AI14" s="20"/>
      <c r="AJ14" s="12"/>
      <c r="AK14" s="10"/>
      <c r="AL14" s="14"/>
      <c r="AM14" s="12"/>
      <c r="AN14" s="12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/>
      <c r="BF14" s="368"/>
    </row>
    <row r="15" spans="1:58" s="381" customFormat="1" ht="42" customHeight="1" x14ac:dyDescent="0.25">
      <c r="A15" s="367">
        <v>310002</v>
      </c>
      <c r="B15" s="11" t="s">
        <v>5</v>
      </c>
      <c r="C15" s="56" t="s">
        <v>2384</v>
      </c>
      <c r="D15" s="12" t="s">
        <v>4132</v>
      </c>
      <c r="E15" s="12" t="s">
        <v>4131</v>
      </c>
      <c r="F15" s="16" t="s">
        <v>4177</v>
      </c>
      <c r="G15" s="16" t="s">
        <v>179</v>
      </c>
      <c r="H15" s="10" t="s">
        <v>147</v>
      </c>
      <c r="I15" s="16" t="s">
        <v>3</v>
      </c>
      <c r="J15" s="14">
        <v>45907</v>
      </c>
      <c r="K15" s="12" t="s">
        <v>4133</v>
      </c>
      <c r="L15" s="20">
        <f t="shared" si="0"/>
        <v>45914</v>
      </c>
      <c r="M15" s="14">
        <v>45911</v>
      </c>
      <c r="N15" s="92">
        <f t="shared" si="1"/>
        <v>-3</v>
      </c>
      <c r="O15" s="12" t="s">
        <v>4134</v>
      </c>
      <c r="P15" s="16" t="s">
        <v>3</v>
      </c>
      <c r="Q15" s="20">
        <v>45915</v>
      </c>
      <c r="R15" s="12" t="s">
        <v>4196</v>
      </c>
      <c r="S15" s="20">
        <f t="shared" si="2"/>
        <v>45922</v>
      </c>
      <c r="T15" s="20">
        <v>45918</v>
      </c>
      <c r="U15" s="92">
        <f t="shared" si="3"/>
        <v>-4</v>
      </c>
      <c r="V15" s="12" t="s">
        <v>4197</v>
      </c>
      <c r="W15" s="12" t="s">
        <v>18</v>
      </c>
      <c r="X15" s="20">
        <v>45925</v>
      </c>
      <c r="Y15" s="12" t="s">
        <v>4302</v>
      </c>
      <c r="Z15" s="20">
        <f t="shared" ref="Z15:Z20" si="4">X15+7</f>
        <v>45932</v>
      </c>
      <c r="AA15" s="20">
        <v>45929</v>
      </c>
      <c r="AB15" s="92">
        <f t="shared" ref="AB15:AB20" si="5">AA15-Z15</f>
        <v>-3</v>
      </c>
      <c r="AC15" s="12" t="s">
        <v>4312</v>
      </c>
      <c r="AD15" s="12" t="s">
        <v>18</v>
      </c>
      <c r="AE15" s="20">
        <v>45946</v>
      </c>
      <c r="AF15" s="12" t="s">
        <v>4485</v>
      </c>
      <c r="AG15" s="20">
        <f>AE15+7</f>
        <v>45953</v>
      </c>
      <c r="AH15" s="20">
        <v>45965</v>
      </c>
      <c r="AI15" s="92">
        <f>AH15-AG15</f>
        <v>12</v>
      </c>
      <c r="AJ15" s="12" t="s">
        <v>4501</v>
      </c>
      <c r="AK15" s="11" t="s">
        <v>18</v>
      </c>
      <c r="AL15" s="14">
        <v>46186</v>
      </c>
      <c r="AM15" s="12" t="s">
        <v>6991</v>
      </c>
      <c r="AN15" s="20">
        <f>AL15+7</f>
        <v>46193</v>
      </c>
      <c r="AO15" s="20">
        <v>46188</v>
      </c>
      <c r="AP15" s="92">
        <f>AO15-AN15</f>
        <v>-5</v>
      </c>
      <c r="AQ15" s="14" t="s">
        <v>6995</v>
      </c>
      <c r="AR15" s="14" t="s">
        <v>5</v>
      </c>
      <c r="AS15" s="14">
        <v>46198</v>
      </c>
      <c r="AT15" s="14" t="s">
        <v>7094</v>
      </c>
      <c r="AU15" s="20">
        <f>AS15+7</f>
        <v>46205</v>
      </c>
      <c r="AV15" s="20">
        <v>46204</v>
      </c>
      <c r="AW15" s="92">
        <f>AV15-AU15</f>
        <v>-1</v>
      </c>
      <c r="AX15" s="14" t="s">
        <v>7095</v>
      </c>
      <c r="AY15" s="14"/>
      <c r="AZ15" s="14"/>
      <c r="BA15" s="14"/>
      <c r="BB15" s="14"/>
      <c r="BC15" s="14"/>
      <c r="BD15" s="14"/>
      <c r="BE15" s="12"/>
      <c r="BF15" s="368"/>
    </row>
    <row r="16" spans="1:58" s="381" customFormat="1" ht="42" customHeight="1" x14ac:dyDescent="0.25">
      <c r="A16" s="367">
        <v>310002</v>
      </c>
      <c r="B16" s="11" t="s">
        <v>5</v>
      </c>
      <c r="C16" s="56" t="s">
        <v>588</v>
      </c>
      <c r="D16" s="12" t="s">
        <v>4178</v>
      </c>
      <c r="E16" s="12" t="s">
        <v>4179</v>
      </c>
      <c r="F16" s="16" t="s">
        <v>4635</v>
      </c>
      <c r="G16" s="16" t="s">
        <v>179</v>
      </c>
      <c r="H16" s="10" t="s">
        <v>147</v>
      </c>
      <c r="I16" s="16" t="s">
        <v>3</v>
      </c>
      <c r="J16" s="14">
        <v>45955</v>
      </c>
      <c r="K16" s="12" t="s">
        <v>4596</v>
      </c>
      <c r="L16" s="20">
        <f t="shared" si="0"/>
        <v>45962</v>
      </c>
      <c r="M16" s="14">
        <v>45958</v>
      </c>
      <c r="N16" s="92">
        <f t="shared" si="1"/>
        <v>-4</v>
      </c>
      <c r="O16" s="12" t="s">
        <v>4601</v>
      </c>
      <c r="P16" s="16" t="s">
        <v>18</v>
      </c>
      <c r="Q16" s="20">
        <v>45964</v>
      </c>
      <c r="R16" s="12" t="s">
        <v>4726</v>
      </c>
      <c r="S16" s="20">
        <f t="shared" si="2"/>
        <v>45971</v>
      </c>
      <c r="T16" s="20">
        <v>45966</v>
      </c>
      <c r="U16" s="92">
        <f t="shared" si="3"/>
        <v>-5</v>
      </c>
      <c r="V16" s="12" t="s">
        <v>4727</v>
      </c>
      <c r="W16" s="12" t="s">
        <v>5</v>
      </c>
      <c r="X16" s="20">
        <v>46186</v>
      </c>
      <c r="Y16" s="12" t="s">
        <v>6992</v>
      </c>
      <c r="Z16" s="20">
        <f t="shared" si="4"/>
        <v>46193</v>
      </c>
      <c r="AA16" s="20">
        <v>46191</v>
      </c>
      <c r="AB16" s="92">
        <f t="shared" si="5"/>
        <v>-2</v>
      </c>
      <c r="AC16" s="12" t="s">
        <v>6996</v>
      </c>
      <c r="AD16" s="12"/>
      <c r="AE16" s="20"/>
      <c r="AF16" s="12"/>
      <c r="AG16" s="12"/>
      <c r="AH16" s="20"/>
      <c r="AI16" s="20"/>
      <c r="AJ16" s="12"/>
      <c r="AK16" s="10"/>
      <c r="AL16" s="14"/>
      <c r="AM16" s="12"/>
      <c r="AN16" s="12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2"/>
      <c r="BF16" s="368"/>
    </row>
    <row r="17" spans="1:58" s="381" customFormat="1" ht="42" customHeight="1" x14ac:dyDescent="0.25">
      <c r="A17" s="367">
        <v>310002</v>
      </c>
      <c r="B17" s="16" t="s">
        <v>5</v>
      </c>
      <c r="C17" s="56" t="s">
        <v>725</v>
      </c>
      <c r="D17" s="12" t="s">
        <v>5329</v>
      </c>
      <c r="E17" s="12" t="s">
        <v>5328</v>
      </c>
      <c r="F17" s="16" t="s">
        <v>5330</v>
      </c>
      <c r="G17" s="16" t="s">
        <v>179</v>
      </c>
      <c r="H17" s="10" t="s">
        <v>147</v>
      </c>
      <c r="I17" s="16" t="s">
        <v>3</v>
      </c>
      <c r="J17" s="14">
        <v>46008</v>
      </c>
      <c r="K17" s="12" t="s">
        <v>5331</v>
      </c>
      <c r="L17" s="20">
        <f t="shared" si="0"/>
        <v>46015</v>
      </c>
      <c r="M17" s="14">
        <v>46013</v>
      </c>
      <c r="N17" s="92">
        <f t="shared" si="1"/>
        <v>-2</v>
      </c>
      <c r="O17" s="12" t="s">
        <v>5333</v>
      </c>
      <c r="P17" s="16" t="s">
        <v>18</v>
      </c>
      <c r="Q17" s="20">
        <v>46022</v>
      </c>
      <c r="R17" s="12" t="s">
        <v>5430</v>
      </c>
      <c r="S17" s="20">
        <f t="shared" si="2"/>
        <v>46029</v>
      </c>
      <c r="T17" s="20">
        <v>46030</v>
      </c>
      <c r="U17" s="92">
        <f t="shared" si="3"/>
        <v>1</v>
      </c>
      <c r="V17" s="12" t="s">
        <v>5434</v>
      </c>
      <c r="W17" s="12" t="s">
        <v>18</v>
      </c>
      <c r="X17" s="20">
        <v>46067</v>
      </c>
      <c r="Y17" s="12" t="s">
        <v>5848</v>
      </c>
      <c r="Z17" s="20">
        <f t="shared" si="4"/>
        <v>46074</v>
      </c>
      <c r="AA17" s="20">
        <v>46071</v>
      </c>
      <c r="AB17" s="92">
        <f t="shared" si="5"/>
        <v>-3</v>
      </c>
      <c r="AC17" s="12" t="s">
        <v>5854</v>
      </c>
      <c r="AD17" s="12" t="s">
        <v>5</v>
      </c>
      <c r="AE17" s="20">
        <v>46107</v>
      </c>
      <c r="AF17" s="12" t="s">
        <v>6151</v>
      </c>
      <c r="AG17" s="20">
        <f>AE17+7</f>
        <v>46114</v>
      </c>
      <c r="AH17" s="20">
        <v>46114</v>
      </c>
      <c r="AI17" s="92">
        <f>AH17-AG17</f>
        <v>0</v>
      </c>
      <c r="AJ17" s="12" t="s">
        <v>6160</v>
      </c>
      <c r="AK17" s="10"/>
      <c r="AL17" s="14"/>
      <c r="AM17" s="12"/>
      <c r="AN17" s="12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2"/>
      <c r="BF17" s="368"/>
    </row>
    <row r="18" spans="1:58" s="381" customFormat="1" ht="42" customHeight="1" x14ac:dyDescent="0.25">
      <c r="A18" s="367">
        <v>310002</v>
      </c>
      <c r="B18" s="16" t="s">
        <v>5</v>
      </c>
      <c r="C18" s="56" t="s">
        <v>588</v>
      </c>
      <c r="D18" s="12" t="s">
        <v>5366</v>
      </c>
      <c r="E18" s="12" t="s">
        <v>5367</v>
      </c>
      <c r="F18" s="16" t="s">
        <v>5368</v>
      </c>
      <c r="G18" s="16" t="s">
        <v>179</v>
      </c>
      <c r="H18" s="10" t="s">
        <v>147</v>
      </c>
      <c r="I18" s="16" t="s">
        <v>3</v>
      </c>
      <c r="J18" s="14">
        <v>46014</v>
      </c>
      <c r="K18" s="12" t="s">
        <v>5369</v>
      </c>
      <c r="L18" s="20">
        <f>J18+7</f>
        <v>46021</v>
      </c>
      <c r="M18" s="14">
        <v>46025</v>
      </c>
      <c r="N18" s="92">
        <f t="shared" si="1"/>
        <v>4</v>
      </c>
      <c r="O18" s="12" t="s">
        <v>5376</v>
      </c>
      <c r="P18" s="16" t="s">
        <v>18</v>
      </c>
      <c r="Q18" s="20">
        <v>46028</v>
      </c>
      <c r="R18" s="12" t="s">
        <v>5477</v>
      </c>
      <c r="S18" s="20">
        <f t="shared" si="2"/>
        <v>46035</v>
      </c>
      <c r="T18" s="20">
        <v>46040</v>
      </c>
      <c r="U18" s="92">
        <f t="shared" si="3"/>
        <v>5</v>
      </c>
      <c r="V18" s="12" t="s">
        <v>5482</v>
      </c>
      <c r="W18" s="12" t="s">
        <v>5</v>
      </c>
      <c r="X18" s="20">
        <v>46089</v>
      </c>
      <c r="Y18" s="12" t="s">
        <v>5985</v>
      </c>
      <c r="Z18" s="20">
        <f t="shared" si="4"/>
        <v>46096</v>
      </c>
      <c r="AA18" s="20">
        <v>46090</v>
      </c>
      <c r="AB18" s="92">
        <f t="shared" si="5"/>
        <v>-6</v>
      </c>
      <c r="AC18" s="12" t="s">
        <v>5998</v>
      </c>
      <c r="AD18" s="12"/>
      <c r="AE18" s="20"/>
      <c r="AF18" s="12"/>
      <c r="AG18" s="12"/>
      <c r="AH18" s="20"/>
      <c r="AI18" s="20"/>
      <c r="AJ18" s="12"/>
      <c r="AK18" s="10"/>
      <c r="AL18" s="14"/>
      <c r="AM18" s="12"/>
      <c r="AN18" s="12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2"/>
      <c r="BF18" s="368"/>
    </row>
    <row r="19" spans="1:58" s="381" customFormat="1" ht="42" customHeight="1" x14ac:dyDescent="0.25">
      <c r="A19" s="367">
        <v>310002</v>
      </c>
      <c r="B19" s="16" t="s">
        <v>5</v>
      </c>
      <c r="C19" s="56" t="s">
        <v>725</v>
      </c>
      <c r="D19" s="12" t="s">
        <v>6486</v>
      </c>
      <c r="E19" s="12" t="s">
        <v>6487</v>
      </c>
      <c r="F19" s="16" t="s">
        <v>6488</v>
      </c>
      <c r="G19" s="16" t="s">
        <v>179</v>
      </c>
      <c r="H19" s="10" t="s">
        <v>147</v>
      </c>
      <c r="I19" s="16" t="s">
        <v>18</v>
      </c>
      <c r="J19" s="14">
        <v>46140</v>
      </c>
      <c r="K19" s="12" t="s">
        <v>6553</v>
      </c>
      <c r="L19" s="20">
        <f>J19+7</f>
        <v>46147</v>
      </c>
      <c r="M19" s="14">
        <v>46146</v>
      </c>
      <c r="N19" s="92">
        <f t="shared" si="1"/>
        <v>-1</v>
      </c>
      <c r="O19" s="12" t="s">
        <v>6554</v>
      </c>
      <c r="P19" s="16" t="s">
        <v>18</v>
      </c>
      <c r="Q19" s="20">
        <v>46152</v>
      </c>
      <c r="R19" s="12" t="s">
        <v>6712</v>
      </c>
      <c r="S19" s="20">
        <f t="shared" si="2"/>
        <v>46159</v>
      </c>
      <c r="T19" s="20">
        <v>46162</v>
      </c>
      <c r="U19" s="92">
        <f t="shared" si="3"/>
        <v>3</v>
      </c>
      <c r="V19" s="12" t="s">
        <v>6731</v>
      </c>
      <c r="W19" s="16" t="s">
        <v>18</v>
      </c>
      <c r="X19" s="20">
        <v>46194</v>
      </c>
      <c r="Y19" s="12" t="s">
        <v>7042</v>
      </c>
      <c r="Z19" s="20">
        <f t="shared" si="4"/>
        <v>46201</v>
      </c>
      <c r="AA19" s="20">
        <v>46201</v>
      </c>
      <c r="AB19" s="92">
        <f t="shared" si="5"/>
        <v>0</v>
      </c>
      <c r="AC19" s="12" t="s">
        <v>7058</v>
      </c>
      <c r="AD19" s="12" t="s">
        <v>5</v>
      </c>
      <c r="AE19" s="20">
        <v>46216</v>
      </c>
      <c r="AF19" s="12" t="s">
        <v>7272</v>
      </c>
      <c r="AG19" s="20">
        <f>AE19+7</f>
        <v>46223</v>
      </c>
      <c r="AH19" s="20">
        <v>46223</v>
      </c>
      <c r="AI19" s="92">
        <f>AH19-AG19</f>
        <v>0</v>
      </c>
      <c r="AJ19" s="12" t="s">
        <v>7281</v>
      </c>
      <c r="AK19" s="10"/>
      <c r="AL19" s="14"/>
      <c r="AM19" s="12"/>
      <c r="AN19" s="12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2"/>
      <c r="BF19" s="368"/>
    </row>
    <row r="20" spans="1:58" s="381" customFormat="1" ht="42" customHeight="1" x14ac:dyDescent="0.25">
      <c r="A20" s="367">
        <v>100008</v>
      </c>
      <c r="B20" s="11" t="s">
        <v>5</v>
      </c>
      <c r="C20" s="56" t="s">
        <v>588</v>
      </c>
      <c r="D20" s="12" t="s">
        <v>4339</v>
      </c>
      <c r="E20" s="12" t="s">
        <v>4338</v>
      </c>
      <c r="F20" s="16" t="s">
        <v>4336</v>
      </c>
      <c r="G20" s="16" t="s">
        <v>179</v>
      </c>
      <c r="H20" s="10" t="s">
        <v>147</v>
      </c>
      <c r="I20" s="11" t="s">
        <v>18</v>
      </c>
      <c r="J20" s="14">
        <v>45930</v>
      </c>
      <c r="K20" s="12" t="s">
        <v>4337</v>
      </c>
      <c r="L20" s="20">
        <f t="shared" si="0"/>
        <v>45937</v>
      </c>
      <c r="M20" s="14">
        <v>45941</v>
      </c>
      <c r="N20" s="92">
        <f t="shared" si="1"/>
        <v>4</v>
      </c>
      <c r="O20" s="12" t="s">
        <v>4347</v>
      </c>
      <c r="P20" s="16" t="s">
        <v>18</v>
      </c>
      <c r="Q20" s="20">
        <v>46118</v>
      </c>
      <c r="R20" s="12" t="s">
        <v>6268</v>
      </c>
      <c r="S20" s="20">
        <f>Q20+7</f>
        <v>46125</v>
      </c>
      <c r="T20" s="20">
        <v>46115</v>
      </c>
      <c r="U20" s="92">
        <f t="shared" si="3"/>
        <v>-10</v>
      </c>
      <c r="V20" s="12" t="s">
        <v>6342</v>
      </c>
      <c r="W20" s="12" t="s">
        <v>5</v>
      </c>
      <c r="X20" s="20">
        <v>46138</v>
      </c>
      <c r="Y20" s="12" t="s">
        <v>6536</v>
      </c>
      <c r="Z20" s="20">
        <f t="shared" si="4"/>
        <v>46145</v>
      </c>
      <c r="AA20" s="20">
        <v>46142</v>
      </c>
      <c r="AB20" s="92">
        <f t="shared" si="5"/>
        <v>-3</v>
      </c>
      <c r="AC20" s="12" t="s">
        <v>6537</v>
      </c>
      <c r="AD20" s="12"/>
      <c r="AE20" s="20"/>
      <c r="AF20" s="12"/>
      <c r="AG20" s="12"/>
      <c r="AH20" s="20"/>
      <c r="AI20" s="20"/>
      <c r="AJ20" s="12"/>
      <c r="AK20" s="10"/>
      <c r="AL20" s="14"/>
      <c r="AM20" s="12"/>
      <c r="AN20" s="12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2"/>
      <c r="BF20" s="368"/>
    </row>
    <row r="21" spans="1:58" s="381" customFormat="1" ht="42" customHeight="1" thickBot="1" x14ac:dyDescent="0.3">
      <c r="A21" s="369"/>
      <c r="B21" s="371"/>
      <c r="C21" s="444"/>
      <c r="D21" s="370"/>
      <c r="E21" s="370"/>
      <c r="F21" s="262"/>
      <c r="G21" s="263"/>
      <c r="H21" s="263"/>
      <c r="I21" s="262"/>
      <c r="J21" s="474"/>
      <c r="K21" s="370"/>
      <c r="L21" s="370"/>
      <c r="M21" s="474"/>
      <c r="N21" s="425"/>
      <c r="O21" s="370"/>
      <c r="P21" s="262"/>
      <c r="Q21" s="476"/>
      <c r="R21" s="370"/>
      <c r="S21" s="370"/>
      <c r="T21" s="476"/>
      <c r="U21" s="476"/>
      <c r="V21" s="370"/>
      <c r="W21" s="370"/>
      <c r="X21" s="476"/>
      <c r="Y21" s="370"/>
      <c r="Z21" s="370"/>
      <c r="AA21" s="476"/>
      <c r="AB21" s="476"/>
      <c r="AC21" s="370"/>
      <c r="AD21" s="370"/>
      <c r="AE21" s="476"/>
      <c r="AF21" s="370"/>
      <c r="AG21" s="370"/>
      <c r="AH21" s="476"/>
      <c r="AI21" s="476"/>
      <c r="AJ21" s="370"/>
      <c r="AK21" s="263"/>
      <c r="AL21" s="474"/>
      <c r="AM21" s="370"/>
      <c r="AN21" s="370"/>
      <c r="AO21" s="474"/>
      <c r="AP21" s="474"/>
      <c r="AQ21" s="474"/>
      <c r="AR21" s="474"/>
      <c r="AS21" s="474"/>
      <c r="AT21" s="474"/>
      <c r="AU21" s="474"/>
      <c r="AV21" s="474"/>
      <c r="AW21" s="474"/>
      <c r="AX21" s="474"/>
      <c r="AY21" s="474"/>
      <c r="AZ21" s="474"/>
      <c r="BA21" s="474"/>
      <c r="BB21" s="474"/>
      <c r="BC21" s="474"/>
      <c r="BD21" s="474"/>
      <c r="BE21" s="370"/>
      <c r="BF21" s="378"/>
    </row>
  </sheetData>
  <autoFilter ref="A11:BF11" xr:uid="{00000000-0001-0000-1B00-000000000000}"/>
  <mergeCells count="18">
    <mergeCell ref="A10:A11"/>
    <mergeCell ref="AR10:AX10"/>
    <mergeCell ref="G10:G11"/>
    <mergeCell ref="B10:B11"/>
    <mergeCell ref="C10:C11"/>
    <mergeCell ref="D10:D11"/>
    <mergeCell ref="E10:E11"/>
    <mergeCell ref="H10:H11"/>
    <mergeCell ref="I10:O10"/>
    <mergeCell ref="P10:V10"/>
    <mergeCell ref="W10:AC10"/>
    <mergeCell ref="AD10:AJ10"/>
    <mergeCell ref="AK10:AQ10"/>
    <mergeCell ref="AY10:BE10"/>
    <mergeCell ref="BF10:BF11"/>
    <mergeCell ref="H1:H2"/>
    <mergeCell ref="I1:I2"/>
    <mergeCell ref="F10:F11"/>
  </mergeCells>
  <phoneticPr fontId="5" type="noConversion"/>
  <conditionalFormatting sqref="A10:A1048576 B12:XFD1048576">
    <cfRule type="cellIs" dxfId="2929" priority="1" operator="equal">
      <formula>"E - Review not Required - Proceed"</formula>
    </cfRule>
    <cfRule type="cellIs" dxfId="2928" priority="2" operator="equal">
      <formula>"D - Rejected"</formula>
    </cfRule>
    <cfRule type="cellIs" dxfId="2927" priority="3" operator="equal">
      <formula>"B- Incorporate Comments - Proceed"</formula>
    </cfRule>
    <cfRule type="cellIs" dxfId="2926" priority="4" operator="equal">
      <formula>"C - Revise and Resubmit - Do Not Proceed"</formula>
    </cfRule>
    <cfRule type="cellIs" dxfId="2925" priority="9" operator="equal">
      <formula>"A - Work May Proceed"</formula>
    </cfRule>
  </conditionalFormatting>
  <conditionalFormatting sqref="B10:XFD10">
    <cfRule type="cellIs" dxfId="2924" priority="15" operator="equal">
      <formula>"E - Review not Required - Proceed"</formula>
    </cfRule>
    <cfRule type="cellIs" dxfId="2923" priority="16" operator="equal">
      <formula>"D - Rejected"</formula>
    </cfRule>
    <cfRule type="cellIs" dxfId="2922" priority="17" operator="equal">
      <formula>"B- Incorporate Comments - Proceed"</formula>
    </cfRule>
    <cfRule type="cellIs" dxfId="2921" priority="18" operator="equal">
      <formula>"C - Revise and Resubmit - Do Not Proceed"</formula>
    </cfRule>
    <cfRule type="cellIs" dxfId="2920" priority="19" operator="equal">
      <formula>"A - Work May Proceed"</formula>
    </cfRule>
  </conditionalFormatting>
  <conditionalFormatting sqref="D11:BE11 B1:G2 W1:XFD9 B3:H4 B9:H9 B11">
    <cfRule type="cellIs" dxfId="2919" priority="72" operator="equal">
      <formula>"B- Incorporate Comments - Proceed"</formula>
    </cfRule>
    <cfRule type="cellIs" dxfId="2918" priority="71" operator="equal">
      <formula>"D - Rejected"</formula>
    </cfRule>
    <cfRule type="cellIs" dxfId="2917" priority="70" operator="equal">
      <formula>"E - Review not Required - Proceed"</formula>
    </cfRule>
    <cfRule type="cellIs" dxfId="2916" priority="74" operator="equal">
      <formula>"A - Work May Proceed"</formula>
    </cfRule>
    <cfRule type="cellIs" dxfId="2915" priority="73" operator="equal">
      <formula>"C - Revise and Resubmit - Do Not Proceed"</formula>
    </cfRule>
  </conditionalFormatting>
  <conditionalFormatting sqref="I11">
    <cfRule type="cellIs" dxfId="2914" priority="140" operator="equal">
      <formula>"For Information"</formula>
    </cfRule>
    <cfRule type="cellIs" dxfId="2913" priority="139" operator="equal">
      <formula>"B - Incorporate Comments - Proceed"</formula>
    </cfRule>
    <cfRule type="cellIs" dxfId="2912" priority="144" operator="between">
      <formula>"'D - Rejected "</formula>
      <formula>"'D - Rejected "</formula>
    </cfRule>
    <cfRule type="cellIs" dxfId="2911" priority="151" operator="between">
      <formula>"CANCELLED"</formula>
      <formula>"CANCELLED"</formula>
    </cfRule>
    <cfRule type="cellIs" dxfId="2910" priority="150" operator="between">
      <formula>"D - Rejected "</formula>
      <formula>"D - Rejected "</formula>
    </cfRule>
    <cfRule type="cellIs" dxfId="2909" priority="154" stopIfTrue="1" operator="between">
      <formula>"B - Incorporate Comments - Proceed "</formula>
      <formula>"B - Incorporate Comments - Proceed "</formula>
    </cfRule>
    <cfRule type="cellIs" dxfId="2908" priority="149" operator="between">
      <formula>"E - Review not Required - Proceed"</formula>
      <formula>"E - Review not Required - Proceed"</formula>
    </cfRule>
    <cfRule type="cellIs" dxfId="2907" priority="148" operator="between">
      <formula>"B - Incorporate Comments - Proceed"</formula>
      <formula>"B - Incorporate Comments - Proceed"</formula>
    </cfRule>
    <cfRule type="cellIs" dxfId="2906" priority="147" operator="between">
      <formula>"A - Work May Proceed"</formula>
      <formula>"A - Work May Proceed"</formula>
    </cfRule>
    <cfRule type="cellIs" dxfId="2905" priority="146" operator="between">
      <formula>"B - Incorporate Comments - Proceed"</formula>
      <formula>"B - Incorporate Comments - Proceed"</formula>
    </cfRule>
    <cfRule type="cellIs" dxfId="2904" priority="145" operator="between">
      <formula>"C - Revise and Resubmit - Do Not Proceed"</formula>
      <formula>"C - Revise and Resubmit - Do Not Proceed"</formula>
    </cfRule>
    <cfRule type="cellIs" dxfId="2903" priority="143" operator="between">
      <formula>"E - Review not Required - Proceed"</formula>
      <formula>"E - Review not Required - Proceed"</formula>
    </cfRule>
    <cfRule type="cellIs" dxfId="2902" priority="142" operator="equal">
      <formula>"E - Review Not Required - Proceed"</formula>
    </cfRule>
    <cfRule type="cellIs" dxfId="2901" priority="141" operator="equal">
      <formula>"B - Incorporate Comments - Proceed "</formula>
    </cfRule>
    <cfRule type="cellIs" dxfId="2900" priority="152" operator="between">
      <formula>"A - Work May Proceed"</formula>
      <formula>"A - Work May Proceed"</formula>
    </cfRule>
    <cfRule type="cellIs" dxfId="2899" priority="153" operator="between">
      <formula>"C - Revise and Resubmit - Do Not Proceed"</formula>
      <formula>"C - Revise and Resubmit - Do Not Proceed"</formula>
    </cfRule>
  </conditionalFormatting>
  <conditionalFormatting sqref="J5:J6 B5:I7 B8:J8">
    <cfRule type="cellIs" dxfId="2898" priority="20" operator="equal">
      <formula>"E - Review not Required - Proceed"</formula>
    </cfRule>
    <cfRule type="cellIs" dxfId="2897" priority="21" operator="equal">
      <formula>"D - Rejected"</formula>
    </cfRule>
    <cfRule type="cellIs" dxfId="2896" priority="22" operator="equal">
      <formula>"B- Incorporate Comments - Proceed"</formula>
    </cfRule>
    <cfRule type="cellIs" dxfId="2895" priority="23" operator="equal">
      <formula>"C - Revise and Resubmit - Do Not Proceed"</formula>
    </cfRule>
    <cfRule type="cellIs" dxfId="2894" priority="24" stopIfTrue="1" operator="equal">
      <formula>"A - Work May Proceed"</formula>
    </cfRule>
  </conditionalFormatting>
  <conditionalFormatting sqref="P11">
    <cfRule type="cellIs" dxfId="2893" priority="137" operator="between">
      <formula>"C - Revise and Resubmit - Do Not Proceed"</formula>
      <formula>"C - Revise and Resubmit - Do Not Proceed"</formula>
    </cfRule>
    <cfRule type="cellIs" dxfId="2892" priority="127" operator="between">
      <formula>"E - Review not Required - Proceed"</formula>
      <formula>"E - Review not Required - Proceed"</formula>
    </cfRule>
    <cfRule type="cellIs" dxfId="2891" priority="126" operator="equal">
      <formula>"E - Review Not Required - Proceed"</formula>
    </cfRule>
    <cfRule type="cellIs" dxfId="2890" priority="125" operator="equal">
      <formula>"B - Incorporate Comments - Proceed "</formula>
    </cfRule>
    <cfRule type="cellIs" dxfId="2889" priority="124" operator="equal">
      <formula>"For Information"</formula>
    </cfRule>
    <cfRule type="cellIs" dxfId="2888" priority="123" operator="equal">
      <formula>"B - Incorporate Comments - Proceed"</formula>
    </cfRule>
    <cfRule type="cellIs" dxfId="2887" priority="133" operator="between">
      <formula>"E - Review not Required - Proceed"</formula>
      <formula>"E - Review not Required - Proceed"</formula>
    </cfRule>
    <cfRule type="cellIs" dxfId="2886" priority="130" operator="between">
      <formula>"B - Incorporate Comments - Proceed"</formula>
      <formula>"B - Incorporate Comments - Proceed"</formula>
    </cfRule>
    <cfRule type="cellIs" dxfId="2885" priority="131" operator="between">
      <formula>"A - Work May Proceed"</formula>
      <formula>"A - Work May Proceed"</formula>
    </cfRule>
    <cfRule type="cellIs" dxfId="2884" priority="132" operator="between">
      <formula>"B - Incorporate Comments - Proceed"</formula>
      <formula>"B - Incorporate Comments - Proceed"</formula>
    </cfRule>
    <cfRule type="cellIs" dxfId="2883" priority="134" operator="between">
      <formula>"D - Rejected "</formula>
      <formula>"D - Rejected "</formula>
    </cfRule>
    <cfRule type="cellIs" dxfId="2882" priority="135" operator="between">
      <formula>"CANCELLED"</formula>
      <formula>"CANCELLED"</formula>
    </cfRule>
    <cfRule type="cellIs" dxfId="2881" priority="136" operator="between">
      <formula>"A - Work May Proceed"</formula>
      <formula>"A - Work May Proceed"</formula>
    </cfRule>
    <cfRule type="cellIs" dxfId="2880" priority="138" stopIfTrue="1" operator="between">
      <formula>"B - Incorporate Comments - Proceed "</formula>
      <formula>"B - Incorporate Comments - Proceed "</formula>
    </cfRule>
    <cfRule type="cellIs" dxfId="2879" priority="129" operator="between">
      <formula>"C - Revise and Resubmit - Do Not Proceed"</formula>
      <formula>"C - Revise and Resubmit - Do Not Proceed"</formula>
    </cfRule>
    <cfRule type="cellIs" dxfId="2878" priority="128" operator="between">
      <formula>"'D - Rejected "</formula>
      <formula>"'D - Rejected "</formula>
    </cfRule>
  </conditionalFormatting>
  <conditionalFormatting sqref="W11">
    <cfRule type="cellIs" dxfId="2877" priority="107" operator="equal">
      <formula>"B - Incorporate Comments - Proceed"</formula>
    </cfRule>
    <cfRule type="cellIs" dxfId="2876" priority="108" operator="equal">
      <formula>"For Information"</formula>
    </cfRule>
    <cfRule type="cellIs" dxfId="2875" priority="109" operator="equal">
      <formula>"B - Incorporate Comments - Proceed "</formula>
    </cfRule>
    <cfRule type="cellIs" dxfId="2874" priority="110" operator="equal">
      <formula>"E - Review Not Required - Proceed"</formula>
    </cfRule>
    <cfRule type="cellIs" dxfId="2873" priority="111" operator="between">
      <formula>"E - Review not Required - Proceed"</formula>
      <formula>"E - Review not Required - Proceed"</formula>
    </cfRule>
    <cfRule type="cellIs" dxfId="2872" priority="112" operator="between">
      <formula>"'D - Rejected "</formula>
      <formula>"'D - Rejected "</formula>
    </cfRule>
    <cfRule type="cellIs" dxfId="2871" priority="113" operator="between">
      <formula>"C - Revise and Resubmit - Do Not Proceed"</formula>
      <formula>"C - Revise and Resubmit - Do Not Proceed"</formula>
    </cfRule>
    <cfRule type="cellIs" dxfId="2870" priority="114" operator="between">
      <formula>"B - Incorporate Comments - Proceed"</formula>
      <formula>"B - Incorporate Comments - Proceed"</formula>
    </cfRule>
    <cfRule type="cellIs" dxfId="2869" priority="115" operator="between">
      <formula>"A - Work May Proceed"</formula>
      <formula>"A - Work May Proceed"</formula>
    </cfRule>
    <cfRule type="cellIs" dxfId="2868" priority="116" operator="between">
      <formula>"B - Incorporate Comments - Proceed"</formula>
      <formula>"B - Incorporate Comments - Proceed"</formula>
    </cfRule>
    <cfRule type="cellIs" dxfId="2867" priority="117" operator="between">
      <formula>"E - Review not Required - Proceed"</formula>
      <formula>"E - Review not Required - Proceed"</formula>
    </cfRule>
    <cfRule type="cellIs" dxfId="2866" priority="118" operator="between">
      <formula>"D - Rejected "</formula>
      <formula>"D - Rejected "</formula>
    </cfRule>
    <cfRule type="cellIs" dxfId="2865" priority="119" operator="between">
      <formula>"CANCELLED"</formula>
      <formula>"CANCELLED"</formula>
    </cfRule>
    <cfRule type="cellIs" dxfId="2864" priority="121" operator="between">
      <formula>"C - Revise and Resubmit - Do Not Proceed"</formula>
      <formula>"C - Revise and Resubmit - Do Not Proceed"</formula>
    </cfRule>
    <cfRule type="cellIs" dxfId="2863" priority="122" stopIfTrue="1" operator="between">
      <formula>"B - Incorporate Comments - Proceed "</formula>
      <formula>"B - Incorporate Comments - Proceed "</formula>
    </cfRule>
    <cfRule type="cellIs" dxfId="2862" priority="120" operator="between">
      <formula>"A - Work May Proceed"</formula>
      <formula>"A - Work May Proceed"</formula>
    </cfRule>
  </conditionalFormatting>
  <conditionalFormatting sqref="AD11">
    <cfRule type="cellIs" dxfId="2861" priority="92" operator="equal">
      <formula>"For Information"</formula>
    </cfRule>
    <cfRule type="cellIs" dxfId="2860" priority="102" operator="between">
      <formula>"D - Rejected "</formula>
      <formula>"D - Rejected "</formula>
    </cfRule>
    <cfRule type="cellIs" dxfId="2859" priority="91" operator="equal">
      <formula>"B - Incorporate Comments - Proceed"</formula>
    </cfRule>
    <cfRule type="cellIs" dxfId="2858" priority="104" operator="between">
      <formula>"A - Work May Proceed"</formula>
      <formula>"A - Work May Proceed"</formula>
    </cfRule>
    <cfRule type="cellIs" dxfId="2857" priority="105" operator="between">
      <formula>"C - Revise and Resubmit - Do Not Proceed"</formula>
      <formula>"C - Revise and Resubmit - Do Not Proceed"</formula>
    </cfRule>
    <cfRule type="cellIs" dxfId="2856" priority="106" stopIfTrue="1" operator="between">
      <formula>"B - Incorporate Comments - Proceed "</formula>
      <formula>"B - Incorporate Comments - Proceed "</formula>
    </cfRule>
    <cfRule type="cellIs" dxfId="2855" priority="101" operator="between">
      <formula>"E - Review not Required - Proceed"</formula>
      <formula>"E - Review not Required - Proceed"</formula>
    </cfRule>
    <cfRule type="cellIs" dxfId="2854" priority="100" operator="between">
      <formula>"B - Incorporate Comments - Proceed"</formula>
      <formula>"B - Incorporate Comments - Proceed"</formula>
    </cfRule>
    <cfRule type="cellIs" dxfId="2853" priority="99" operator="between">
      <formula>"A - Work May Proceed"</formula>
      <formula>"A - Work May Proceed"</formula>
    </cfRule>
    <cfRule type="cellIs" dxfId="2852" priority="98" operator="between">
      <formula>"B - Incorporate Comments - Proceed"</formula>
      <formula>"B - Incorporate Comments - Proceed"</formula>
    </cfRule>
    <cfRule type="cellIs" dxfId="2851" priority="97" operator="between">
      <formula>"C - Revise and Resubmit - Do Not Proceed"</formula>
      <formula>"C - Revise and Resubmit - Do Not Proceed"</formula>
    </cfRule>
    <cfRule type="cellIs" dxfId="2850" priority="96" operator="between">
      <formula>"'D - Rejected "</formula>
      <formula>"'D - Rejected "</formula>
    </cfRule>
    <cfRule type="cellIs" dxfId="2849" priority="95" operator="between">
      <formula>"E - Review not Required - Proceed"</formula>
      <formula>"E - Review not Required - Proceed"</formula>
    </cfRule>
    <cfRule type="cellIs" dxfId="2848" priority="103" operator="between">
      <formula>"CANCELLED"</formula>
      <formula>"CANCELLED"</formula>
    </cfRule>
    <cfRule type="cellIs" dxfId="2847" priority="94" operator="equal">
      <formula>"E - Review Not Required - Proceed"</formula>
    </cfRule>
    <cfRule type="cellIs" dxfId="2846" priority="93" operator="equal">
      <formula>"B - Incorporate Comments - Proceed "</formula>
    </cfRule>
  </conditionalFormatting>
  <conditionalFormatting sqref="AK11">
    <cfRule type="cellIs" dxfId="2845" priority="83" operator="between">
      <formula>"A - Work May Proceed"</formula>
      <formula>"A - Work May Proceed"</formula>
    </cfRule>
    <cfRule type="cellIs" dxfId="2844" priority="84" operator="between">
      <formula>"B - Incorporate Comments - Proceed"</formula>
      <formula>"B - Incorporate Comments - Proceed"</formula>
    </cfRule>
    <cfRule type="cellIs" dxfId="2843" priority="85" operator="between">
      <formula>"E - Review not Required - Proceed"</formula>
      <formula>"E - Review not Required - Proceed"</formula>
    </cfRule>
    <cfRule type="cellIs" dxfId="2842" priority="86" operator="between">
      <formula>"D - Rejected "</formula>
      <formula>"D - Rejected "</formula>
    </cfRule>
    <cfRule type="cellIs" dxfId="2841" priority="87" operator="between">
      <formula>"CANCELLED"</formula>
      <formula>"CANCELLED"</formula>
    </cfRule>
    <cfRule type="cellIs" dxfId="2840" priority="88" operator="between">
      <formula>"A - Work May Proceed"</formula>
      <formula>"A - Work May Proceed"</formula>
    </cfRule>
    <cfRule type="cellIs" dxfId="2839" priority="89" operator="between">
      <formula>"C - Revise and Resubmit - Do Not Proceed"</formula>
      <formula>"C - Revise and Resubmit - Do Not Proceed"</formula>
    </cfRule>
    <cfRule type="cellIs" dxfId="2838" priority="90" stopIfTrue="1" operator="between">
      <formula>"B - Incorporate Comments - Proceed "</formula>
      <formula>"B - Incorporate Comments - Proceed "</formula>
    </cfRule>
    <cfRule type="cellIs" dxfId="2837" priority="75" operator="equal">
      <formula>"B - Incorporate Comments - Proceed"</formula>
    </cfRule>
    <cfRule type="cellIs" dxfId="2836" priority="76" operator="equal">
      <formula>"For Information"</formula>
    </cfRule>
    <cfRule type="cellIs" dxfId="2835" priority="77" operator="equal">
      <formula>"B - Incorporate Comments - Proceed "</formula>
    </cfRule>
    <cfRule type="cellIs" dxfId="2834" priority="78" operator="equal">
      <formula>"E - Review Not Required - Proceed"</formula>
    </cfRule>
    <cfRule type="cellIs" dxfId="2833" priority="79" operator="between">
      <formula>"E - Review not Required - Proceed"</formula>
      <formula>"E - Review not Required - Proceed"</formula>
    </cfRule>
    <cfRule type="cellIs" dxfId="2832" priority="80" operator="between">
      <formula>"'D - Rejected "</formula>
      <formula>"'D - Rejected "</formula>
    </cfRule>
    <cfRule type="cellIs" dxfId="2831" priority="81" operator="between">
      <formula>"C - Revise and Resubmit - Do Not Proceed"</formula>
      <formula>"C - Revise and Resubmit - Do Not Proceed"</formula>
    </cfRule>
    <cfRule type="cellIs" dxfId="2830" priority="82" operator="between">
      <formula>"B - Incorporate Comments - Proceed"</formula>
      <formula>"B - Incorporate Comments - Proceed"</formula>
    </cfRule>
  </conditionalFormatting>
  <conditionalFormatting sqref="AR11">
    <cfRule type="cellIs" dxfId="2829" priority="45" operator="between">
      <formula>"D - Rejected "</formula>
      <formula>"D - Rejected "</formula>
    </cfRule>
    <cfRule type="cellIs" dxfId="2828" priority="44" operator="between">
      <formula>"E - Review not Required - Proceed"</formula>
      <formula>"E - Review not Required - Proceed"</formula>
    </cfRule>
    <cfRule type="cellIs" dxfId="2827" priority="43" operator="between">
      <formula>"B - Incorporate Comments - Proceed"</formula>
      <formula>"B - Incorporate Comments - Proceed"</formula>
    </cfRule>
    <cfRule type="cellIs" dxfId="2826" priority="42" operator="between">
      <formula>"A - Work May Proceed"</formula>
      <formula>"A - Work May Proceed"</formula>
    </cfRule>
    <cfRule type="cellIs" dxfId="2825" priority="41" operator="between">
      <formula>"B - Incorporate Comments - Proceed"</formula>
      <formula>"B - Incorporate Comments - Proceed"</formula>
    </cfRule>
    <cfRule type="cellIs" dxfId="2824" priority="40" operator="between">
      <formula>"C - Revise and Resubmit - Do Not Proceed"</formula>
      <formula>"C - Revise and Resubmit - Do Not Proceed"</formula>
    </cfRule>
    <cfRule type="cellIs" dxfId="2823" priority="39" operator="between">
      <formula>"'D - Rejected "</formula>
      <formula>"'D - Rejected "</formula>
    </cfRule>
    <cfRule type="cellIs" dxfId="2822" priority="38" operator="between">
      <formula>"E - Review not Required - Proceed"</formula>
      <formula>"E - Review not Required - Proceed"</formula>
    </cfRule>
    <cfRule type="cellIs" dxfId="2821" priority="37" operator="equal">
      <formula>"E - Review Not Required - Proceed"</formula>
    </cfRule>
    <cfRule type="cellIs" dxfId="2820" priority="36" operator="equal">
      <formula>"B - Incorporate Comments - Proceed "</formula>
    </cfRule>
    <cfRule type="cellIs" dxfId="2819" priority="35" operator="equal">
      <formula>"For Information"</formula>
    </cfRule>
    <cfRule type="cellIs" dxfId="2818" priority="34" operator="equal">
      <formula>"A - Work May Proceed"</formula>
    </cfRule>
    <cfRule type="cellIs" dxfId="2817" priority="33" operator="equal">
      <formula>"C - Revise and Resubmit - Do Not Proceed"</formula>
    </cfRule>
    <cfRule type="cellIs" dxfId="2816" priority="31" operator="equal">
      <formula>"D - Rejected"</formula>
    </cfRule>
    <cfRule type="cellIs" dxfId="2815" priority="30" operator="equal">
      <formula>"E - Review not Required - Proceed"</formula>
    </cfRule>
    <cfRule type="cellIs" dxfId="2814" priority="46" operator="between">
      <formula>"CANCELLED"</formula>
      <formula>"CANCELLED"</formula>
    </cfRule>
    <cfRule type="cellIs" dxfId="2813" priority="32" operator="equal">
      <formula>"B - Incorporate Comments - Proceed"</formula>
    </cfRule>
    <cfRule type="cellIs" dxfId="2812" priority="49" stopIfTrue="1" operator="between">
      <formula>"B - Incorporate Comments - Proceed "</formula>
      <formula>"B - Incorporate Comments - Proceed "</formula>
    </cfRule>
    <cfRule type="cellIs" dxfId="2811" priority="48" operator="between">
      <formula>"C - Revise and Resubmit - Do Not Proceed"</formula>
      <formula>"C - Revise and Resubmit - Do Not Proceed"</formula>
    </cfRule>
    <cfRule type="cellIs" dxfId="2810" priority="47" operator="between">
      <formula>"A - Work May Proceed"</formula>
      <formula>"A - Work May Proceed"</formula>
    </cfRule>
  </conditionalFormatting>
  <conditionalFormatting sqref="AY11">
    <cfRule type="cellIs" dxfId="2809" priority="69" stopIfTrue="1" operator="between">
      <formula>"B - Incorporate Comments - Proceed "</formula>
      <formula>"B - Incorporate Comments - Proceed "</formula>
    </cfRule>
    <cfRule type="cellIs" dxfId="2808" priority="67" operator="between">
      <formula>"A - Work May Proceed"</formula>
      <formula>"A - Work May Proceed"</formula>
    </cfRule>
    <cfRule type="cellIs" dxfId="2807" priority="66" operator="between">
      <formula>"CANCELLED"</formula>
      <formula>"CANCELLED"</formula>
    </cfRule>
    <cfRule type="cellIs" dxfId="2806" priority="65" operator="between">
      <formula>"D - Rejected "</formula>
      <formula>"D - Rejected "</formula>
    </cfRule>
    <cfRule type="cellIs" dxfId="2805" priority="64" operator="between">
      <formula>"E - Review not Required - Proceed"</formula>
      <formula>"E - Review not Required - Proceed"</formula>
    </cfRule>
    <cfRule type="cellIs" dxfId="2804" priority="59" operator="between">
      <formula>"'D - Rejected "</formula>
      <formula>"'D - Rejected "</formula>
    </cfRule>
    <cfRule type="cellIs" dxfId="2803" priority="58" operator="between">
      <formula>"E - Review not Required - Proceed"</formula>
      <formula>"E - Review not Required - Proceed"</formula>
    </cfRule>
    <cfRule type="cellIs" dxfId="2802" priority="68" operator="between">
      <formula>"C - Revise and Resubmit - Do Not Proceed"</formula>
      <formula>"C - Revise and Resubmit - Do Not Proceed"</formula>
    </cfRule>
    <cfRule type="cellIs" dxfId="2801" priority="57" operator="equal">
      <formula>"E - Review Not Required - Proceed"</formula>
    </cfRule>
    <cfRule type="cellIs" dxfId="2800" priority="56" operator="equal">
      <formula>"B - Incorporate Comments - Proceed "</formula>
    </cfRule>
    <cfRule type="cellIs" dxfId="2799" priority="55" operator="equal">
      <formula>"For Information"</formula>
    </cfRule>
    <cfRule type="cellIs" dxfId="2798" priority="54" operator="equal">
      <formula>"A - Work May Proceed"</formula>
    </cfRule>
    <cfRule type="cellIs" dxfId="2797" priority="53" operator="equal">
      <formula>"C - Revise and Resubmit - Do Not Proceed"</formula>
    </cfRule>
    <cfRule type="cellIs" dxfId="2796" priority="52" operator="equal">
      <formula>"B - Incorporate Comments - Proceed"</formula>
    </cfRule>
    <cfRule type="cellIs" dxfId="2795" priority="51" operator="equal">
      <formula>"D - Rejected"</formula>
    </cfRule>
    <cfRule type="cellIs" dxfId="2794" priority="50" operator="equal">
      <formula>"E - Review not Required - Proceed"</formula>
    </cfRule>
    <cfRule type="cellIs" dxfId="2793" priority="62" operator="between">
      <formula>"A - Work May Proceed"</formula>
      <formula>"A - Work May Proceed"</formula>
    </cfRule>
    <cfRule type="cellIs" dxfId="2792" priority="61" operator="between">
      <formula>"B - Incorporate Comments - Proceed"</formula>
      <formula>"B - Incorporate Comments - Proceed"</formula>
    </cfRule>
    <cfRule type="cellIs" dxfId="2791" priority="60" operator="between">
      <formula>"C - Revise and Resubmit - Do Not Proceed"</formula>
      <formula>"C - Revise and Resubmit - Do Not Proceed"</formula>
    </cfRule>
    <cfRule type="cellIs" dxfId="2790" priority="63" operator="between">
      <formula>"B - Incorporate Comments - Proceed"</formula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tabColor theme="9"/>
  </sheetPr>
  <dimension ref="A1:BF32"/>
  <sheetViews>
    <sheetView zoomScale="55" zoomScaleNormal="55" zoomScaleSheetLayoutView="85" workbookViewId="0">
      <pane ySplit="11" topLeftCell="A12" activePane="bottomLeft" state="frozen"/>
      <selection activeCell="A14" sqref="A14"/>
      <selection pane="bottomLeft" activeCell="F19" sqref="F19"/>
    </sheetView>
  </sheetViews>
  <sheetFormatPr defaultColWidth="9.140625" defaultRowHeight="15" x14ac:dyDescent="0.25"/>
  <cols>
    <col min="1" max="1" width="28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1" width="30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4.7109375" style="401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/>
      <c r="V1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"/>
    </row>
    <row r="2" spans="1:58" s="379" customFormat="1" ht="24" customHeight="1" x14ac:dyDescent="0.35">
      <c r="A2" s="8"/>
      <c r="B2" s="25" t="s">
        <v>28</v>
      </c>
      <c r="C2" s="26" t="s">
        <v>181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/>
      <c r="V2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"/>
    </row>
    <row r="3" spans="1:58" s="379" customFormat="1" ht="24" customHeight="1" x14ac:dyDescent="0.35">
      <c r="A3" s="8"/>
      <c r="B3" s="25" t="s">
        <v>507</v>
      </c>
      <c r="C3" s="49" t="s">
        <v>277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/>
      <c r="V3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/>
      <c r="V4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/>
      <c r="V5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"/>
    </row>
    <row r="6" spans="1:58" s="379" customFormat="1" ht="24" customHeight="1" x14ac:dyDescent="0.35">
      <c r="A6" s="8"/>
      <c r="B6" s="64">
        <f>COUNTIF(B11:B32,"A - Work May Proceed")</f>
        <v>18</v>
      </c>
      <c r="C6" s="65">
        <f>COUNTIF(B11:B32,"B- Incorporate Comments - Proceed")</f>
        <v>1</v>
      </c>
      <c r="D6" s="65">
        <f>COUNTIF(B11:B32,"C - Revise and Resubmit - Do Not Proceed")</f>
        <v>0</v>
      </c>
      <c r="E6" s="65">
        <f>COUNTIF(B11:B32,"D - Rejected")</f>
        <v>0</v>
      </c>
      <c r="F6" s="65">
        <f>COUNTIF(B11:B32,"E - Review not Required - Proceed")</f>
        <v>0</v>
      </c>
      <c r="G6" s="66">
        <f>COUNTIF(B11:B32,"UR")</f>
        <v>0</v>
      </c>
      <c r="H6" s="66">
        <f>COUNTIF(B11:B32,"FA")</f>
        <v>0</v>
      </c>
      <c r="I6" s="66">
        <f>COUNTIF(B11:B32,"Terminated")</f>
        <v>0</v>
      </c>
      <c r="J6" s="66">
        <f>COUNTIF(B11:B32,"Cancelled")</f>
        <v>1</v>
      </c>
      <c r="K6"/>
      <c r="L6"/>
      <c r="M6"/>
      <c r="N6"/>
      <c r="O6"/>
      <c r="P6"/>
      <c r="Q6"/>
      <c r="R6"/>
      <c r="S6"/>
      <c r="T6"/>
      <c r="U6"/>
      <c r="V6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/>
      <c r="V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"/>
    </row>
    <row r="8" spans="1:58" s="379" customFormat="1" ht="24" customHeight="1" x14ac:dyDescent="0.35">
      <c r="A8" s="8"/>
      <c r="B8" s="72" t="s">
        <v>509</v>
      </c>
      <c r="C8" s="73">
        <f>SUM(B6:I6)</f>
        <v>19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/>
      <c r="V8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/>
      <c r="V9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"/>
    </row>
    <row r="10" spans="1:58" s="405" customFormat="1" ht="36.75" customHeight="1" x14ac:dyDescent="0.2">
      <c r="A10" s="559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56" t="s">
        <v>5</v>
      </c>
      <c r="C12" s="56" t="s">
        <v>208</v>
      </c>
      <c r="D12" s="12" t="s">
        <v>1892</v>
      </c>
      <c r="E12" s="12" t="s">
        <v>1893</v>
      </c>
      <c r="F12" s="16" t="s">
        <v>1894</v>
      </c>
      <c r="G12" s="16" t="s">
        <v>179</v>
      </c>
      <c r="H12" s="10" t="s">
        <v>277</v>
      </c>
      <c r="I12" s="60" t="s">
        <v>3</v>
      </c>
      <c r="J12" s="14">
        <v>45666</v>
      </c>
      <c r="K12" s="12" t="s">
        <v>1895</v>
      </c>
      <c r="L12" s="20">
        <f t="shared" ref="L12:L18" si="0">J12+7</f>
        <v>45673</v>
      </c>
      <c r="M12" s="14">
        <v>45677</v>
      </c>
      <c r="N12" s="92">
        <f t="shared" ref="N12:N22" si="1">M12-L12</f>
        <v>4</v>
      </c>
      <c r="O12" s="12" t="s">
        <v>1899</v>
      </c>
      <c r="P12" s="16" t="s">
        <v>5</v>
      </c>
      <c r="Q12" s="20">
        <v>45776</v>
      </c>
      <c r="R12" s="12" t="s">
        <v>3111</v>
      </c>
      <c r="S12" s="20">
        <f>Q12+7</f>
        <v>45783</v>
      </c>
      <c r="T12" s="20">
        <v>45788</v>
      </c>
      <c r="U12" s="92">
        <f>T12-S12</f>
        <v>5</v>
      </c>
      <c r="V12" s="12" t="s">
        <v>3115</v>
      </c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440" t="s">
        <v>3112</v>
      </c>
    </row>
    <row r="13" spans="1:58" s="381" customFormat="1" ht="42" customHeight="1" x14ac:dyDescent="0.25">
      <c r="A13" s="367">
        <v>730007</v>
      </c>
      <c r="B13" s="79" t="s">
        <v>508</v>
      </c>
      <c r="C13" s="56" t="s">
        <v>627</v>
      </c>
      <c r="D13" s="12" t="s">
        <v>3731</v>
      </c>
      <c r="E13" s="12" t="s">
        <v>5239</v>
      </c>
      <c r="F13" s="16" t="s">
        <v>5184</v>
      </c>
      <c r="G13" s="12" t="s">
        <v>179</v>
      </c>
      <c r="H13" s="10" t="s">
        <v>277</v>
      </c>
      <c r="I13" s="60" t="s">
        <v>18</v>
      </c>
      <c r="J13" s="14">
        <v>45858</v>
      </c>
      <c r="K13" s="150" t="s">
        <v>3732</v>
      </c>
      <c r="L13" s="20">
        <f t="shared" si="0"/>
        <v>45865</v>
      </c>
      <c r="M13" s="14">
        <v>45867</v>
      </c>
      <c r="N13" s="92">
        <f t="shared" si="1"/>
        <v>2</v>
      </c>
      <c r="O13" s="12" t="s">
        <v>3734</v>
      </c>
      <c r="P13" s="16" t="s">
        <v>508</v>
      </c>
      <c r="Q13" s="20">
        <v>46012</v>
      </c>
      <c r="R13" s="12" t="s">
        <v>5359</v>
      </c>
      <c r="S13" s="20" t="s">
        <v>626</v>
      </c>
      <c r="T13" s="20" t="s">
        <v>626</v>
      </c>
      <c r="U13" s="92" t="s">
        <v>626</v>
      </c>
      <c r="V13" s="12" t="s">
        <v>626</v>
      </c>
      <c r="W13" s="12"/>
      <c r="X13" s="20"/>
      <c r="Y13" s="12"/>
      <c r="Z13" s="12"/>
      <c r="AA13" s="20"/>
      <c r="AB13" s="20"/>
      <c r="AC13" s="12"/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440"/>
    </row>
    <row r="14" spans="1:58" s="407" customFormat="1" ht="42" customHeight="1" x14ac:dyDescent="0.25">
      <c r="A14" s="419">
        <v>100008</v>
      </c>
      <c r="B14" s="346" t="s">
        <v>5</v>
      </c>
      <c r="C14" s="346" t="s">
        <v>2456</v>
      </c>
      <c r="D14" s="358" t="s">
        <v>3435</v>
      </c>
      <c r="E14" s="358" t="s">
        <v>3436</v>
      </c>
      <c r="F14" s="347" t="s">
        <v>3900</v>
      </c>
      <c r="G14" s="358" t="s">
        <v>179</v>
      </c>
      <c r="H14" s="355" t="s">
        <v>277</v>
      </c>
      <c r="I14" s="356" t="s">
        <v>3</v>
      </c>
      <c r="J14" s="357">
        <v>45810</v>
      </c>
      <c r="K14" s="358" t="s">
        <v>3437</v>
      </c>
      <c r="L14" s="359">
        <f t="shared" si="0"/>
        <v>45817</v>
      </c>
      <c r="M14" s="357">
        <v>45825</v>
      </c>
      <c r="N14" s="358">
        <f t="shared" si="1"/>
        <v>8</v>
      </c>
      <c r="O14" s="358" t="s">
        <v>3446</v>
      </c>
      <c r="P14" s="356" t="s">
        <v>18</v>
      </c>
      <c r="Q14" s="359">
        <v>45852</v>
      </c>
      <c r="R14" s="358" t="s">
        <v>3663</v>
      </c>
      <c r="S14" s="359">
        <f t="shared" ref="S14:S21" si="2">Q14+7</f>
        <v>45859</v>
      </c>
      <c r="T14" s="359">
        <v>45859</v>
      </c>
      <c r="U14" s="360">
        <f t="shared" ref="U14:U21" si="3">T14-S14</f>
        <v>0</v>
      </c>
      <c r="V14" s="358" t="s">
        <v>3664</v>
      </c>
      <c r="W14" s="358" t="s">
        <v>18</v>
      </c>
      <c r="X14" s="359">
        <v>45876</v>
      </c>
      <c r="Y14" s="479" t="s">
        <v>3901</v>
      </c>
      <c r="Z14" s="359">
        <f>X14+7</f>
        <v>45883</v>
      </c>
      <c r="AA14" s="359">
        <v>45881</v>
      </c>
      <c r="AB14" s="360">
        <f>AA14-Z14</f>
        <v>-2</v>
      </c>
      <c r="AC14" s="358" t="s">
        <v>3903</v>
      </c>
      <c r="AD14" s="358" t="s">
        <v>5</v>
      </c>
      <c r="AE14" s="359">
        <v>45945</v>
      </c>
      <c r="AF14" s="358" t="s">
        <v>4481</v>
      </c>
      <c r="AG14" s="359">
        <f>AE14+7</f>
        <v>45952</v>
      </c>
      <c r="AH14" s="359">
        <v>45951</v>
      </c>
      <c r="AI14" s="360">
        <f>AH14-AG14</f>
        <v>-1</v>
      </c>
      <c r="AJ14" s="358" t="s">
        <v>4494</v>
      </c>
      <c r="AK14" s="358" t="s">
        <v>5</v>
      </c>
      <c r="AL14" s="359">
        <v>46251</v>
      </c>
      <c r="AM14" s="358" t="s">
        <v>7482</v>
      </c>
      <c r="AN14" s="359">
        <f>AL14+7</f>
        <v>46258</v>
      </c>
      <c r="AO14" s="359">
        <v>46259</v>
      </c>
      <c r="AP14" s="360">
        <f>AO14-AN14</f>
        <v>1</v>
      </c>
      <c r="AQ14" s="357" t="s">
        <v>7484</v>
      </c>
      <c r="AR14" s="357"/>
      <c r="AS14" s="357"/>
      <c r="AT14" s="357"/>
      <c r="AU14" s="357"/>
      <c r="AV14" s="357"/>
      <c r="AW14" s="357"/>
      <c r="AX14" s="357"/>
      <c r="AY14" s="357"/>
      <c r="AZ14" s="357"/>
      <c r="BA14" s="357"/>
      <c r="BB14" s="357"/>
      <c r="BC14" s="357"/>
      <c r="BD14" s="357"/>
      <c r="BE14" s="358"/>
      <c r="BF14" s="480"/>
    </row>
    <row r="15" spans="1:58" s="381" customFormat="1" ht="42" customHeight="1" x14ac:dyDescent="0.25">
      <c r="A15" s="367">
        <v>100008</v>
      </c>
      <c r="B15" s="56" t="s">
        <v>5</v>
      </c>
      <c r="C15" s="56" t="s">
        <v>208</v>
      </c>
      <c r="D15" s="12" t="s">
        <v>4567</v>
      </c>
      <c r="E15" s="12" t="s">
        <v>4568</v>
      </c>
      <c r="F15" s="16" t="s">
        <v>4569</v>
      </c>
      <c r="G15" s="12" t="s">
        <v>179</v>
      </c>
      <c r="H15" s="10" t="s">
        <v>277</v>
      </c>
      <c r="I15" s="23" t="s">
        <v>18</v>
      </c>
      <c r="J15" s="14">
        <v>45952</v>
      </c>
      <c r="K15" s="12" t="s">
        <v>4571</v>
      </c>
      <c r="L15" s="20">
        <f t="shared" si="0"/>
        <v>45959</v>
      </c>
      <c r="M15" s="14">
        <v>45965</v>
      </c>
      <c r="N15" s="12">
        <f t="shared" si="1"/>
        <v>6</v>
      </c>
      <c r="O15" s="12" t="s">
        <v>4577</v>
      </c>
      <c r="P15" s="23" t="s">
        <v>5</v>
      </c>
      <c r="Q15" s="20">
        <v>45966</v>
      </c>
      <c r="R15" s="12" t="s">
        <v>4752</v>
      </c>
      <c r="S15" s="20">
        <f t="shared" si="2"/>
        <v>45973</v>
      </c>
      <c r="T15" s="20">
        <v>45971</v>
      </c>
      <c r="U15" s="92">
        <f t="shared" si="3"/>
        <v>-2</v>
      </c>
      <c r="V15" s="12" t="s">
        <v>4768</v>
      </c>
      <c r="W15" s="12"/>
      <c r="X15" s="20"/>
      <c r="Y15" s="150"/>
      <c r="Z15" s="20"/>
      <c r="AA15" s="20"/>
      <c r="AB15" s="92"/>
      <c r="AC15" s="12"/>
      <c r="AD15" s="12"/>
      <c r="AE15" s="20"/>
      <c r="AF15" s="12"/>
      <c r="AG15" s="20"/>
      <c r="AH15" s="20"/>
      <c r="AI15" s="92"/>
      <c r="AJ15" s="12"/>
      <c r="AK15" s="10"/>
      <c r="AL15" s="14"/>
      <c r="AM15" s="12"/>
      <c r="AN15" s="12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2"/>
      <c r="BF15" s="440"/>
    </row>
    <row r="16" spans="1:58" s="381" customFormat="1" ht="42" customHeight="1" x14ac:dyDescent="0.25">
      <c r="A16" s="367">
        <v>310002</v>
      </c>
      <c r="B16" s="23" t="s">
        <v>5</v>
      </c>
      <c r="C16" s="56" t="s">
        <v>208</v>
      </c>
      <c r="D16" s="12" t="s">
        <v>3599</v>
      </c>
      <c r="E16" s="12" t="s">
        <v>3600</v>
      </c>
      <c r="F16" s="16" t="s">
        <v>3601</v>
      </c>
      <c r="G16" s="12" t="s">
        <v>179</v>
      </c>
      <c r="H16" s="10" t="s">
        <v>277</v>
      </c>
      <c r="I16" s="23" t="s">
        <v>18</v>
      </c>
      <c r="J16" s="14">
        <v>45845</v>
      </c>
      <c r="K16" s="12" t="s">
        <v>3602</v>
      </c>
      <c r="L16" s="20">
        <f t="shared" si="0"/>
        <v>45852</v>
      </c>
      <c r="M16" s="14">
        <v>45855</v>
      </c>
      <c r="N16" s="12">
        <f t="shared" si="1"/>
        <v>3</v>
      </c>
      <c r="O16" s="12" t="s">
        <v>3612</v>
      </c>
      <c r="P16" s="16" t="s">
        <v>5</v>
      </c>
      <c r="Q16" s="20">
        <v>45931</v>
      </c>
      <c r="R16" s="12" t="s">
        <v>4351</v>
      </c>
      <c r="S16" s="20">
        <f t="shared" si="2"/>
        <v>45938</v>
      </c>
      <c r="T16" s="20">
        <v>45941</v>
      </c>
      <c r="U16" s="92">
        <f t="shared" si="3"/>
        <v>3</v>
      </c>
      <c r="V16" s="12" t="s">
        <v>4365</v>
      </c>
      <c r="W16" s="12"/>
      <c r="X16" s="20"/>
      <c r="Y16" s="12"/>
      <c r="Z16" s="12"/>
      <c r="AA16" s="20"/>
      <c r="AB16" s="20"/>
      <c r="AC16" s="12"/>
      <c r="AD16" s="12"/>
      <c r="AE16" s="20"/>
      <c r="AF16" s="12"/>
      <c r="AG16" s="12"/>
      <c r="AH16" s="20"/>
      <c r="AI16" s="20"/>
      <c r="AJ16" s="12"/>
      <c r="AK16" s="10"/>
      <c r="AL16" s="14"/>
      <c r="AM16" s="12"/>
      <c r="AN16" s="12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2"/>
      <c r="BF16" s="440"/>
    </row>
    <row r="17" spans="1:58" s="381" customFormat="1" ht="42" customHeight="1" x14ac:dyDescent="0.25">
      <c r="A17" s="367">
        <v>310002</v>
      </c>
      <c r="B17" s="23" t="s">
        <v>5</v>
      </c>
      <c r="C17" s="56" t="s">
        <v>588</v>
      </c>
      <c r="D17" s="12" t="s">
        <v>3772</v>
      </c>
      <c r="E17" s="12" t="s">
        <v>3773</v>
      </c>
      <c r="F17" s="16" t="s">
        <v>3909</v>
      </c>
      <c r="G17" s="12" t="s">
        <v>179</v>
      </c>
      <c r="H17" s="10" t="s">
        <v>277</v>
      </c>
      <c r="I17" s="23" t="s">
        <v>3</v>
      </c>
      <c r="J17" s="14">
        <v>45862</v>
      </c>
      <c r="K17" s="150" t="s">
        <v>3774</v>
      </c>
      <c r="L17" s="20">
        <f t="shared" si="0"/>
        <v>45869</v>
      </c>
      <c r="M17" s="14">
        <v>45879</v>
      </c>
      <c r="N17" s="12">
        <f t="shared" si="1"/>
        <v>10</v>
      </c>
      <c r="O17" s="12" t="s">
        <v>3783</v>
      </c>
      <c r="P17" s="16" t="s">
        <v>18</v>
      </c>
      <c r="Q17" s="20">
        <v>45880</v>
      </c>
      <c r="R17" s="12" t="s">
        <v>3978</v>
      </c>
      <c r="S17" s="20">
        <f t="shared" si="2"/>
        <v>45887</v>
      </c>
      <c r="T17" s="20">
        <v>45887</v>
      </c>
      <c r="U17" s="92">
        <f t="shared" si="3"/>
        <v>0</v>
      </c>
      <c r="V17" s="12" t="s">
        <v>3977</v>
      </c>
      <c r="W17" s="16" t="s">
        <v>5</v>
      </c>
      <c r="X17" s="20">
        <v>45938</v>
      </c>
      <c r="Y17" s="12" t="s">
        <v>4426</v>
      </c>
      <c r="Z17" s="20">
        <f>X17+7</f>
        <v>45945</v>
      </c>
      <c r="AA17" s="20">
        <v>45943</v>
      </c>
      <c r="AB17" s="92">
        <f>AA17-Z17</f>
        <v>-2</v>
      </c>
      <c r="AC17" s="12" t="s">
        <v>4432</v>
      </c>
      <c r="AD17" s="12"/>
      <c r="AE17" s="20"/>
      <c r="AF17" s="12"/>
      <c r="AG17" s="12"/>
      <c r="AH17" s="20"/>
      <c r="AI17" s="20"/>
      <c r="AJ17" s="12"/>
      <c r="AK17" s="10"/>
      <c r="AL17" s="14"/>
      <c r="AM17" s="12"/>
      <c r="AN17" s="12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2"/>
      <c r="BF17" s="440"/>
    </row>
    <row r="18" spans="1:58" s="381" customFormat="1" ht="42" customHeight="1" x14ac:dyDescent="0.25">
      <c r="A18" s="367">
        <v>310002</v>
      </c>
      <c r="B18" s="11" t="s">
        <v>5</v>
      </c>
      <c r="C18" s="56" t="s">
        <v>588</v>
      </c>
      <c r="D18" s="12" t="s">
        <v>4255</v>
      </c>
      <c r="E18" s="12" t="s">
        <v>4256</v>
      </c>
      <c r="F18" s="16" t="s">
        <v>4419</v>
      </c>
      <c r="G18" s="12" t="s">
        <v>179</v>
      </c>
      <c r="H18" s="10" t="s">
        <v>277</v>
      </c>
      <c r="I18" s="16" t="s">
        <v>18</v>
      </c>
      <c r="J18" s="14">
        <v>45922</v>
      </c>
      <c r="K18" s="12" t="s">
        <v>4275</v>
      </c>
      <c r="L18" s="20">
        <f t="shared" si="0"/>
        <v>45929</v>
      </c>
      <c r="M18" s="14">
        <v>45936</v>
      </c>
      <c r="N18" s="12">
        <f t="shared" si="1"/>
        <v>7</v>
      </c>
      <c r="O18" s="12" t="s">
        <v>4288</v>
      </c>
      <c r="P18" s="16" t="s">
        <v>18</v>
      </c>
      <c r="Q18" s="20">
        <v>45938</v>
      </c>
      <c r="R18" s="12" t="s">
        <v>4420</v>
      </c>
      <c r="S18" s="20">
        <f t="shared" si="2"/>
        <v>45945</v>
      </c>
      <c r="T18" s="20">
        <v>45945</v>
      </c>
      <c r="U18" s="92">
        <f t="shared" si="3"/>
        <v>0</v>
      </c>
      <c r="V18" s="12" t="s">
        <v>4430</v>
      </c>
      <c r="W18" s="12" t="s">
        <v>5</v>
      </c>
      <c r="X18" s="20">
        <v>45945</v>
      </c>
      <c r="Y18" s="12" t="s">
        <v>4480</v>
      </c>
      <c r="Z18" s="20">
        <f>X18+7</f>
        <v>45952</v>
      </c>
      <c r="AA18" s="20">
        <v>45953</v>
      </c>
      <c r="AB18" s="92">
        <f>AA18-Z18</f>
        <v>1</v>
      </c>
      <c r="AC18" s="12" t="s">
        <v>4493</v>
      </c>
      <c r="AD18" s="12"/>
      <c r="AE18" s="20"/>
      <c r="AF18" s="12"/>
      <c r="AG18" s="12"/>
      <c r="AH18" s="20"/>
      <c r="AI18" s="20"/>
      <c r="AJ18" s="12"/>
      <c r="AK18" s="10"/>
      <c r="AL18" s="14"/>
      <c r="AM18" s="12"/>
      <c r="AN18" s="12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2"/>
      <c r="BF18" s="440" t="s">
        <v>4409</v>
      </c>
    </row>
    <row r="19" spans="1:58" s="381" customFormat="1" ht="42" customHeight="1" x14ac:dyDescent="0.25">
      <c r="A19" s="367">
        <v>310002</v>
      </c>
      <c r="B19" s="11" t="s">
        <v>5</v>
      </c>
      <c r="C19" s="56" t="s">
        <v>208</v>
      </c>
      <c r="D19" s="12" t="s">
        <v>4265</v>
      </c>
      <c r="E19" s="12" t="s">
        <v>4266</v>
      </c>
      <c r="F19" s="16" t="s">
        <v>2309</v>
      </c>
      <c r="G19" s="12" t="s">
        <v>179</v>
      </c>
      <c r="H19" s="10" t="s">
        <v>277</v>
      </c>
      <c r="I19" s="16" t="s">
        <v>18</v>
      </c>
      <c r="J19" s="14">
        <v>45922</v>
      </c>
      <c r="K19" s="12" t="s">
        <v>4267</v>
      </c>
      <c r="L19" s="20">
        <f t="shared" ref="L19:L26" si="4">J19+7</f>
        <v>45929</v>
      </c>
      <c r="M19" s="14">
        <v>45931</v>
      </c>
      <c r="N19" s="12">
        <f t="shared" si="1"/>
        <v>2</v>
      </c>
      <c r="O19" s="12" t="s">
        <v>4281</v>
      </c>
      <c r="P19" s="16" t="s">
        <v>5</v>
      </c>
      <c r="Q19" s="20">
        <v>45941</v>
      </c>
      <c r="R19" s="12" t="s">
        <v>4435</v>
      </c>
      <c r="S19" s="20">
        <f t="shared" si="2"/>
        <v>45948</v>
      </c>
      <c r="T19" s="20">
        <v>45949</v>
      </c>
      <c r="U19" s="92">
        <f t="shared" si="3"/>
        <v>1</v>
      </c>
      <c r="V19" s="12" t="s">
        <v>4450</v>
      </c>
      <c r="W19" s="12"/>
      <c r="X19" s="20"/>
      <c r="Y19" s="12"/>
      <c r="Z19" s="12"/>
      <c r="AA19" s="20"/>
      <c r="AB19" s="20"/>
      <c r="AC19" s="12"/>
      <c r="AD19" s="12"/>
      <c r="AE19" s="20"/>
      <c r="AF19" s="12"/>
      <c r="AG19" s="12"/>
      <c r="AH19" s="20"/>
      <c r="AI19" s="20"/>
      <c r="AJ19" s="12"/>
      <c r="AK19" s="10"/>
      <c r="AL19" s="14"/>
      <c r="AM19" s="12"/>
      <c r="AN19" s="12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2"/>
      <c r="BF19" s="440"/>
    </row>
    <row r="20" spans="1:58" s="381" customFormat="1" ht="42" customHeight="1" x14ac:dyDescent="0.25">
      <c r="A20" s="367">
        <v>310002</v>
      </c>
      <c r="B20" s="11" t="s">
        <v>5</v>
      </c>
      <c r="C20" s="56" t="s">
        <v>208</v>
      </c>
      <c r="D20" s="12" t="s">
        <v>4331</v>
      </c>
      <c r="E20" s="12" t="s">
        <v>4333</v>
      </c>
      <c r="F20" s="16" t="s">
        <v>4332</v>
      </c>
      <c r="G20" s="12" t="s">
        <v>179</v>
      </c>
      <c r="H20" s="10" t="s">
        <v>277</v>
      </c>
      <c r="I20" s="16" t="s">
        <v>18</v>
      </c>
      <c r="J20" s="14">
        <v>45929</v>
      </c>
      <c r="K20" s="12" t="s">
        <v>4334</v>
      </c>
      <c r="L20" s="20">
        <f t="shared" si="4"/>
        <v>45936</v>
      </c>
      <c r="M20" s="14">
        <v>45942</v>
      </c>
      <c r="N20" s="12">
        <f t="shared" si="1"/>
        <v>6</v>
      </c>
      <c r="O20" s="12" t="s">
        <v>4346</v>
      </c>
      <c r="P20" s="16" t="s">
        <v>5</v>
      </c>
      <c r="Q20" s="20">
        <v>45943</v>
      </c>
      <c r="R20" s="12" t="s">
        <v>4465</v>
      </c>
      <c r="S20" s="20">
        <f t="shared" si="2"/>
        <v>45950</v>
      </c>
      <c r="T20" s="20">
        <v>45953</v>
      </c>
      <c r="U20" s="92">
        <f t="shared" si="3"/>
        <v>3</v>
      </c>
      <c r="V20" s="12" t="s">
        <v>4474</v>
      </c>
      <c r="W20" s="12"/>
      <c r="X20" s="20"/>
      <c r="Y20" s="12"/>
      <c r="Z20" s="12"/>
      <c r="AA20" s="20"/>
      <c r="AB20" s="20"/>
      <c r="AC20" s="12"/>
      <c r="AD20" s="12"/>
      <c r="AE20" s="20"/>
      <c r="AF20" s="12"/>
      <c r="AG20" s="12"/>
      <c r="AH20" s="20"/>
      <c r="AI20" s="20"/>
      <c r="AJ20" s="12"/>
      <c r="AK20" s="10"/>
      <c r="AL20" s="14"/>
      <c r="AM20" s="12"/>
      <c r="AN20" s="12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2"/>
      <c r="BF20" s="440" t="s">
        <v>4456</v>
      </c>
    </row>
    <row r="21" spans="1:58" s="381" customFormat="1" ht="42" customHeight="1" x14ac:dyDescent="0.25">
      <c r="A21" s="367">
        <v>310002</v>
      </c>
      <c r="B21" s="11" t="s">
        <v>18</v>
      </c>
      <c r="C21" s="56" t="s">
        <v>208</v>
      </c>
      <c r="D21" s="12" t="s">
        <v>4538</v>
      </c>
      <c r="E21" s="12" t="s">
        <v>4539</v>
      </c>
      <c r="F21" s="16" t="s">
        <v>4540</v>
      </c>
      <c r="G21" s="12" t="s">
        <v>179</v>
      </c>
      <c r="H21" s="10" t="s">
        <v>277</v>
      </c>
      <c r="I21" s="11" t="s">
        <v>3</v>
      </c>
      <c r="J21" s="14">
        <v>45950</v>
      </c>
      <c r="K21" s="12" t="s">
        <v>4541</v>
      </c>
      <c r="L21" s="20">
        <f t="shared" si="4"/>
        <v>45957</v>
      </c>
      <c r="M21" s="14">
        <v>45965</v>
      </c>
      <c r="N21" s="12">
        <f t="shared" si="1"/>
        <v>8</v>
      </c>
      <c r="O21" s="12" t="s">
        <v>4548</v>
      </c>
      <c r="P21" s="16" t="s">
        <v>18</v>
      </c>
      <c r="Q21" s="20">
        <v>46217</v>
      </c>
      <c r="R21" s="12" t="s">
        <v>7283</v>
      </c>
      <c r="S21" s="20">
        <f t="shared" si="2"/>
        <v>46224</v>
      </c>
      <c r="T21" s="20">
        <v>46229</v>
      </c>
      <c r="U21" s="92">
        <f t="shared" si="3"/>
        <v>5</v>
      </c>
      <c r="V21" s="151" t="s">
        <v>7291</v>
      </c>
      <c r="W21" s="12"/>
      <c r="X21" s="20"/>
      <c r="Y21" s="12"/>
      <c r="Z21" s="12"/>
      <c r="AA21" s="20"/>
      <c r="AB21" s="20"/>
      <c r="AC21" s="12"/>
      <c r="AD21" s="12"/>
      <c r="AE21" s="20"/>
      <c r="AF21" s="12"/>
      <c r="AG21" s="12"/>
      <c r="AH21" s="20"/>
      <c r="AI21" s="20"/>
      <c r="AJ21" s="12"/>
      <c r="AK21" s="10"/>
      <c r="AL21" s="14"/>
      <c r="AM21" s="12"/>
      <c r="AN21" s="12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2"/>
      <c r="BF21" s="440"/>
    </row>
    <row r="22" spans="1:58" s="381" customFormat="1" ht="42" customHeight="1" x14ac:dyDescent="0.25">
      <c r="A22" s="367">
        <v>310002</v>
      </c>
      <c r="B22" s="11" t="s">
        <v>5</v>
      </c>
      <c r="C22" s="56" t="s">
        <v>588</v>
      </c>
      <c r="D22" s="12" t="s">
        <v>4757</v>
      </c>
      <c r="E22" s="12" t="s">
        <v>4758</v>
      </c>
      <c r="F22" s="16" t="s">
        <v>6440</v>
      </c>
      <c r="G22" s="12" t="s">
        <v>179</v>
      </c>
      <c r="H22" s="10" t="s">
        <v>277</v>
      </c>
      <c r="I22" s="16" t="s">
        <v>3</v>
      </c>
      <c r="J22" s="14">
        <v>45965</v>
      </c>
      <c r="K22" s="12" t="s">
        <v>4750</v>
      </c>
      <c r="L22" s="20">
        <f t="shared" si="4"/>
        <v>45972</v>
      </c>
      <c r="M22" s="14">
        <v>45980</v>
      </c>
      <c r="N22" s="12">
        <f t="shared" si="1"/>
        <v>8</v>
      </c>
      <c r="O22" s="12" t="s">
        <v>4770</v>
      </c>
      <c r="P22" s="16" t="s">
        <v>18</v>
      </c>
      <c r="Q22" s="20">
        <v>45988</v>
      </c>
      <c r="R22" s="12" t="s">
        <v>5061</v>
      </c>
      <c r="S22" s="20">
        <f t="shared" ref="S22:S31" si="5">Q22+7</f>
        <v>45995</v>
      </c>
      <c r="T22" s="14">
        <v>46000</v>
      </c>
      <c r="U22" s="12">
        <f t="shared" ref="U22:U31" si="6">T22-S22</f>
        <v>5</v>
      </c>
      <c r="V22" s="12" t="s">
        <v>5066</v>
      </c>
      <c r="W22" s="12" t="s">
        <v>5</v>
      </c>
      <c r="X22" s="20">
        <v>46131</v>
      </c>
      <c r="Y22" s="12" t="s">
        <v>6441</v>
      </c>
      <c r="Z22" s="20">
        <f>X22+7</f>
        <v>46138</v>
      </c>
      <c r="AA22" s="21">
        <v>46134</v>
      </c>
      <c r="AB22" s="12">
        <f>AA22-Z22</f>
        <v>-4</v>
      </c>
      <c r="AC22" s="12" t="s">
        <v>6455</v>
      </c>
      <c r="AD22" s="12"/>
      <c r="AE22" s="20"/>
      <c r="AF22" s="12"/>
      <c r="AG22" s="12"/>
      <c r="AH22" s="20"/>
      <c r="AI22" s="20"/>
      <c r="AJ22" s="12"/>
      <c r="AK22" s="10"/>
      <c r="AL22" s="14"/>
      <c r="AM22" s="12"/>
      <c r="AN22" s="12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2"/>
      <c r="BF22" s="440"/>
    </row>
    <row r="23" spans="1:58" s="381" customFormat="1" ht="42" customHeight="1" x14ac:dyDescent="0.25">
      <c r="A23" s="367">
        <v>310002</v>
      </c>
      <c r="B23" s="11" t="s">
        <v>5</v>
      </c>
      <c r="C23" s="56" t="s">
        <v>588</v>
      </c>
      <c r="D23" s="12" t="s">
        <v>4808</v>
      </c>
      <c r="E23" s="12" t="s">
        <v>4809</v>
      </c>
      <c r="F23" s="16" t="s">
        <v>4810</v>
      </c>
      <c r="G23" s="12" t="s">
        <v>179</v>
      </c>
      <c r="H23" s="10" t="s">
        <v>277</v>
      </c>
      <c r="I23" s="16" t="s">
        <v>18</v>
      </c>
      <c r="J23" s="14">
        <v>45971</v>
      </c>
      <c r="K23" s="12" t="s">
        <v>4811</v>
      </c>
      <c r="L23" s="20">
        <f t="shared" si="4"/>
        <v>45978</v>
      </c>
      <c r="M23" s="14">
        <v>45981</v>
      </c>
      <c r="N23" s="12">
        <f t="shared" ref="N23:N31" si="7">M23-L23</f>
        <v>3</v>
      </c>
      <c r="O23" s="12" t="s">
        <v>4842</v>
      </c>
      <c r="P23" s="16" t="s">
        <v>18</v>
      </c>
      <c r="Q23" s="20">
        <v>46015</v>
      </c>
      <c r="R23" s="12" t="s">
        <v>5371</v>
      </c>
      <c r="S23" s="20">
        <f t="shared" si="5"/>
        <v>46022</v>
      </c>
      <c r="T23" s="20">
        <v>46019</v>
      </c>
      <c r="U23" s="12">
        <f t="shared" si="6"/>
        <v>-3</v>
      </c>
      <c r="V23" s="12" t="s">
        <v>5386</v>
      </c>
      <c r="W23" s="12" t="s">
        <v>5</v>
      </c>
      <c r="X23" s="20">
        <v>46146</v>
      </c>
      <c r="Y23" s="12" t="s">
        <v>6648</v>
      </c>
      <c r="Z23" s="20">
        <f>X23+7</f>
        <v>46153</v>
      </c>
      <c r="AA23" s="20">
        <v>46149</v>
      </c>
      <c r="AB23" s="12">
        <f>AA23-Z23</f>
        <v>-4</v>
      </c>
      <c r="AC23" s="12" t="s">
        <v>6657</v>
      </c>
      <c r="AD23" s="12"/>
      <c r="AE23" s="20"/>
      <c r="AF23" s="12"/>
      <c r="AG23" s="12"/>
      <c r="AH23" s="20"/>
      <c r="AI23" s="20"/>
      <c r="AJ23" s="12"/>
      <c r="AK23" s="10"/>
      <c r="AL23" s="14"/>
      <c r="AM23" s="12"/>
      <c r="AN23" s="12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2"/>
      <c r="BF23" s="440"/>
    </row>
    <row r="24" spans="1:58" s="381" customFormat="1" ht="42" customHeight="1" x14ac:dyDescent="0.25">
      <c r="A24" s="367">
        <v>310002</v>
      </c>
      <c r="B24" s="11" t="s">
        <v>5</v>
      </c>
      <c r="C24" s="56" t="s">
        <v>208</v>
      </c>
      <c r="D24" s="12" t="s">
        <v>4817</v>
      </c>
      <c r="E24" s="12" t="s">
        <v>4818</v>
      </c>
      <c r="F24" s="16" t="s">
        <v>4819</v>
      </c>
      <c r="G24" s="12" t="s">
        <v>179</v>
      </c>
      <c r="H24" s="10" t="s">
        <v>277</v>
      </c>
      <c r="I24" s="16" t="s">
        <v>18</v>
      </c>
      <c r="J24" s="14">
        <v>45971</v>
      </c>
      <c r="K24" s="13" t="s">
        <v>4820</v>
      </c>
      <c r="L24" s="14">
        <f t="shared" si="4"/>
        <v>45978</v>
      </c>
      <c r="M24" s="14">
        <v>45981</v>
      </c>
      <c r="N24" s="12">
        <f t="shared" si="7"/>
        <v>3</v>
      </c>
      <c r="O24" s="10" t="s">
        <v>4844</v>
      </c>
      <c r="P24" s="12" t="s">
        <v>5</v>
      </c>
      <c r="Q24" s="21">
        <v>46133</v>
      </c>
      <c r="R24" s="10" t="s">
        <v>6472</v>
      </c>
      <c r="S24" s="20">
        <f t="shared" si="5"/>
        <v>46140</v>
      </c>
      <c r="T24" s="21">
        <v>46142</v>
      </c>
      <c r="U24" s="12">
        <f t="shared" si="6"/>
        <v>2</v>
      </c>
      <c r="V24" s="10" t="s">
        <v>6496</v>
      </c>
      <c r="W24" s="10"/>
      <c r="X24" s="21"/>
      <c r="Y24" s="10"/>
      <c r="Z24" s="10"/>
      <c r="AA24" s="21"/>
      <c r="AB24" s="21"/>
      <c r="AC24" s="10"/>
      <c r="AD24" s="10"/>
      <c r="AE24" s="21"/>
      <c r="AF24" s="10"/>
      <c r="AG24" s="10"/>
      <c r="AH24" s="21"/>
      <c r="AI24" s="21"/>
      <c r="AJ24" s="10"/>
      <c r="AK24" s="10"/>
      <c r="AL24" s="17"/>
      <c r="AM24" s="11"/>
      <c r="AN24" s="11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1"/>
      <c r="BF24" s="440"/>
    </row>
    <row r="25" spans="1:58" s="381" customFormat="1" ht="42" customHeight="1" x14ac:dyDescent="0.25">
      <c r="A25" s="367">
        <v>310002</v>
      </c>
      <c r="B25" s="11" t="s">
        <v>5</v>
      </c>
      <c r="C25" s="56" t="s">
        <v>208</v>
      </c>
      <c r="D25" s="12" t="s">
        <v>4821</v>
      </c>
      <c r="E25" s="12" t="s">
        <v>4822</v>
      </c>
      <c r="F25" s="16" t="s">
        <v>4823</v>
      </c>
      <c r="G25" s="12" t="s">
        <v>179</v>
      </c>
      <c r="H25" s="10" t="s">
        <v>277</v>
      </c>
      <c r="I25" s="16" t="s">
        <v>3</v>
      </c>
      <c r="J25" s="14">
        <v>45971</v>
      </c>
      <c r="K25" s="13" t="s">
        <v>4824</v>
      </c>
      <c r="L25" s="14">
        <f t="shared" si="4"/>
        <v>45978</v>
      </c>
      <c r="M25" s="14">
        <v>45981</v>
      </c>
      <c r="N25" s="12">
        <f t="shared" si="7"/>
        <v>3</v>
      </c>
      <c r="O25" s="10" t="s">
        <v>4845</v>
      </c>
      <c r="P25" s="10" t="s">
        <v>5</v>
      </c>
      <c r="Q25" s="21">
        <v>46007</v>
      </c>
      <c r="R25" s="10" t="s">
        <v>5287</v>
      </c>
      <c r="S25" s="20">
        <f t="shared" si="5"/>
        <v>46014</v>
      </c>
      <c r="T25" s="14">
        <v>46014</v>
      </c>
      <c r="U25" s="12">
        <f t="shared" si="6"/>
        <v>0</v>
      </c>
      <c r="V25" s="10" t="s">
        <v>5317</v>
      </c>
      <c r="W25" s="10"/>
      <c r="X25" s="21"/>
      <c r="Y25" s="10"/>
      <c r="Z25" s="10"/>
      <c r="AA25" s="21"/>
      <c r="AB25" s="21"/>
      <c r="AC25" s="10"/>
      <c r="AD25" s="10"/>
      <c r="AE25" s="21"/>
      <c r="AF25" s="10"/>
      <c r="AG25" s="10"/>
      <c r="AH25" s="21"/>
      <c r="AI25" s="21"/>
      <c r="AJ25" s="10"/>
      <c r="AK25" s="10"/>
      <c r="AL25" s="17"/>
      <c r="AM25" s="11"/>
      <c r="AN25" s="11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1"/>
      <c r="BF25" s="440"/>
    </row>
    <row r="26" spans="1:58" s="381" customFormat="1" ht="42" customHeight="1" x14ac:dyDescent="0.25">
      <c r="A26" s="367">
        <v>310002</v>
      </c>
      <c r="B26" s="11" t="s">
        <v>5</v>
      </c>
      <c r="C26" s="56" t="s">
        <v>588</v>
      </c>
      <c r="D26" s="12" t="s">
        <v>4892</v>
      </c>
      <c r="E26" s="12" t="s">
        <v>4893</v>
      </c>
      <c r="F26" s="16" t="s">
        <v>4894</v>
      </c>
      <c r="G26" s="12" t="s">
        <v>179</v>
      </c>
      <c r="H26" s="10" t="s">
        <v>277</v>
      </c>
      <c r="I26" s="16" t="s">
        <v>3</v>
      </c>
      <c r="J26" s="14">
        <v>45976</v>
      </c>
      <c r="K26" s="13" t="s">
        <v>4895</v>
      </c>
      <c r="L26" s="14">
        <f t="shared" si="4"/>
        <v>45983</v>
      </c>
      <c r="M26" s="14">
        <v>45993</v>
      </c>
      <c r="N26" s="12">
        <f t="shared" si="7"/>
        <v>10</v>
      </c>
      <c r="O26" s="10" t="s">
        <v>4992</v>
      </c>
      <c r="P26" s="10" t="s">
        <v>18</v>
      </c>
      <c r="Q26" s="21">
        <v>46007</v>
      </c>
      <c r="R26" s="10" t="s">
        <v>5292</v>
      </c>
      <c r="S26" s="20">
        <f t="shared" si="5"/>
        <v>46014</v>
      </c>
      <c r="T26" s="14">
        <v>46018</v>
      </c>
      <c r="U26" s="12">
        <f t="shared" si="6"/>
        <v>4</v>
      </c>
      <c r="V26" s="10" t="s">
        <v>5332</v>
      </c>
      <c r="W26" s="10" t="s">
        <v>5</v>
      </c>
      <c r="X26" s="21">
        <v>46130</v>
      </c>
      <c r="Y26" s="10" t="s">
        <v>6414</v>
      </c>
      <c r="Z26" s="20">
        <f>X26+7</f>
        <v>46137</v>
      </c>
      <c r="AA26" s="21">
        <v>46131</v>
      </c>
      <c r="AB26" s="12">
        <f>AA26-Z26</f>
        <v>-6</v>
      </c>
      <c r="AC26" s="10" t="s">
        <v>6439</v>
      </c>
      <c r="AD26" s="10"/>
      <c r="AE26" s="21"/>
      <c r="AF26" s="10"/>
      <c r="AG26" s="10"/>
      <c r="AH26" s="21"/>
      <c r="AI26" s="21"/>
      <c r="AJ26" s="10"/>
      <c r="AK26" s="10"/>
      <c r="AL26" s="17"/>
      <c r="AM26" s="11"/>
      <c r="AN26" s="11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1"/>
      <c r="BF26" s="440"/>
    </row>
    <row r="27" spans="1:58" s="381" customFormat="1" ht="42" customHeight="1" x14ac:dyDescent="0.25">
      <c r="A27" s="367">
        <v>310002</v>
      </c>
      <c r="B27" s="11" t="s">
        <v>5</v>
      </c>
      <c r="C27" s="56" t="s">
        <v>208</v>
      </c>
      <c r="D27" s="12" t="s">
        <v>5040</v>
      </c>
      <c r="E27" s="12" t="s">
        <v>5041</v>
      </c>
      <c r="F27" s="16" t="s">
        <v>5042</v>
      </c>
      <c r="G27" s="12" t="s">
        <v>179</v>
      </c>
      <c r="H27" s="10" t="s">
        <v>277</v>
      </c>
      <c r="I27" s="16" t="s">
        <v>18</v>
      </c>
      <c r="J27" s="14">
        <v>45985</v>
      </c>
      <c r="K27" s="13" t="s">
        <v>5039</v>
      </c>
      <c r="L27" s="14">
        <f>J27+7</f>
        <v>45992</v>
      </c>
      <c r="M27" s="14">
        <v>46001</v>
      </c>
      <c r="N27" s="12">
        <f t="shared" si="7"/>
        <v>9</v>
      </c>
      <c r="O27" s="10" t="s">
        <v>5046</v>
      </c>
      <c r="P27" s="12" t="s">
        <v>5</v>
      </c>
      <c r="Q27" s="21">
        <v>46006</v>
      </c>
      <c r="R27" s="10" t="s">
        <v>5274</v>
      </c>
      <c r="S27" s="20">
        <f t="shared" si="5"/>
        <v>46013</v>
      </c>
      <c r="T27" s="14">
        <v>46015</v>
      </c>
      <c r="U27" s="12">
        <f t="shared" si="6"/>
        <v>2</v>
      </c>
      <c r="V27" s="10" t="s">
        <v>5319</v>
      </c>
      <c r="W27" s="10"/>
      <c r="X27" s="21"/>
      <c r="Y27" s="10"/>
      <c r="Z27" s="10"/>
      <c r="AA27" s="21"/>
      <c r="AB27" s="21"/>
      <c r="AC27" s="10"/>
      <c r="AD27" s="10"/>
      <c r="AE27" s="21"/>
      <c r="AF27" s="10"/>
      <c r="AG27" s="10"/>
      <c r="AH27" s="21"/>
      <c r="AI27" s="21"/>
      <c r="AJ27" s="10"/>
      <c r="AK27" s="10"/>
      <c r="AL27" s="17"/>
      <c r="AM27" s="11"/>
      <c r="AN27" s="11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1"/>
      <c r="BF27" s="440" t="s">
        <v>4585</v>
      </c>
    </row>
    <row r="28" spans="1:58" s="381" customFormat="1" ht="42" customHeight="1" x14ac:dyDescent="0.25">
      <c r="A28" s="367">
        <v>310002</v>
      </c>
      <c r="B28" s="11" t="s">
        <v>5</v>
      </c>
      <c r="C28" s="56" t="s">
        <v>725</v>
      </c>
      <c r="D28" s="12" t="s">
        <v>5390</v>
      </c>
      <c r="E28" s="10" t="s">
        <v>5389</v>
      </c>
      <c r="F28" s="16" t="s">
        <v>5391</v>
      </c>
      <c r="G28" s="12" t="s">
        <v>179</v>
      </c>
      <c r="H28" s="10" t="s">
        <v>277</v>
      </c>
      <c r="I28" s="16" t="s">
        <v>3</v>
      </c>
      <c r="J28" s="14">
        <v>46016</v>
      </c>
      <c r="K28" s="13" t="s">
        <v>5392</v>
      </c>
      <c r="L28" s="14">
        <f>J28+7</f>
        <v>46023</v>
      </c>
      <c r="M28" s="14">
        <v>46027</v>
      </c>
      <c r="N28" s="12">
        <f t="shared" si="7"/>
        <v>4</v>
      </c>
      <c r="O28" s="10" t="s">
        <v>5398</v>
      </c>
      <c r="P28" s="10" t="s">
        <v>18</v>
      </c>
      <c r="Q28" s="21">
        <v>46028</v>
      </c>
      <c r="R28" s="10" t="s">
        <v>5476</v>
      </c>
      <c r="S28" s="20">
        <f t="shared" si="5"/>
        <v>46035</v>
      </c>
      <c r="T28" s="21">
        <v>46040</v>
      </c>
      <c r="U28" s="12">
        <f t="shared" si="6"/>
        <v>5</v>
      </c>
      <c r="V28" s="10" t="s">
        <v>5481</v>
      </c>
      <c r="W28" s="10" t="s">
        <v>18</v>
      </c>
      <c r="X28" s="21">
        <v>46046</v>
      </c>
      <c r="Y28" s="10" t="s">
        <v>5649</v>
      </c>
      <c r="Z28" s="20">
        <f>X28+7</f>
        <v>46053</v>
      </c>
      <c r="AA28" s="21">
        <v>46056</v>
      </c>
      <c r="AB28" s="12">
        <f>AA28-Z28</f>
        <v>3</v>
      </c>
      <c r="AC28" s="10" t="s">
        <v>5664</v>
      </c>
      <c r="AD28" s="10" t="s">
        <v>5</v>
      </c>
      <c r="AE28" s="21">
        <v>46155</v>
      </c>
      <c r="AF28" s="10" t="s">
        <v>6767</v>
      </c>
      <c r="AG28" s="20">
        <f>AE28+7</f>
        <v>46162</v>
      </c>
      <c r="AH28" s="21">
        <v>46159</v>
      </c>
      <c r="AI28" s="12">
        <f>AH28-AG28</f>
        <v>-3</v>
      </c>
      <c r="AJ28" s="10" t="s">
        <v>6819</v>
      </c>
      <c r="AK28" s="10"/>
      <c r="AL28" s="17"/>
      <c r="AM28" s="11"/>
      <c r="AN28" s="11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1"/>
      <c r="BF28" s="440"/>
    </row>
    <row r="29" spans="1:58" s="381" customFormat="1" ht="42" customHeight="1" x14ac:dyDescent="0.25">
      <c r="A29" s="367">
        <v>310002</v>
      </c>
      <c r="B29" s="11" t="s">
        <v>5</v>
      </c>
      <c r="C29" s="56" t="s">
        <v>588</v>
      </c>
      <c r="D29" s="12" t="s">
        <v>5682</v>
      </c>
      <c r="E29" s="10" t="s">
        <v>5683</v>
      </c>
      <c r="F29" s="16" t="s">
        <v>5684</v>
      </c>
      <c r="G29" s="12" t="s">
        <v>179</v>
      </c>
      <c r="H29" s="10" t="s">
        <v>277</v>
      </c>
      <c r="I29" s="16" t="s">
        <v>18</v>
      </c>
      <c r="J29" s="14">
        <v>46049</v>
      </c>
      <c r="K29" s="13" t="s">
        <v>5685</v>
      </c>
      <c r="L29" s="14">
        <f>J29+7</f>
        <v>46056</v>
      </c>
      <c r="M29" s="14">
        <v>46070</v>
      </c>
      <c r="N29" s="12">
        <f t="shared" si="7"/>
        <v>14</v>
      </c>
      <c r="O29" s="10" t="s">
        <v>5693</v>
      </c>
      <c r="P29" s="10" t="s">
        <v>18</v>
      </c>
      <c r="Q29" s="21">
        <v>46131</v>
      </c>
      <c r="R29" s="10" t="s">
        <v>6442</v>
      </c>
      <c r="S29" s="20">
        <f t="shared" si="5"/>
        <v>46138</v>
      </c>
      <c r="T29" s="21">
        <v>46139</v>
      </c>
      <c r="U29" s="12">
        <f t="shared" si="6"/>
        <v>1</v>
      </c>
      <c r="V29" s="10" t="s">
        <v>6456</v>
      </c>
      <c r="W29" s="10" t="s">
        <v>5</v>
      </c>
      <c r="X29" s="21">
        <v>46140</v>
      </c>
      <c r="Y29" s="10" t="s">
        <v>6561</v>
      </c>
      <c r="Z29" s="20">
        <f>X29+7</f>
        <v>46147</v>
      </c>
      <c r="AA29" s="21">
        <v>46144</v>
      </c>
      <c r="AB29" s="12">
        <f>AA29-Z29</f>
        <v>-3</v>
      </c>
      <c r="AC29" s="10" t="s">
        <v>6584</v>
      </c>
      <c r="AD29" s="10"/>
      <c r="AE29" s="21"/>
      <c r="AF29" s="10"/>
      <c r="AG29" s="10"/>
      <c r="AH29" s="21"/>
      <c r="AI29" s="21"/>
      <c r="AJ29" s="10"/>
      <c r="AK29" s="10"/>
      <c r="AL29" s="17"/>
      <c r="AM29" s="11"/>
      <c r="AN29" s="11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1"/>
      <c r="BF29" s="440"/>
    </row>
    <row r="30" spans="1:58" s="381" customFormat="1" ht="42" customHeight="1" x14ac:dyDescent="0.25">
      <c r="A30" s="367">
        <v>310002</v>
      </c>
      <c r="B30" s="11" t="s">
        <v>5</v>
      </c>
      <c r="C30" s="56" t="s">
        <v>588</v>
      </c>
      <c r="D30" s="12" t="s">
        <v>6315</v>
      </c>
      <c r="E30" s="12" t="s">
        <v>6412</v>
      </c>
      <c r="F30" s="16" t="s">
        <v>6411</v>
      </c>
      <c r="G30" s="12" t="s">
        <v>179</v>
      </c>
      <c r="H30" s="10" t="s">
        <v>277</v>
      </c>
      <c r="I30" s="16" t="s">
        <v>18</v>
      </c>
      <c r="J30" s="14">
        <v>46130</v>
      </c>
      <c r="K30" s="13" t="s">
        <v>6413</v>
      </c>
      <c r="L30" s="14">
        <f>J30+7</f>
        <v>46137</v>
      </c>
      <c r="M30" s="14">
        <v>46138</v>
      </c>
      <c r="N30" s="12">
        <f t="shared" si="7"/>
        <v>1</v>
      </c>
      <c r="O30" s="10" t="s">
        <v>6437</v>
      </c>
      <c r="P30" s="16" t="s">
        <v>18</v>
      </c>
      <c r="Q30" s="21">
        <v>46145</v>
      </c>
      <c r="R30" s="10" t="s">
        <v>6627</v>
      </c>
      <c r="S30" s="20">
        <f t="shared" si="5"/>
        <v>46152</v>
      </c>
      <c r="T30" s="21">
        <v>46152</v>
      </c>
      <c r="U30" s="12">
        <f t="shared" si="6"/>
        <v>0</v>
      </c>
      <c r="V30" s="10" t="s">
        <v>6640</v>
      </c>
      <c r="W30" s="10" t="s">
        <v>5</v>
      </c>
      <c r="X30" s="21">
        <v>46152</v>
      </c>
      <c r="Y30" s="10" t="s">
        <v>6717</v>
      </c>
      <c r="Z30" s="20">
        <f>X30+7</f>
        <v>46159</v>
      </c>
      <c r="AA30" s="21">
        <v>46153</v>
      </c>
      <c r="AB30" s="12">
        <f>AA30-Z30</f>
        <v>-6</v>
      </c>
      <c r="AC30" s="10" t="s">
        <v>6729</v>
      </c>
      <c r="AD30" s="10"/>
      <c r="AE30" s="21"/>
      <c r="AF30" s="10"/>
      <c r="AG30" s="10"/>
      <c r="AH30" s="21"/>
      <c r="AI30" s="21"/>
      <c r="AJ30" s="10"/>
      <c r="AK30" s="10"/>
      <c r="AL30" s="17"/>
      <c r="AM30" s="11"/>
      <c r="AN30" s="11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1"/>
      <c r="BF30" s="440"/>
    </row>
    <row r="31" spans="1:58" s="381" customFormat="1" ht="42" customHeight="1" x14ac:dyDescent="0.25">
      <c r="A31" s="367">
        <v>310002</v>
      </c>
      <c r="B31" s="16" t="s">
        <v>5</v>
      </c>
      <c r="C31" s="56" t="s">
        <v>588</v>
      </c>
      <c r="D31" s="12" t="s">
        <v>6708</v>
      </c>
      <c r="E31" s="12" t="s">
        <v>6709</v>
      </c>
      <c r="F31" s="16" t="s">
        <v>6710</v>
      </c>
      <c r="G31" s="12" t="s">
        <v>179</v>
      </c>
      <c r="H31" s="10" t="s">
        <v>277</v>
      </c>
      <c r="I31" s="16" t="s">
        <v>3</v>
      </c>
      <c r="J31" s="14">
        <v>46152</v>
      </c>
      <c r="K31" s="13" t="s">
        <v>6711</v>
      </c>
      <c r="L31" s="14">
        <f>J31+7</f>
        <v>46159</v>
      </c>
      <c r="M31" s="14">
        <v>46161</v>
      </c>
      <c r="N31" s="12">
        <f t="shared" si="7"/>
        <v>2</v>
      </c>
      <c r="O31" s="10" t="s">
        <v>6730</v>
      </c>
      <c r="P31" s="16" t="s">
        <v>18</v>
      </c>
      <c r="Q31" s="21">
        <v>46163</v>
      </c>
      <c r="R31" s="10" t="s">
        <v>6879</v>
      </c>
      <c r="S31" s="20">
        <f t="shared" si="5"/>
        <v>46170</v>
      </c>
      <c r="T31" s="21">
        <v>46174</v>
      </c>
      <c r="U31" s="12">
        <f t="shared" si="6"/>
        <v>4</v>
      </c>
      <c r="V31" s="10" t="s">
        <v>6894</v>
      </c>
      <c r="W31" s="10" t="s">
        <v>5</v>
      </c>
      <c r="X31" s="21">
        <v>46201</v>
      </c>
      <c r="Y31" s="10" t="s">
        <v>7113</v>
      </c>
      <c r="Z31" s="20">
        <f>X31+7</f>
        <v>46208</v>
      </c>
      <c r="AA31" s="21">
        <v>46208</v>
      </c>
      <c r="AB31" s="12">
        <f>AA31-Z31</f>
        <v>0</v>
      </c>
      <c r="AC31" s="10" t="s">
        <v>7131</v>
      </c>
      <c r="AD31" s="10"/>
      <c r="AE31" s="21"/>
      <c r="AF31" s="10"/>
      <c r="AG31" s="10"/>
      <c r="AH31" s="21"/>
      <c r="AI31" s="21"/>
      <c r="AJ31" s="10"/>
      <c r="AK31" s="10"/>
      <c r="AL31" s="17"/>
      <c r="AM31" s="11"/>
      <c r="AN31" s="11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1"/>
      <c r="BF31" s="440"/>
    </row>
    <row r="32" spans="1:58" s="381" customFormat="1" ht="42" customHeight="1" thickBot="1" x14ac:dyDescent="0.3">
      <c r="A32" s="369"/>
      <c r="B32" s="446"/>
      <c r="C32" s="446"/>
      <c r="D32" s="370"/>
      <c r="E32" s="370"/>
      <c r="F32" s="262"/>
      <c r="G32" s="263"/>
      <c r="H32" s="263"/>
      <c r="I32" s="262"/>
      <c r="J32" s="474"/>
      <c r="K32" s="373"/>
      <c r="L32" s="373"/>
      <c r="M32" s="474"/>
      <c r="N32" s="474"/>
      <c r="O32" s="263"/>
      <c r="P32" s="470"/>
      <c r="Q32" s="374"/>
      <c r="R32" s="263"/>
      <c r="S32" s="263"/>
      <c r="T32" s="374"/>
      <c r="U32" s="374"/>
      <c r="V32" s="263"/>
      <c r="W32" s="263"/>
      <c r="X32" s="374"/>
      <c r="Y32" s="263"/>
      <c r="Z32" s="263"/>
      <c r="AA32" s="374"/>
      <c r="AB32" s="374"/>
      <c r="AC32" s="263"/>
      <c r="AD32" s="263"/>
      <c r="AE32" s="374"/>
      <c r="AF32" s="263"/>
      <c r="AG32" s="263"/>
      <c r="AH32" s="374"/>
      <c r="AI32" s="374"/>
      <c r="AJ32" s="263"/>
      <c r="AK32" s="263"/>
      <c r="AL32" s="376"/>
      <c r="AM32" s="371"/>
      <c r="AN32" s="371"/>
      <c r="AO32" s="376"/>
      <c r="AP32" s="376"/>
      <c r="AQ32" s="376"/>
      <c r="AR32" s="376"/>
      <c r="AS32" s="376"/>
      <c r="AT32" s="376"/>
      <c r="AU32" s="376"/>
      <c r="AV32" s="376"/>
      <c r="AW32" s="376"/>
      <c r="AX32" s="376"/>
      <c r="AY32" s="376"/>
      <c r="AZ32" s="376"/>
      <c r="BA32" s="376"/>
      <c r="BB32" s="376"/>
      <c r="BC32" s="376"/>
      <c r="BD32" s="376"/>
      <c r="BE32" s="371"/>
      <c r="BF32" s="445"/>
    </row>
  </sheetData>
  <autoFilter ref="A11:BF11" xr:uid="{00000000-0001-0000-1700-000000000000}"/>
  <mergeCells count="18">
    <mergeCell ref="H1:H2"/>
    <mergeCell ref="I1:I2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  <mergeCell ref="A10:A11"/>
    <mergeCell ref="G10:G11"/>
    <mergeCell ref="B10:B11"/>
    <mergeCell ref="C10:C11"/>
    <mergeCell ref="D10:D11"/>
    <mergeCell ref="E10:E11"/>
    <mergeCell ref="F10:F11"/>
  </mergeCells>
  <phoneticPr fontId="5" type="noConversion"/>
  <conditionalFormatting sqref="A10:A1048576">
    <cfRule type="cellIs" dxfId="2789" priority="56" operator="equal">
      <formula>"C - Revise and Resubmit - Do Not Proceed"</formula>
    </cfRule>
    <cfRule type="cellIs" dxfId="2788" priority="55" operator="equal">
      <formula>"B- Incorporate Comments - Proceed"</formula>
    </cfRule>
    <cfRule type="cellIs" dxfId="2787" priority="54" operator="equal">
      <formula>"D - Rejected"</formula>
    </cfRule>
    <cfRule type="cellIs" dxfId="2786" priority="53" operator="equal">
      <formula>"E - Review not Required - Proceed"</formula>
    </cfRule>
    <cfRule type="cellIs" dxfId="2785" priority="61" operator="equal">
      <formula>"A - Work May Proceed"</formula>
    </cfRule>
  </conditionalFormatting>
  <conditionalFormatting sqref="B14:B17">
    <cfRule type="cellIs" dxfId="2784" priority="120" stopIfTrue="1" operator="equal">
      <formula>"A - Work May Proceed"</formula>
    </cfRule>
  </conditionalFormatting>
  <conditionalFormatting sqref="B13:D13 B14:B15">
    <cfRule type="cellIs" dxfId="2783" priority="110" operator="equal">
      <formula>"A - Work May Proceed"</formula>
    </cfRule>
  </conditionalFormatting>
  <conditionalFormatting sqref="B13:G21 B22:XFD1048576">
    <cfRule type="cellIs" dxfId="2782" priority="82" operator="equal">
      <formula>"E - Review not Required - Proceed"</formula>
    </cfRule>
    <cfRule type="cellIs" dxfId="2781" priority="83" operator="equal">
      <formula>"D - Rejected"</formula>
    </cfRule>
    <cfRule type="cellIs" dxfId="2780" priority="84" operator="equal">
      <formula>"B- Incorporate Comments - Proceed"</formula>
    </cfRule>
    <cfRule type="cellIs" dxfId="2779" priority="85" operator="equal">
      <formula>"C - Revise and Resubmit - Do Not Proceed"</formula>
    </cfRule>
  </conditionalFormatting>
  <conditionalFormatting sqref="B12:XFD12 H13:J13 J17">
    <cfRule type="cellIs" dxfId="2778" priority="159" operator="equal">
      <formula>"C - Revise and Resubmit - Do Not Proceed"</formula>
    </cfRule>
    <cfRule type="cellIs" dxfId="2777" priority="158" operator="equal">
      <formula>"B- Incorporate Comments - Proceed"</formula>
    </cfRule>
    <cfRule type="cellIs" dxfId="2776" priority="157" operator="equal">
      <formula>"D - Rejected"</formula>
    </cfRule>
    <cfRule type="cellIs" dxfId="2775" priority="156" operator="equal">
      <formula>"E - Review not Required - Proceed"</formula>
    </cfRule>
  </conditionalFormatting>
  <conditionalFormatting sqref="B12:XFD12 H13:J13 L13:M13 W13:XFD13 V13:V16 E13:G17 N13:O17 J17">
    <cfRule type="cellIs" dxfId="2774" priority="160" operator="equal">
      <formula>"A - Work May Proceed"</formula>
    </cfRule>
  </conditionalFormatting>
  <conditionalFormatting sqref="B19:XFD20 B21:U21 W21:XFD21 B22:XFD1048576">
    <cfRule type="cellIs" dxfId="2773" priority="52" operator="equal">
      <formula>"A - Work May Proceed"</formula>
    </cfRule>
  </conditionalFormatting>
  <conditionalFormatting sqref="C14:D17 H14:H18 J16:K16 W16:XFD16 L16:M17 B18:G18">
    <cfRule type="cellIs" dxfId="2772" priority="135" operator="equal">
      <formula>"A - Work May Proceed"</formula>
    </cfRule>
  </conditionalFormatting>
  <conditionalFormatting sqref="D11:BE11 B1:G2 W1:XFD9 B3:H4 B9:H9 B10:XFD10 B11">
    <cfRule type="cellIs" dxfId="2771" priority="206" operator="equal">
      <formula>"E - Review not Required - Proceed"</formula>
    </cfRule>
    <cfRule type="cellIs" dxfId="2770" priority="209" operator="equal">
      <formula>"C - Revise and Resubmit - Do Not Proceed"</formula>
    </cfRule>
    <cfRule type="cellIs" dxfId="2769" priority="210" operator="equal">
      <formula>"A - Work May Proceed"</formula>
    </cfRule>
    <cfRule type="cellIs" dxfId="2768" priority="207" operator="equal">
      <formula>"D - Rejected"</formula>
    </cfRule>
    <cfRule type="cellIs" dxfId="2767" priority="208" operator="equal">
      <formula>"B- Incorporate Comments - Proceed"</formula>
    </cfRule>
  </conditionalFormatting>
  <conditionalFormatting sqref="H14:H31 J16:K16 L16:M17">
    <cfRule type="cellIs" dxfId="2766" priority="133" operator="equal">
      <formula>"B- Incorporate Comments - Proceed"</formula>
    </cfRule>
    <cfRule type="cellIs" dxfId="2765" priority="131" operator="equal">
      <formula>"E - Review not Required - Proceed"</formula>
    </cfRule>
    <cfRule type="cellIs" dxfId="2764" priority="132" operator="equal">
      <formula>"D - Rejected"</formula>
    </cfRule>
    <cfRule type="cellIs" dxfId="2763" priority="134" operator="equal">
      <formula>"C - Revise and Resubmit - Do Not Proceed"</formula>
    </cfRule>
  </conditionalFormatting>
  <conditionalFormatting sqref="I11">
    <cfRule type="cellIs" dxfId="2762" priority="279" operator="between">
      <formula>"E - Review not Required - Proceed"</formula>
      <formula>"E - Review not Required - Proceed"</formula>
    </cfRule>
    <cfRule type="cellIs" dxfId="2761" priority="278" operator="equal">
      <formula>"E - Review Not Required - Proceed"</formula>
    </cfRule>
    <cfRule type="cellIs" dxfId="2760" priority="277" operator="equal">
      <formula>"B - Incorporate Comments - Proceed "</formula>
    </cfRule>
    <cfRule type="cellIs" dxfId="2759" priority="276" operator="equal">
      <formula>"For Information"</formula>
    </cfRule>
    <cfRule type="cellIs" dxfId="2758" priority="275" operator="equal">
      <formula>"B - Incorporate Comments - Proceed"</formula>
    </cfRule>
    <cfRule type="cellIs" dxfId="2757" priority="287" operator="between">
      <formula>"CANCELLED"</formula>
      <formula>"CANCELLED"</formula>
    </cfRule>
    <cfRule type="cellIs" dxfId="2756" priority="288" operator="between">
      <formula>"A - Work May Proceed"</formula>
      <formula>"A - Work May Proceed"</formula>
    </cfRule>
    <cfRule type="cellIs" dxfId="2755" priority="280" operator="between">
      <formula>"'D - Rejected "</formula>
      <formula>"'D - Rejected "</formula>
    </cfRule>
    <cfRule type="cellIs" dxfId="2754" priority="289" operator="between">
      <formula>"C - Revise and Resubmit - Do Not Proceed"</formula>
      <formula>"C - Revise and Resubmit - Do Not Proceed"</formula>
    </cfRule>
    <cfRule type="cellIs" dxfId="2753" priority="290" stopIfTrue="1" operator="between">
      <formula>"B - Incorporate Comments - Proceed "</formula>
      <formula>"B - Incorporate Comments - Proceed "</formula>
    </cfRule>
    <cfRule type="cellIs" dxfId="2752" priority="281" operator="between">
      <formula>"C - Revise and Resubmit - Do Not Proceed"</formula>
      <formula>"C - Revise and Resubmit - Do Not Proceed"</formula>
    </cfRule>
    <cfRule type="cellIs" dxfId="2751" priority="282" operator="between">
      <formula>"B - Incorporate Comments - Proceed"</formula>
      <formula>"B - Incorporate Comments - Proceed"</formula>
    </cfRule>
    <cfRule type="cellIs" dxfId="2750" priority="283" operator="between">
      <formula>"A - Work May Proceed"</formula>
      <formula>"A - Work May Proceed"</formula>
    </cfRule>
    <cfRule type="cellIs" dxfId="2749" priority="284" operator="between">
      <formula>"B - Incorporate Comments - Proceed"</formula>
      <formula>"B - Incorporate Comments - Proceed"</formula>
    </cfRule>
    <cfRule type="cellIs" dxfId="2748" priority="285" operator="between">
      <formula>"E - Review not Required - Proceed"</formula>
      <formula>"E - Review not Required - Proceed"</formula>
    </cfRule>
    <cfRule type="cellIs" dxfId="2747" priority="286" operator="between">
      <formula>"D - Rejected "</formula>
      <formula>"D - Rejected "</formula>
    </cfRule>
  </conditionalFormatting>
  <conditionalFormatting sqref="I14:I15">
    <cfRule type="cellIs" dxfId="2746" priority="145" stopIfTrue="1" operator="equal">
      <formula>"A - Work May Proceed"</formula>
    </cfRule>
  </conditionalFormatting>
  <conditionalFormatting sqref="I16:I17">
    <cfRule type="cellIs" dxfId="2745" priority="112" operator="equal">
      <formula>"D - Rejected"</formula>
    </cfRule>
    <cfRule type="cellIs" dxfId="2744" priority="114" operator="equal">
      <formula>"C - Revise and Resubmit - Do Not Proceed"</formula>
    </cfRule>
    <cfRule type="cellIs" dxfId="2743" priority="113" operator="equal">
      <formula>"B- Incorporate Comments - Proceed"</formula>
    </cfRule>
    <cfRule type="cellIs" dxfId="2742" priority="115" stopIfTrue="1" operator="equal">
      <formula>"A - Work May Proceed"</formula>
    </cfRule>
    <cfRule type="cellIs" dxfId="2741" priority="111" operator="equal">
      <formula>"E - Review not Required - Proceed"</formula>
    </cfRule>
  </conditionalFormatting>
  <conditionalFormatting sqref="I14:M15">
    <cfRule type="cellIs" dxfId="2740" priority="141" operator="equal">
      <formula>"E - Review not Required - Proceed"</formula>
    </cfRule>
    <cfRule type="cellIs" dxfId="2739" priority="142" operator="equal">
      <formula>"D - Rejected"</formula>
    </cfRule>
    <cfRule type="cellIs" dxfId="2738" priority="143" operator="equal">
      <formula>"B- Incorporate Comments - Proceed"</formula>
    </cfRule>
    <cfRule type="cellIs" dxfId="2737" priority="144" operator="equal">
      <formula>"C - Revise and Resubmit - Do Not Proceed"</formula>
    </cfRule>
  </conditionalFormatting>
  <conditionalFormatting sqref="I21:U21">
    <cfRule type="cellIs" dxfId="2736" priority="31" operator="equal">
      <formula>"B- Incorporate Comments - Proceed"</formula>
    </cfRule>
    <cfRule type="cellIs" dxfId="2735" priority="30" operator="equal">
      <formula>"D - Rejected"</formula>
    </cfRule>
    <cfRule type="cellIs" dxfId="2734" priority="29" operator="equal">
      <formula>"E - Review not Required - Proceed"</formula>
    </cfRule>
    <cfRule type="cellIs" dxfId="2733" priority="32" operator="equal">
      <formula>"C - Revise and Resubmit - Do Not Proceed"</formula>
    </cfRule>
  </conditionalFormatting>
  <conditionalFormatting sqref="J5:J6 B5:I7 B8:J8">
    <cfRule type="cellIs" dxfId="2732" priority="161" operator="equal">
      <formula>"E - Review not Required - Proceed"</formula>
    </cfRule>
    <cfRule type="cellIs" dxfId="2731" priority="163" operator="equal">
      <formula>"B- Incorporate Comments - Proceed"</formula>
    </cfRule>
    <cfRule type="cellIs" dxfId="2730" priority="164" operator="equal">
      <formula>"C - Revise and Resubmit - Do Not Proceed"</formula>
    </cfRule>
    <cfRule type="cellIs" dxfId="2729" priority="165" stopIfTrue="1" operator="equal">
      <formula>"A - Work May Proceed"</formula>
    </cfRule>
    <cfRule type="cellIs" dxfId="2728" priority="162" operator="equal">
      <formula>"D - Rejected"</formula>
    </cfRule>
  </conditionalFormatting>
  <conditionalFormatting sqref="J14:M15 W14:X15">
    <cfRule type="cellIs" dxfId="2727" priority="155" operator="equal">
      <formula>"A - Work May Proceed"</formula>
    </cfRule>
  </conditionalFormatting>
  <conditionalFormatting sqref="L13:XFD13 N14:V17">
    <cfRule type="cellIs" dxfId="2726" priority="41" operator="equal">
      <formula>"C - Revise and Resubmit - Do Not Proceed"</formula>
    </cfRule>
    <cfRule type="cellIs" dxfId="2725" priority="40" operator="equal">
      <formula>"B- Incorporate Comments - Proceed"</formula>
    </cfRule>
    <cfRule type="cellIs" dxfId="2724" priority="39" operator="equal">
      <formula>"D - Rejected"</formula>
    </cfRule>
    <cfRule type="cellIs" dxfId="2723" priority="38" operator="equal">
      <formula>"E - Review not Required - Proceed"</formula>
    </cfRule>
  </conditionalFormatting>
  <conditionalFormatting sqref="P11">
    <cfRule type="cellIs" dxfId="2722" priority="263" operator="between">
      <formula>"E - Review not Required - Proceed"</formula>
      <formula>"E - Review not Required - Proceed"</formula>
    </cfRule>
    <cfRule type="cellIs" dxfId="2721" priority="262" operator="equal">
      <formula>"E - Review Not Required - Proceed"</formula>
    </cfRule>
    <cfRule type="cellIs" dxfId="2720" priority="261" operator="equal">
      <formula>"B - Incorporate Comments - Proceed "</formula>
    </cfRule>
    <cfRule type="cellIs" dxfId="2719" priority="259" operator="equal">
      <formula>"B - Incorporate Comments - Proceed"</formula>
    </cfRule>
    <cfRule type="cellIs" dxfId="2718" priority="260" operator="equal">
      <formula>"For Information"</formula>
    </cfRule>
    <cfRule type="cellIs" dxfId="2717" priority="274" stopIfTrue="1" operator="between">
      <formula>"B - Incorporate Comments - Proceed "</formula>
      <formula>"B - Incorporate Comments - Proceed "</formula>
    </cfRule>
    <cfRule type="cellIs" dxfId="2716" priority="273" operator="between">
      <formula>"C - Revise and Resubmit - Do Not Proceed"</formula>
      <formula>"C - Revise and Resubmit - Do Not Proceed"</formula>
    </cfRule>
    <cfRule type="cellIs" dxfId="2715" priority="272" operator="between">
      <formula>"A - Work May Proceed"</formula>
      <formula>"A - Work May Proceed"</formula>
    </cfRule>
    <cfRule type="cellIs" dxfId="2714" priority="271" operator="between">
      <formula>"CANCELLED"</formula>
      <formula>"CANCELLED"</formula>
    </cfRule>
    <cfRule type="cellIs" dxfId="2713" priority="270" operator="between">
      <formula>"D - Rejected "</formula>
      <formula>"D - Rejected "</formula>
    </cfRule>
    <cfRule type="cellIs" dxfId="2712" priority="269" operator="between">
      <formula>"E - Review not Required - Proceed"</formula>
      <formula>"E - Review not Required - Proceed"</formula>
    </cfRule>
    <cfRule type="cellIs" dxfId="2711" priority="268" operator="between">
      <formula>"B - Incorporate Comments - Proceed"</formula>
      <formula>"B - Incorporate Comments - Proceed"</formula>
    </cfRule>
    <cfRule type="cellIs" dxfId="2710" priority="266" operator="between">
      <formula>"B - Incorporate Comments - Proceed"</formula>
      <formula>"B - Incorporate Comments - Proceed"</formula>
    </cfRule>
    <cfRule type="cellIs" dxfId="2709" priority="264" operator="between">
      <formula>"'D - Rejected "</formula>
      <formula>"'D - Rejected "</formula>
    </cfRule>
    <cfRule type="cellIs" dxfId="2708" priority="265" operator="between">
      <formula>"C - Revise and Resubmit - Do Not Proceed"</formula>
      <formula>"C - Revise and Resubmit - Do Not Proceed"</formula>
    </cfRule>
    <cfRule type="cellIs" dxfId="2707" priority="267" operator="between">
      <formula>"A - Work May Proceed"</formula>
      <formula>"A - Work May Proceed"</formula>
    </cfRule>
  </conditionalFormatting>
  <conditionalFormatting sqref="P14:P15">
    <cfRule type="cellIs" dxfId="2706" priority="105" stopIfTrue="1" operator="equal">
      <formula>"A - Work May Proceed"</formula>
    </cfRule>
  </conditionalFormatting>
  <conditionalFormatting sqref="P13:U13 Q14:U15 P16:U16">
    <cfRule type="cellIs" dxfId="2705" priority="100" operator="equal">
      <formula>"A - Work May Proceed"</formula>
    </cfRule>
  </conditionalFormatting>
  <conditionalFormatting sqref="P17:XFD17 I18:XFD18">
    <cfRule type="cellIs" dxfId="2704" priority="37" operator="equal">
      <formula>"A - Work May Proceed"</formula>
    </cfRule>
  </conditionalFormatting>
  <conditionalFormatting sqref="U22:U31">
    <cfRule type="cellIs" dxfId="2703" priority="20" operator="equal">
      <formula>"C - Revise and Resubmit - Do Not Proceed"</formula>
    </cfRule>
    <cfRule type="cellIs" dxfId="2702" priority="19" operator="equal">
      <formula>"B- Incorporate Comments - Proceed"</formula>
    </cfRule>
    <cfRule type="cellIs" dxfId="2701" priority="18" operator="equal">
      <formula>"D - Rejected"</formula>
    </cfRule>
    <cfRule type="cellIs" dxfId="2700" priority="17" operator="equal">
      <formula>"E - Review not Required - Proceed"</formula>
    </cfRule>
  </conditionalFormatting>
  <conditionalFormatting sqref="W11">
    <cfRule type="cellIs" dxfId="2699" priority="255" operator="between">
      <formula>"CANCELLED"</formula>
      <formula>"CANCELLED"</formula>
    </cfRule>
    <cfRule type="cellIs" dxfId="2698" priority="254" operator="between">
      <formula>"D - Rejected "</formula>
      <formula>"D - Rejected "</formula>
    </cfRule>
    <cfRule type="cellIs" dxfId="2697" priority="253" operator="between">
      <formula>"E - Review not Required - Proceed"</formula>
      <formula>"E - Review not Required - Proceed"</formula>
    </cfRule>
    <cfRule type="cellIs" dxfId="2696" priority="252" operator="between">
      <formula>"B - Incorporate Comments - Proceed"</formula>
      <formula>"B - Incorporate Comments - Proceed"</formula>
    </cfRule>
    <cfRule type="cellIs" dxfId="2695" priority="251" operator="between">
      <formula>"A - Work May Proceed"</formula>
      <formula>"A - Work May Proceed"</formula>
    </cfRule>
    <cfRule type="cellIs" dxfId="2694" priority="250" operator="between">
      <formula>"B - Incorporate Comments - Proceed"</formula>
      <formula>"B - Incorporate Comments - Proceed"</formula>
    </cfRule>
    <cfRule type="cellIs" dxfId="2693" priority="249" operator="between">
      <formula>"C - Revise and Resubmit - Do Not Proceed"</formula>
      <formula>"C - Revise and Resubmit - Do Not Proceed"</formula>
    </cfRule>
    <cfRule type="cellIs" dxfId="2692" priority="248" operator="between">
      <formula>"'D - Rejected "</formula>
      <formula>"'D - Rejected "</formula>
    </cfRule>
    <cfRule type="cellIs" dxfId="2691" priority="247" operator="between">
      <formula>"E - Review not Required - Proceed"</formula>
      <formula>"E - Review not Required - Proceed"</formula>
    </cfRule>
    <cfRule type="cellIs" dxfId="2690" priority="246" operator="equal">
      <formula>"E - Review Not Required - Proceed"</formula>
    </cfRule>
    <cfRule type="cellIs" dxfId="2689" priority="245" operator="equal">
      <formula>"B - Incorporate Comments - Proceed "</formula>
    </cfRule>
    <cfRule type="cellIs" dxfId="2688" priority="244" operator="equal">
      <formula>"For Information"</formula>
    </cfRule>
    <cfRule type="cellIs" dxfId="2687" priority="256" operator="between">
      <formula>"A - Work May Proceed"</formula>
      <formula>"A - Work May Proceed"</formula>
    </cfRule>
    <cfRule type="cellIs" dxfId="2686" priority="258" stopIfTrue="1" operator="between">
      <formula>"B - Incorporate Comments - Proceed "</formula>
      <formula>"B - Incorporate Comments - Proceed "</formula>
    </cfRule>
    <cfRule type="cellIs" dxfId="2685" priority="257" operator="between">
      <formula>"C - Revise and Resubmit - Do Not Proceed"</formula>
      <formula>"C - Revise and Resubmit - Do Not Proceed"</formula>
    </cfRule>
    <cfRule type="cellIs" dxfId="2684" priority="243" operator="equal">
      <formula>"B - Incorporate Comments - Proceed"</formula>
    </cfRule>
  </conditionalFormatting>
  <conditionalFormatting sqref="W14:X15">
    <cfRule type="cellIs" dxfId="2683" priority="154" operator="equal">
      <formula>"C - Revise and Resubmit - Do Not Proceed"</formula>
    </cfRule>
    <cfRule type="cellIs" dxfId="2682" priority="151" operator="equal">
      <formula>"E - Review not Required - Proceed"</formula>
    </cfRule>
    <cfRule type="cellIs" dxfId="2681" priority="152" operator="equal">
      <formula>"D - Rejected"</formula>
    </cfRule>
    <cfRule type="cellIs" dxfId="2680" priority="153" operator="equal">
      <formula>"B- Incorporate Comments - Proceed"</formula>
    </cfRule>
  </conditionalFormatting>
  <conditionalFormatting sqref="W16:XFD17 I18:XFD20 W21:XFD21 N22:N31">
    <cfRule type="cellIs" dxfId="2679" priority="36" operator="equal">
      <formula>"C - Revise and Resubmit - Do Not Proceed"</formula>
    </cfRule>
    <cfRule type="cellIs" dxfId="2678" priority="34" operator="equal">
      <formula>"D - Rejected"</formula>
    </cfRule>
    <cfRule type="cellIs" dxfId="2677" priority="33" operator="equal">
      <formula>"E - Review not Required - Proceed"</formula>
    </cfRule>
    <cfRule type="cellIs" dxfId="2676" priority="35" operator="equal">
      <formula>"B- Incorporate Comments - Proceed"</formula>
    </cfRule>
  </conditionalFormatting>
  <conditionalFormatting sqref="Z14:XFD15">
    <cfRule type="cellIs" dxfId="2675" priority="73" operator="equal">
      <formula>"D - Rejected"</formula>
    </cfRule>
    <cfRule type="cellIs" dxfId="2674" priority="72" operator="equal">
      <formula>"E - Review not Required - Proceed"</formula>
    </cfRule>
    <cfRule type="cellIs" dxfId="2673" priority="74" operator="equal">
      <formula>"B- Incorporate Comments - Proceed"</formula>
    </cfRule>
    <cfRule type="cellIs" dxfId="2672" priority="75" operator="equal">
      <formula>"C - Revise and Resubmit - Do Not Proceed"</formula>
    </cfRule>
    <cfRule type="cellIs" dxfId="2671" priority="76" operator="equal">
      <formula>"A - Work May Proceed"</formula>
    </cfRule>
  </conditionalFormatting>
  <conditionalFormatting sqref="AB22:AB23">
    <cfRule type="cellIs" dxfId="2670" priority="6" operator="equal">
      <formula>"D - Rejected"</formula>
    </cfRule>
    <cfRule type="cellIs" dxfId="2669" priority="7" operator="equal">
      <formula>"B- Incorporate Comments - Proceed"</formula>
    </cfRule>
    <cfRule type="cellIs" dxfId="2668" priority="8" operator="equal">
      <formula>"C - Revise and Resubmit - Do Not Proceed"</formula>
    </cfRule>
    <cfRule type="cellIs" dxfId="2667" priority="5" operator="equal">
      <formula>"E - Review not Required - Proceed"</formula>
    </cfRule>
  </conditionalFormatting>
  <conditionalFormatting sqref="AB26">
    <cfRule type="cellIs" dxfId="2666" priority="9" operator="equal">
      <formula>"E - Review not Required - Proceed"</formula>
    </cfRule>
    <cfRule type="cellIs" dxfId="2665" priority="10" operator="equal">
      <formula>"D - Rejected"</formula>
    </cfRule>
    <cfRule type="cellIs" dxfId="2664" priority="11" operator="equal">
      <formula>"B- Incorporate Comments - Proceed"</formula>
    </cfRule>
    <cfRule type="cellIs" dxfId="2663" priority="12" operator="equal">
      <formula>"C - Revise and Resubmit - Do Not Proceed"</formula>
    </cfRule>
  </conditionalFormatting>
  <conditionalFormatting sqref="AB28:AB31">
    <cfRule type="cellIs" dxfId="2662" priority="14" operator="equal">
      <formula>"D - Rejected"</formula>
    </cfRule>
    <cfRule type="cellIs" dxfId="2661" priority="15" operator="equal">
      <formula>"B- Incorporate Comments - Proceed"</formula>
    </cfRule>
    <cfRule type="cellIs" dxfId="2660" priority="16" operator="equal">
      <formula>"C - Revise and Resubmit - Do Not Proceed"</formula>
    </cfRule>
    <cfRule type="cellIs" dxfId="2659" priority="13" operator="equal">
      <formula>"E - Review not Required - Proceed"</formula>
    </cfRule>
  </conditionalFormatting>
  <conditionalFormatting sqref="AD11">
    <cfRule type="cellIs" dxfId="2658" priority="234" operator="between">
      <formula>"B - Incorporate Comments - Proceed"</formula>
      <formula>"B - Incorporate Comments - Proceed"</formula>
    </cfRule>
    <cfRule type="cellIs" dxfId="2657" priority="241" operator="between">
      <formula>"C - Revise and Resubmit - Do Not Proceed"</formula>
      <formula>"C - Revise and Resubmit - Do Not Proceed"</formula>
    </cfRule>
    <cfRule type="cellIs" dxfId="2656" priority="239" operator="between">
      <formula>"CANCELLED"</formula>
      <formula>"CANCELLED"</formula>
    </cfRule>
    <cfRule type="cellIs" dxfId="2655" priority="242" stopIfTrue="1" operator="between">
      <formula>"B - Incorporate Comments - Proceed "</formula>
      <formula>"B - Incorporate Comments - Proceed "</formula>
    </cfRule>
    <cfRule type="cellIs" dxfId="2654" priority="240" operator="between">
      <formula>"A - Work May Proceed"</formula>
      <formula>"A - Work May Proceed"</formula>
    </cfRule>
    <cfRule type="cellIs" dxfId="2653" priority="235" operator="between">
      <formula>"A - Work May Proceed"</formula>
      <formula>"A - Work May Proceed"</formula>
    </cfRule>
    <cfRule type="cellIs" dxfId="2652" priority="236" operator="between">
      <formula>"B - Incorporate Comments - Proceed"</formula>
      <formula>"B - Incorporate Comments - Proceed"</formula>
    </cfRule>
    <cfRule type="cellIs" dxfId="2651" priority="237" operator="between">
      <formula>"E - Review not Required - Proceed"</formula>
      <formula>"E - Review not Required - Proceed"</formula>
    </cfRule>
    <cfRule type="cellIs" dxfId="2650" priority="230" operator="equal">
      <formula>"E - Review Not Required - Proceed"</formula>
    </cfRule>
    <cfRule type="cellIs" dxfId="2649" priority="238" operator="between">
      <formula>"D - Rejected "</formula>
      <formula>"D - Rejected "</formula>
    </cfRule>
    <cfRule type="cellIs" dxfId="2648" priority="227" operator="equal">
      <formula>"B - Incorporate Comments - Proceed"</formula>
    </cfRule>
    <cfRule type="cellIs" dxfId="2647" priority="228" operator="equal">
      <formula>"For Information"</formula>
    </cfRule>
    <cfRule type="cellIs" dxfId="2646" priority="229" operator="equal">
      <formula>"B - Incorporate Comments - Proceed "</formula>
    </cfRule>
    <cfRule type="cellIs" dxfId="2645" priority="231" operator="between">
      <formula>"E - Review not Required - Proceed"</formula>
      <formula>"E - Review not Required - Proceed"</formula>
    </cfRule>
    <cfRule type="cellIs" dxfId="2644" priority="232" operator="between">
      <formula>"'D - Rejected "</formula>
      <formula>"'D - Rejected "</formula>
    </cfRule>
    <cfRule type="cellIs" dxfId="2643" priority="233" operator="between">
      <formula>"C - Revise and Resubmit - Do Not Proceed"</formula>
      <formula>"C - Revise and Resubmit - Do Not Proceed"</formula>
    </cfRule>
  </conditionalFormatting>
  <conditionalFormatting sqref="AI28">
    <cfRule type="cellIs" dxfId="2642" priority="1" operator="equal">
      <formula>"E - Review not Required - Proceed"</formula>
    </cfRule>
    <cfRule type="cellIs" dxfId="2641" priority="4" operator="equal">
      <formula>"C - Revise and Resubmit - Do Not Proceed"</formula>
    </cfRule>
    <cfRule type="cellIs" dxfId="2640" priority="3" operator="equal">
      <formula>"B- Incorporate Comments - Proceed"</formula>
    </cfRule>
    <cfRule type="cellIs" dxfId="2639" priority="2" operator="equal">
      <formula>"D - Rejected"</formula>
    </cfRule>
  </conditionalFormatting>
  <conditionalFormatting sqref="AK11">
    <cfRule type="cellIs" dxfId="2638" priority="212" operator="equal">
      <formula>"For Information"</formula>
    </cfRule>
    <cfRule type="cellIs" dxfId="2637" priority="220" operator="between">
      <formula>"B - Incorporate Comments - Proceed"</formula>
      <formula>"B - Incorporate Comments - Proceed"</formula>
    </cfRule>
    <cfRule type="cellIs" dxfId="2636" priority="211" operator="equal">
      <formula>"B - Incorporate Comments - Proceed"</formula>
    </cfRule>
    <cfRule type="cellIs" dxfId="2635" priority="213" operator="equal">
      <formula>"B - Incorporate Comments - Proceed "</formula>
    </cfRule>
    <cfRule type="cellIs" dxfId="2634" priority="225" operator="between">
      <formula>"C - Revise and Resubmit - Do Not Proceed"</formula>
      <formula>"C - Revise and Resubmit - Do Not Proceed"</formula>
    </cfRule>
    <cfRule type="cellIs" dxfId="2633" priority="224" operator="between">
      <formula>"A - Work May Proceed"</formula>
      <formula>"A - Work May Proceed"</formula>
    </cfRule>
    <cfRule type="cellIs" dxfId="2632" priority="226" stopIfTrue="1" operator="between">
      <formula>"B - Incorporate Comments - Proceed "</formula>
      <formula>"B - Incorporate Comments - Proceed "</formula>
    </cfRule>
    <cfRule type="cellIs" dxfId="2631" priority="223" operator="between">
      <formula>"CANCELLED"</formula>
      <formula>"CANCELLED"</formula>
    </cfRule>
    <cfRule type="cellIs" dxfId="2630" priority="222" operator="between">
      <formula>"D - Rejected "</formula>
      <formula>"D - Rejected "</formula>
    </cfRule>
    <cfRule type="cellIs" dxfId="2629" priority="221" operator="between">
      <formula>"E - Review not Required - Proceed"</formula>
      <formula>"E - Review not Required - Proceed"</formula>
    </cfRule>
    <cfRule type="cellIs" dxfId="2628" priority="219" operator="between">
      <formula>"A - Work May Proceed"</formula>
      <formula>"A - Work May Proceed"</formula>
    </cfRule>
    <cfRule type="cellIs" dxfId="2627" priority="217" operator="between">
      <formula>"C - Revise and Resubmit - Do Not Proceed"</formula>
      <formula>"C - Revise and Resubmit - Do Not Proceed"</formula>
    </cfRule>
    <cfRule type="cellIs" dxfId="2626" priority="218" operator="between">
      <formula>"B - Incorporate Comments - Proceed"</formula>
      <formula>"B - Incorporate Comments - Proceed"</formula>
    </cfRule>
    <cfRule type="cellIs" dxfId="2625" priority="216" operator="between">
      <formula>"'D - Rejected "</formula>
      <formula>"'D - Rejected "</formula>
    </cfRule>
    <cfRule type="cellIs" dxfId="2624" priority="215" operator="between">
      <formula>"E - Review not Required - Proceed"</formula>
      <formula>"E - Review not Required - Proceed"</formula>
    </cfRule>
    <cfRule type="cellIs" dxfId="2623" priority="214" operator="equal">
      <formula>"E - Review Not Required - Proceed"</formula>
    </cfRule>
  </conditionalFormatting>
  <conditionalFormatting sqref="AR11">
    <cfRule type="cellIs" dxfId="2622" priority="172" operator="equal">
      <formula>"B - Incorporate Comments - Proceed "</formula>
    </cfRule>
    <cfRule type="cellIs" dxfId="2621" priority="171" operator="equal">
      <formula>"For Information"</formula>
    </cfRule>
    <cfRule type="cellIs" dxfId="2620" priority="170" operator="equal">
      <formula>"A - Work May Proceed"</formula>
    </cfRule>
    <cfRule type="cellIs" dxfId="2619" priority="169" operator="equal">
      <formula>"C - Revise and Resubmit - Do Not Proceed"</formula>
    </cfRule>
    <cfRule type="cellIs" dxfId="2618" priority="168" operator="equal">
      <formula>"B - Incorporate Comments - Proceed"</formula>
    </cfRule>
    <cfRule type="cellIs" dxfId="2617" priority="167" operator="equal">
      <formula>"D - Rejected"</formula>
    </cfRule>
    <cfRule type="cellIs" dxfId="2616" priority="166" operator="equal">
      <formula>"E - Review not Required - Proceed"</formula>
    </cfRule>
    <cfRule type="cellIs" dxfId="2615" priority="185" stopIfTrue="1" operator="between">
      <formula>"B - Incorporate Comments - Proceed "</formula>
      <formula>"B - Incorporate Comments - Proceed "</formula>
    </cfRule>
    <cfRule type="cellIs" dxfId="2614" priority="184" operator="between">
      <formula>"C - Revise and Resubmit - Do Not Proceed"</formula>
      <formula>"C - Revise and Resubmit - Do Not Proceed"</formula>
    </cfRule>
    <cfRule type="cellIs" dxfId="2613" priority="182" operator="between">
      <formula>"CANCELLED"</formula>
      <formula>"CANCELLED"</formula>
    </cfRule>
    <cfRule type="cellIs" dxfId="2612" priority="181" operator="between">
      <formula>"D - Rejected "</formula>
      <formula>"D - Rejected "</formula>
    </cfRule>
    <cfRule type="cellIs" dxfId="2611" priority="180" operator="between">
      <formula>"E - Review not Required - Proceed"</formula>
      <formula>"E - Review not Required - Proceed"</formula>
    </cfRule>
    <cfRule type="cellIs" dxfId="2610" priority="183" operator="between">
      <formula>"A - Work May Proceed"</formula>
      <formula>"A - Work May Proceed"</formula>
    </cfRule>
    <cfRule type="cellIs" dxfId="2609" priority="178" operator="between">
      <formula>"A - Work May Proceed"</formula>
      <formula>"A - Work May Proceed"</formula>
    </cfRule>
    <cfRule type="cellIs" dxfId="2608" priority="177" operator="between">
      <formula>"B - Incorporate Comments - Proceed"</formula>
      <formula>"B - Incorporate Comments - Proceed"</formula>
    </cfRule>
    <cfRule type="cellIs" dxfId="2607" priority="176" operator="between">
      <formula>"C - Revise and Resubmit - Do Not Proceed"</formula>
      <formula>"C - Revise and Resubmit - Do Not Proceed"</formula>
    </cfRule>
    <cfRule type="cellIs" dxfId="2606" priority="175" operator="between">
      <formula>"'D - Rejected "</formula>
      <formula>"'D - Rejected "</formula>
    </cfRule>
    <cfRule type="cellIs" dxfId="2605" priority="174" operator="between">
      <formula>"E - Review not Required - Proceed"</formula>
      <formula>"E - Review not Required - Proceed"</formula>
    </cfRule>
    <cfRule type="cellIs" dxfId="2604" priority="179" operator="between">
      <formula>"B - Incorporate Comments - Proceed"</formula>
      <formula>"B - Incorporate Comments - Proceed"</formula>
    </cfRule>
    <cfRule type="cellIs" dxfId="2603" priority="173" operator="equal">
      <formula>"E - Review Not Required - Proceed"</formula>
    </cfRule>
  </conditionalFormatting>
  <conditionalFormatting sqref="AY11">
    <cfRule type="cellIs" dxfId="2602" priority="205" stopIfTrue="1" operator="between">
      <formula>"B - Incorporate Comments - Proceed "</formula>
      <formula>"B - Incorporate Comments - Proceed "</formula>
    </cfRule>
    <cfRule type="cellIs" dxfId="2601" priority="204" operator="between">
      <formula>"C - Revise and Resubmit - Do Not Proceed"</formula>
      <formula>"C - Revise and Resubmit - Do Not Proceed"</formula>
    </cfRule>
    <cfRule type="cellIs" dxfId="2600" priority="203" operator="between">
      <formula>"A - Work May Proceed"</formula>
      <formula>"A - Work May Proceed"</formula>
    </cfRule>
    <cfRule type="cellIs" dxfId="2599" priority="202" operator="between">
      <formula>"CANCELLED"</formula>
      <formula>"CANCELLED"</formula>
    </cfRule>
    <cfRule type="cellIs" dxfId="2598" priority="201" operator="between">
      <formula>"D - Rejected "</formula>
      <formula>"D - Rejected "</formula>
    </cfRule>
    <cfRule type="cellIs" dxfId="2597" priority="200" operator="between">
      <formula>"E - Review not Required - Proceed"</formula>
      <formula>"E - Review not Required - Proceed"</formula>
    </cfRule>
    <cfRule type="cellIs" dxfId="2596" priority="199" operator="between">
      <formula>"B - Incorporate Comments - Proceed"</formula>
      <formula>"B - Incorporate Comments - Proceed"</formula>
    </cfRule>
    <cfRule type="cellIs" dxfId="2595" priority="198" operator="between">
      <formula>"A - Work May Proceed"</formula>
      <formula>"A - Work May Proceed"</formula>
    </cfRule>
    <cfRule type="cellIs" dxfId="2594" priority="187" operator="equal">
      <formula>"D - Rejected"</formula>
    </cfRule>
    <cfRule type="cellIs" dxfId="2593" priority="188" operator="equal">
      <formula>"B - Incorporate Comments - Proceed"</formula>
    </cfRule>
    <cfRule type="cellIs" dxfId="2592" priority="189" operator="equal">
      <formula>"C - Revise and Resubmit - Do Not Proceed"</formula>
    </cfRule>
    <cfRule type="cellIs" dxfId="2591" priority="190" operator="equal">
      <formula>"A - Work May Proceed"</formula>
    </cfRule>
    <cfRule type="cellIs" dxfId="2590" priority="191" operator="equal">
      <formula>"For Information"</formula>
    </cfRule>
    <cfRule type="cellIs" dxfId="2589" priority="192" operator="equal">
      <formula>"B - Incorporate Comments - Proceed "</formula>
    </cfRule>
    <cfRule type="cellIs" dxfId="2588" priority="193" operator="equal">
      <formula>"E - Review Not Required - Proceed"</formula>
    </cfRule>
    <cfRule type="cellIs" dxfId="2587" priority="194" operator="between">
      <formula>"E - Review not Required - Proceed"</formula>
      <formula>"E - Review not Required - Proceed"</formula>
    </cfRule>
    <cfRule type="cellIs" dxfId="2586" priority="195" operator="between">
      <formula>"'D - Rejected "</formula>
      <formula>"'D - Rejected "</formula>
    </cfRule>
    <cfRule type="cellIs" dxfId="2585" priority="196" operator="between">
      <formula>"C - Revise and Resubmit - Do Not Proceed"</formula>
      <formula>"C - Revise and Resubmit - Do Not Proceed"</formula>
    </cfRule>
    <cfRule type="cellIs" dxfId="2584" priority="197" operator="between">
      <formula>"B - Incorporate Comments - Proceed"</formula>
      <formula>"B - Incorporate Comments - Proceed"</formula>
    </cfRule>
    <cfRule type="cellIs" dxfId="2583" priority="186" operator="equal">
      <formula>"E - Review not Required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>
    <tabColor theme="9"/>
  </sheetPr>
  <dimension ref="A1:BF14"/>
  <sheetViews>
    <sheetView zoomScale="55" zoomScaleNormal="55" zoomScaleSheetLayoutView="85" workbookViewId="0">
      <pane ySplit="11" topLeftCell="A12" activePane="bottomLeft" state="frozen"/>
      <selection activeCell="A14" sqref="A14"/>
      <selection pane="bottomLeft" activeCell="AZ30" sqref="AZ30"/>
    </sheetView>
  </sheetViews>
  <sheetFormatPr defaultColWidth="9.140625" defaultRowHeight="15" x14ac:dyDescent="0.25"/>
  <cols>
    <col min="1" max="1" width="26.57031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1" width="30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51.140625" style="44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/>
      <c r="V1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2"/>
    </row>
    <row r="2" spans="1:58" s="379" customFormat="1" ht="24" customHeight="1" x14ac:dyDescent="0.35">
      <c r="A2" s="8"/>
      <c r="B2" s="25" t="s">
        <v>28</v>
      </c>
      <c r="C2" s="26" t="s">
        <v>181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/>
      <c r="V2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2"/>
    </row>
    <row r="3" spans="1:58" s="379" customFormat="1" ht="24" customHeight="1" x14ac:dyDescent="0.35">
      <c r="A3" s="8"/>
      <c r="B3" s="25" t="s">
        <v>507</v>
      </c>
      <c r="C3" s="49" t="s">
        <v>246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/>
      <c r="V3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2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/>
      <c r="V4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2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/>
      <c r="V5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2"/>
    </row>
    <row r="6" spans="1:58" s="379" customFormat="1" ht="24" customHeight="1" x14ac:dyDescent="0.35">
      <c r="A6" s="8"/>
      <c r="B6" s="64">
        <f>COUNTIF(B11:B14,"A - Work May Proceed")</f>
        <v>1</v>
      </c>
      <c r="C6" s="65">
        <f>COUNTIF(B11:B14,"B- Incorporate Comments - Proceed")</f>
        <v>0</v>
      </c>
      <c r="D6" s="65">
        <f>COUNTIF(B11:B14,"C - Revise and Resubmit - Do Not Proceed")</f>
        <v>0</v>
      </c>
      <c r="E6" s="65">
        <f>COUNTIF(B11:B14,"D - Rejected")</f>
        <v>0</v>
      </c>
      <c r="F6" s="65">
        <f>COUNTIF(B11:B14,"E - Review not Required - Proceed")</f>
        <v>0</v>
      </c>
      <c r="G6" s="66">
        <f>COUNTIF(B11:B14,"UR")</f>
        <v>0</v>
      </c>
      <c r="H6" s="66">
        <f>COUNTIF(B11:B14,"FA")</f>
        <v>0</v>
      </c>
      <c r="I6" s="66">
        <f>COUNTIF(B11:B14,"Terminated")</f>
        <v>0</v>
      </c>
      <c r="J6" s="66">
        <f>COUNTIF(B11:B14,"Cancelled")</f>
        <v>1</v>
      </c>
      <c r="K6"/>
      <c r="L6"/>
      <c r="M6"/>
      <c r="N6"/>
      <c r="O6"/>
      <c r="P6"/>
      <c r="Q6"/>
      <c r="R6"/>
      <c r="S6"/>
      <c r="T6"/>
      <c r="U6"/>
      <c r="V6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2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/>
      <c r="V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2"/>
    </row>
    <row r="8" spans="1:58" s="379" customFormat="1" ht="24" customHeight="1" x14ac:dyDescent="0.35">
      <c r="A8" s="8"/>
      <c r="B8" s="72" t="s">
        <v>509</v>
      </c>
      <c r="C8" s="73">
        <f>SUM(B6:J6)</f>
        <v>2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/>
      <c r="V8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2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/>
      <c r="V9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2"/>
    </row>
    <row r="10" spans="1:58" s="405" customFormat="1" ht="36.75" customHeight="1" x14ac:dyDescent="0.2">
      <c r="A10" s="559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419">
        <v>730007</v>
      </c>
      <c r="B12" s="79" t="s">
        <v>508</v>
      </c>
      <c r="C12" s="13" t="s">
        <v>627</v>
      </c>
      <c r="D12" s="12" t="s">
        <v>244</v>
      </c>
      <c r="E12" s="12" t="s">
        <v>247</v>
      </c>
      <c r="F12" s="10" t="s">
        <v>245</v>
      </c>
      <c r="G12" s="10" t="s">
        <v>179</v>
      </c>
      <c r="H12" s="10" t="s">
        <v>246</v>
      </c>
      <c r="I12" s="59" t="s">
        <v>14</v>
      </c>
      <c r="J12" s="14">
        <v>45564</v>
      </c>
      <c r="K12" s="12" t="s">
        <v>248</v>
      </c>
      <c r="L12" s="20">
        <f>J12+7</f>
        <v>45571</v>
      </c>
      <c r="M12" s="14">
        <v>45572</v>
      </c>
      <c r="N12" s="92">
        <f>M12-L12</f>
        <v>1</v>
      </c>
      <c r="O12" s="12" t="s">
        <v>260</v>
      </c>
      <c r="P12" s="109" t="s">
        <v>508</v>
      </c>
      <c r="Q12" s="20">
        <v>45650</v>
      </c>
      <c r="R12" s="12" t="s">
        <v>1626</v>
      </c>
      <c r="S12" s="12" t="s">
        <v>626</v>
      </c>
      <c r="T12" s="20" t="s">
        <v>626</v>
      </c>
      <c r="U12" s="20" t="s">
        <v>626</v>
      </c>
      <c r="V12" s="12" t="s">
        <v>626</v>
      </c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259" t="s">
        <v>1083</v>
      </c>
    </row>
    <row r="13" spans="1:58" s="381" customFormat="1" ht="42" customHeight="1" x14ac:dyDescent="0.25">
      <c r="A13" s="367">
        <v>730007</v>
      </c>
      <c r="B13" s="60" t="s">
        <v>5</v>
      </c>
      <c r="C13" s="56" t="s">
        <v>588</v>
      </c>
      <c r="D13" s="12" t="s">
        <v>1080</v>
      </c>
      <c r="E13" s="12" t="s">
        <v>1081</v>
      </c>
      <c r="F13" s="16" t="s">
        <v>245</v>
      </c>
      <c r="G13" s="16" t="s">
        <v>179</v>
      </c>
      <c r="H13" s="10" t="s">
        <v>246</v>
      </c>
      <c r="I13" s="16" t="s">
        <v>3</v>
      </c>
      <c r="J13" s="14">
        <v>45622</v>
      </c>
      <c r="K13" s="12" t="s">
        <v>1082</v>
      </c>
      <c r="L13" s="20">
        <f>J13+7</f>
        <v>45629</v>
      </c>
      <c r="M13" s="14">
        <v>45635</v>
      </c>
      <c r="N13" s="92">
        <f>M13-L13</f>
        <v>6</v>
      </c>
      <c r="O13" s="12" t="s">
        <v>1109</v>
      </c>
      <c r="P13" s="16" t="s">
        <v>18</v>
      </c>
      <c r="Q13" s="20">
        <v>45687</v>
      </c>
      <c r="R13" s="12" t="s">
        <v>2230</v>
      </c>
      <c r="S13" s="20">
        <f>Q13+7</f>
        <v>45694</v>
      </c>
      <c r="T13" s="20">
        <v>45699</v>
      </c>
      <c r="U13" s="92">
        <f>T13-S13</f>
        <v>5</v>
      </c>
      <c r="V13" s="12" t="s">
        <v>2258</v>
      </c>
      <c r="W13" s="13" t="s">
        <v>5</v>
      </c>
      <c r="X13" s="20">
        <v>46209</v>
      </c>
      <c r="Y13" s="12"/>
      <c r="Z13" s="20">
        <f>X13+7</f>
        <v>46216</v>
      </c>
      <c r="AA13" s="20">
        <v>46215</v>
      </c>
      <c r="AB13" s="92">
        <f>AA13-Z13</f>
        <v>-1</v>
      </c>
      <c r="AC13" s="12" t="s">
        <v>7230</v>
      </c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259"/>
    </row>
    <row r="14" spans="1:58" s="381" customFormat="1" ht="42" customHeight="1" thickBot="1" x14ac:dyDescent="0.3">
      <c r="A14" s="369"/>
      <c r="B14" s="371"/>
      <c r="C14" s="444"/>
      <c r="D14" s="370"/>
      <c r="E14" s="370"/>
      <c r="F14" s="262"/>
      <c r="G14" s="263"/>
      <c r="H14" s="263"/>
      <c r="I14" s="262"/>
      <c r="J14" s="474"/>
      <c r="K14" s="370"/>
      <c r="L14" s="370"/>
      <c r="M14" s="474"/>
      <c r="N14" s="474"/>
      <c r="O14" s="370"/>
      <c r="P14" s="262"/>
      <c r="Q14" s="476"/>
      <c r="R14" s="370"/>
      <c r="S14" s="370"/>
      <c r="T14" s="476"/>
      <c r="U14" s="476"/>
      <c r="V14" s="370"/>
      <c r="W14" s="370"/>
      <c r="X14" s="476"/>
      <c r="Y14" s="370"/>
      <c r="Z14" s="370"/>
      <c r="AA14" s="476"/>
      <c r="AB14" s="476"/>
      <c r="AC14" s="370"/>
      <c r="AD14" s="370"/>
      <c r="AE14" s="476"/>
      <c r="AF14" s="370"/>
      <c r="AG14" s="370"/>
      <c r="AH14" s="476"/>
      <c r="AI14" s="476"/>
      <c r="AJ14" s="370"/>
      <c r="AK14" s="263"/>
      <c r="AL14" s="474"/>
      <c r="AM14" s="370"/>
      <c r="AN14" s="370"/>
      <c r="AO14" s="474"/>
      <c r="AP14" s="474"/>
      <c r="AQ14" s="474"/>
      <c r="AR14" s="474"/>
      <c r="AS14" s="474"/>
      <c r="AT14" s="474"/>
      <c r="AU14" s="474"/>
      <c r="AV14" s="474"/>
      <c r="AW14" s="474"/>
      <c r="AX14" s="474"/>
      <c r="AY14" s="474"/>
      <c r="AZ14" s="474"/>
      <c r="BA14" s="474"/>
      <c r="BB14" s="474"/>
      <c r="BC14" s="474"/>
      <c r="BD14" s="474"/>
      <c r="BE14" s="370"/>
      <c r="BF14" s="266"/>
    </row>
  </sheetData>
  <autoFilter ref="A11:BF11" xr:uid="{00000000-0001-0000-1600-000000000000}"/>
  <mergeCells count="18">
    <mergeCell ref="A10:A11"/>
    <mergeCell ref="H1:H2"/>
    <mergeCell ref="I1:I2"/>
    <mergeCell ref="G10:G11"/>
    <mergeCell ref="B10:B11"/>
    <mergeCell ref="C10:C11"/>
    <mergeCell ref="D10:D11"/>
    <mergeCell ref="E10:E11"/>
    <mergeCell ref="F10:F11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0:A1048576">
    <cfRule type="cellIs" dxfId="2582" priority="1" operator="equal">
      <formula>"E - Review not Required - Proceed"</formula>
    </cfRule>
    <cfRule type="cellIs" dxfId="2581" priority="2" operator="equal">
      <formula>"D - Rejected"</formula>
    </cfRule>
    <cfRule type="cellIs" dxfId="2580" priority="3" operator="equal">
      <formula>"B- Incorporate Comments - Proceed"</formula>
    </cfRule>
    <cfRule type="cellIs" dxfId="2579" priority="4" operator="equal">
      <formula>"C - Revise and Resubmit - Do Not Proceed"</formula>
    </cfRule>
    <cfRule type="cellIs" dxfId="2578" priority="5" operator="equal">
      <formula>"A - Work May Proceed"</formula>
    </cfRule>
  </conditionalFormatting>
  <conditionalFormatting sqref="B10:BF10">
    <cfRule type="cellIs" dxfId="2577" priority="6" operator="equal">
      <formula>"E - Review not Required - Proceed"</formula>
    </cfRule>
    <cfRule type="cellIs" dxfId="2576" priority="7" operator="equal">
      <formula>"D - Rejected"</formula>
    </cfRule>
    <cfRule type="cellIs" dxfId="2575" priority="8" operator="equal">
      <formula>"B- Incorporate Comments - Proceed"</formula>
    </cfRule>
    <cfRule type="cellIs" dxfId="2574" priority="9" operator="equal">
      <formula>"C - Revise and Resubmit - Do Not Proceed"</formula>
    </cfRule>
    <cfRule type="cellIs" dxfId="2573" priority="10" operator="equal">
      <formula>"A - Work May Proceed"</formula>
    </cfRule>
  </conditionalFormatting>
  <conditionalFormatting sqref="B12:XFD1048576">
    <cfRule type="cellIs" dxfId="2572" priority="11" operator="equal">
      <formula>"E - Review not Required - Proceed"</formula>
    </cfRule>
    <cfRule type="cellIs" dxfId="2571" priority="12" operator="equal">
      <formula>"D - Rejected"</formula>
    </cfRule>
    <cfRule type="cellIs" dxfId="2570" priority="13" operator="equal">
      <formula>"B- Incorporate Comments - Proceed"</formula>
    </cfRule>
    <cfRule type="cellIs" dxfId="2569" priority="14" operator="equal">
      <formula>"C - Revise and Resubmit - Do Not Proceed"</formula>
    </cfRule>
    <cfRule type="cellIs" dxfId="2568" priority="15" operator="equal">
      <formula>"A - Work May Proceed"</formula>
    </cfRule>
  </conditionalFormatting>
  <conditionalFormatting sqref="D11:BE11 B1:G2 W1:XFD9 B3:H4 B9:H9 B11">
    <cfRule type="cellIs" dxfId="2567" priority="68" operator="equal">
      <formula>"B- Incorporate Comments - Proceed"</formula>
    </cfRule>
    <cfRule type="cellIs" dxfId="2566" priority="69" operator="equal">
      <formula>"C - Revise and Resubmit - Do Not Proceed"</formula>
    </cfRule>
    <cfRule type="cellIs" dxfId="2565" priority="70" operator="equal">
      <formula>"A - Work May Proceed"</formula>
    </cfRule>
    <cfRule type="cellIs" dxfId="2564" priority="66" operator="equal">
      <formula>"E - Review not Required - Proceed"</formula>
    </cfRule>
    <cfRule type="cellIs" dxfId="2563" priority="67" operator="equal">
      <formula>"D - Rejected"</formula>
    </cfRule>
  </conditionalFormatting>
  <conditionalFormatting sqref="I11">
    <cfRule type="cellIs" dxfId="2562" priority="138" operator="equal">
      <formula>"E - Review Not Required - Proceed"</formula>
    </cfRule>
    <cfRule type="cellIs" dxfId="2561" priority="137" operator="equal">
      <formula>"B - Incorporate Comments - Proceed "</formula>
    </cfRule>
    <cfRule type="cellIs" dxfId="2560" priority="136" operator="equal">
      <formula>"For Information"</formula>
    </cfRule>
    <cfRule type="cellIs" dxfId="2559" priority="135" operator="equal">
      <formula>"B - Incorporate Comments - Proceed"</formula>
    </cfRule>
    <cfRule type="cellIs" dxfId="2558" priority="150" stopIfTrue="1" operator="between">
      <formula>"B - Incorporate Comments - Proceed "</formula>
      <formula>"B - Incorporate Comments - Proceed "</formula>
    </cfRule>
    <cfRule type="cellIs" dxfId="2557" priority="149" operator="between">
      <formula>"C - Revise and Resubmit - Do Not Proceed"</formula>
      <formula>"C - Revise and Resubmit - Do Not Proceed"</formula>
    </cfRule>
    <cfRule type="cellIs" dxfId="2556" priority="148" operator="between">
      <formula>"A - Work May Proceed"</formula>
      <formula>"A - Work May Proceed"</formula>
    </cfRule>
    <cfRule type="cellIs" dxfId="2555" priority="147" operator="between">
      <formula>"CANCELLED"</formula>
      <formula>"CANCELLED"</formula>
    </cfRule>
    <cfRule type="cellIs" dxfId="2554" priority="146" operator="between">
      <formula>"D - Rejected "</formula>
      <formula>"D - Rejected "</formula>
    </cfRule>
    <cfRule type="cellIs" dxfId="2553" priority="145" operator="between">
      <formula>"E - Review not Required - Proceed"</formula>
      <formula>"E - Review not Required - Proceed"</formula>
    </cfRule>
    <cfRule type="cellIs" dxfId="2552" priority="144" operator="between">
      <formula>"B - Incorporate Comments - Proceed"</formula>
      <formula>"B - Incorporate Comments - Proceed"</formula>
    </cfRule>
    <cfRule type="cellIs" dxfId="2551" priority="143" operator="between">
      <formula>"A - Work May Proceed"</formula>
      <formula>"A - Work May Proceed"</formula>
    </cfRule>
    <cfRule type="cellIs" dxfId="2550" priority="142" operator="between">
      <formula>"B - Incorporate Comments - Proceed"</formula>
      <formula>"B - Incorporate Comments - Proceed"</formula>
    </cfRule>
    <cfRule type="cellIs" dxfId="2549" priority="141" operator="between">
      <formula>"C - Revise and Resubmit - Do Not Proceed"</formula>
      <formula>"C - Revise and Resubmit - Do Not Proceed"</formula>
    </cfRule>
    <cfRule type="cellIs" dxfId="2548" priority="140" operator="between">
      <formula>"'D - Rejected "</formula>
      <formula>"'D - Rejected "</formula>
    </cfRule>
    <cfRule type="cellIs" dxfId="2547" priority="139" operator="between">
      <formula>"E - Review not Required - Proceed"</formula>
      <formula>"E - Review not Required - Proceed"</formula>
    </cfRule>
  </conditionalFormatting>
  <conditionalFormatting sqref="J5:J6 B5:I7 B8:J8">
    <cfRule type="cellIs" dxfId="2546" priority="16" operator="equal">
      <formula>"E - Review not Required - Proceed"</formula>
    </cfRule>
    <cfRule type="cellIs" dxfId="2545" priority="17" operator="equal">
      <formula>"D - Rejected"</formula>
    </cfRule>
    <cfRule type="cellIs" dxfId="2544" priority="18" operator="equal">
      <formula>"B- Incorporate Comments - Proceed"</formula>
    </cfRule>
    <cfRule type="cellIs" dxfId="2543" priority="19" operator="equal">
      <formula>"C - Revise and Resubmit - Do Not Proceed"</formula>
    </cfRule>
    <cfRule type="cellIs" dxfId="2542" priority="20" stopIfTrue="1" operator="equal">
      <formula>"A - Work May Proceed"</formula>
    </cfRule>
  </conditionalFormatting>
  <conditionalFormatting sqref="P11">
    <cfRule type="cellIs" dxfId="2541" priority="119" operator="equal">
      <formula>"B - Incorporate Comments - Proceed"</formula>
    </cfRule>
    <cfRule type="cellIs" dxfId="2540" priority="120" operator="equal">
      <formula>"For Information"</formula>
    </cfRule>
    <cfRule type="cellIs" dxfId="2539" priority="121" operator="equal">
      <formula>"B - Incorporate Comments - Proceed "</formula>
    </cfRule>
    <cfRule type="cellIs" dxfId="2538" priority="122" operator="equal">
      <formula>"E - Review Not Required - Proceed"</formula>
    </cfRule>
    <cfRule type="cellIs" dxfId="2537" priority="123" operator="between">
      <formula>"E - Review not Required - Proceed"</formula>
      <formula>"E - Review not Required - Proceed"</formula>
    </cfRule>
    <cfRule type="cellIs" dxfId="2536" priority="124" operator="between">
      <formula>"'D - Rejected "</formula>
      <formula>"'D - Rejected "</formula>
    </cfRule>
    <cfRule type="cellIs" dxfId="2535" priority="125" operator="between">
      <formula>"C - Revise and Resubmit - Do Not Proceed"</formula>
      <formula>"C - Revise and Resubmit - Do Not Proceed"</formula>
    </cfRule>
    <cfRule type="cellIs" dxfId="2534" priority="126" operator="between">
      <formula>"B - Incorporate Comments - Proceed"</formula>
      <formula>"B - Incorporate Comments - Proceed"</formula>
    </cfRule>
    <cfRule type="cellIs" dxfId="2533" priority="127" operator="between">
      <formula>"A - Work May Proceed"</formula>
      <formula>"A - Work May Proceed"</formula>
    </cfRule>
    <cfRule type="cellIs" dxfId="2532" priority="128" operator="between">
      <formula>"B - Incorporate Comments - Proceed"</formula>
      <formula>"B - Incorporate Comments - Proceed"</formula>
    </cfRule>
    <cfRule type="cellIs" dxfId="2531" priority="129" operator="between">
      <formula>"E - Review not Required - Proceed"</formula>
      <formula>"E - Review not Required - Proceed"</formula>
    </cfRule>
    <cfRule type="cellIs" dxfId="2530" priority="130" operator="between">
      <formula>"D - Rejected "</formula>
      <formula>"D - Rejected "</formula>
    </cfRule>
    <cfRule type="cellIs" dxfId="2529" priority="131" operator="between">
      <formula>"CANCELLED"</formula>
      <formula>"CANCELLED"</formula>
    </cfRule>
    <cfRule type="cellIs" dxfId="2528" priority="133" operator="between">
      <formula>"C - Revise and Resubmit - Do Not Proceed"</formula>
      <formula>"C - Revise and Resubmit - Do Not Proceed"</formula>
    </cfRule>
    <cfRule type="cellIs" dxfId="2527" priority="134" stopIfTrue="1" operator="between">
      <formula>"B - Incorporate Comments - Proceed "</formula>
      <formula>"B - Incorporate Comments - Proceed "</formula>
    </cfRule>
    <cfRule type="cellIs" dxfId="2526" priority="132" operator="between">
      <formula>"A - Work May Proceed"</formula>
      <formula>"A - Work May Proceed"</formula>
    </cfRule>
  </conditionalFormatting>
  <conditionalFormatting sqref="W11">
    <cfRule type="cellIs" dxfId="2525" priority="103" operator="equal">
      <formula>"B - Incorporate Comments - Proceed"</formula>
    </cfRule>
    <cfRule type="cellIs" dxfId="2524" priority="104" operator="equal">
      <formula>"For Information"</formula>
    </cfRule>
    <cfRule type="cellIs" dxfId="2523" priority="107" operator="between">
      <formula>"E - Review not Required - Proceed"</formula>
      <formula>"E - Review not Required - Proceed"</formula>
    </cfRule>
    <cfRule type="cellIs" dxfId="2522" priority="105" operator="equal">
      <formula>"B - Incorporate Comments - Proceed "</formula>
    </cfRule>
    <cfRule type="cellIs" dxfId="2521" priority="106" operator="equal">
      <formula>"E - Review Not Required - Proceed"</formula>
    </cfRule>
    <cfRule type="cellIs" dxfId="2520" priority="114" operator="between">
      <formula>"D - Rejected "</formula>
      <formula>"D - Rejected "</formula>
    </cfRule>
    <cfRule type="cellIs" dxfId="2519" priority="117" operator="between">
      <formula>"C - Revise and Resubmit - Do Not Proceed"</formula>
      <formula>"C - Revise and Resubmit - Do Not Proceed"</formula>
    </cfRule>
    <cfRule type="cellIs" dxfId="2518" priority="116" operator="between">
      <formula>"A - Work May Proceed"</formula>
      <formula>"A - Work May Proceed"</formula>
    </cfRule>
    <cfRule type="cellIs" dxfId="2517" priority="115" operator="between">
      <formula>"CANCELLED"</formula>
      <formula>"CANCELLED"</formula>
    </cfRule>
    <cfRule type="cellIs" dxfId="2516" priority="113" operator="between">
      <formula>"E - Review not Required - Proceed"</formula>
      <formula>"E - Review not Required - Proceed"</formula>
    </cfRule>
    <cfRule type="cellIs" dxfId="2515" priority="112" operator="between">
      <formula>"B - Incorporate Comments - Proceed"</formula>
      <formula>"B - Incorporate Comments - Proceed"</formula>
    </cfRule>
    <cfRule type="cellIs" dxfId="2514" priority="118" stopIfTrue="1" operator="between">
      <formula>"B - Incorporate Comments - Proceed "</formula>
      <formula>"B - Incorporate Comments - Proceed "</formula>
    </cfRule>
    <cfRule type="cellIs" dxfId="2513" priority="111" operator="between">
      <formula>"A - Work May Proceed"</formula>
      <formula>"A - Work May Proceed"</formula>
    </cfRule>
    <cfRule type="cellIs" dxfId="2512" priority="110" operator="between">
      <formula>"B - Incorporate Comments - Proceed"</formula>
      <formula>"B - Incorporate Comments - Proceed"</formula>
    </cfRule>
    <cfRule type="cellIs" dxfId="2511" priority="109" operator="between">
      <formula>"C - Revise and Resubmit - Do Not Proceed"</formula>
      <formula>"C - Revise and Resubmit - Do Not Proceed"</formula>
    </cfRule>
    <cfRule type="cellIs" dxfId="2510" priority="108" operator="between">
      <formula>"'D - Rejected "</formula>
      <formula>"'D - Rejected "</formula>
    </cfRule>
  </conditionalFormatting>
  <conditionalFormatting sqref="AD11">
    <cfRule type="cellIs" dxfId="2509" priority="91" operator="between">
      <formula>"E - Review not Required - Proceed"</formula>
      <formula>"E - Review not Required - Proceed"</formula>
    </cfRule>
    <cfRule type="cellIs" dxfId="2508" priority="92" operator="between">
      <formula>"'D - Rejected "</formula>
      <formula>"'D - Rejected "</formula>
    </cfRule>
    <cfRule type="cellIs" dxfId="2507" priority="93" operator="between">
      <formula>"C - Revise and Resubmit - Do Not Proceed"</formula>
      <formula>"C - Revise and Resubmit - Do Not Proceed"</formula>
    </cfRule>
    <cfRule type="cellIs" dxfId="2506" priority="96" operator="between">
      <formula>"B - Incorporate Comments - Proceed"</formula>
      <formula>"B - Incorporate Comments - Proceed"</formula>
    </cfRule>
    <cfRule type="cellIs" dxfId="2505" priority="94" operator="between">
      <formula>"B - Incorporate Comments - Proceed"</formula>
      <formula>"B - Incorporate Comments - Proceed"</formula>
    </cfRule>
    <cfRule type="cellIs" dxfId="2504" priority="95" operator="between">
      <formula>"A - Work May Proceed"</formula>
      <formula>"A - Work May Proceed"</formula>
    </cfRule>
    <cfRule type="cellIs" dxfId="2503" priority="97" operator="between">
      <formula>"E - Review not Required - Proceed"</formula>
      <formula>"E - Review not Required - Proceed"</formula>
    </cfRule>
    <cfRule type="cellIs" dxfId="2502" priority="98" operator="between">
      <formula>"D - Rejected "</formula>
      <formula>"D - Rejected "</formula>
    </cfRule>
    <cfRule type="cellIs" dxfId="2501" priority="99" operator="between">
      <formula>"CANCELLED"</formula>
      <formula>"CANCELLED"</formula>
    </cfRule>
    <cfRule type="cellIs" dxfId="2500" priority="100" operator="between">
      <formula>"A - Work May Proceed"</formula>
      <formula>"A - Work May Proceed"</formula>
    </cfRule>
    <cfRule type="cellIs" dxfId="2499" priority="101" operator="between">
      <formula>"C - Revise and Resubmit - Do Not Proceed"</formula>
      <formula>"C - Revise and Resubmit - Do Not Proceed"</formula>
    </cfRule>
    <cfRule type="cellIs" dxfId="2498" priority="102" stopIfTrue="1" operator="between">
      <formula>"B - Incorporate Comments - Proceed "</formula>
      <formula>"B - Incorporate Comments - Proceed "</formula>
    </cfRule>
    <cfRule type="cellIs" dxfId="2497" priority="88" operator="equal">
      <formula>"For Information"</formula>
    </cfRule>
    <cfRule type="cellIs" dxfId="2496" priority="87" operator="equal">
      <formula>"B - Incorporate Comments - Proceed"</formula>
    </cfRule>
    <cfRule type="cellIs" dxfId="2495" priority="89" operator="equal">
      <formula>"B - Incorporate Comments - Proceed "</formula>
    </cfRule>
    <cfRule type="cellIs" dxfId="2494" priority="90" operator="equal">
      <formula>"E - Review Not Required - Proceed"</formula>
    </cfRule>
  </conditionalFormatting>
  <conditionalFormatting sqref="AK11">
    <cfRule type="cellIs" dxfId="2493" priority="78" operator="between">
      <formula>"B - Incorporate Comments - Proceed"</formula>
      <formula>"B - Incorporate Comments - Proceed"</formula>
    </cfRule>
    <cfRule type="cellIs" dxfId="2492" priority="86" stopIfTrue="1" operator="between">
      <formula>"B - Incorporate Comments - Proceed "</formula>
      <formula>"B - Incorporate Comments - Proceed "</formula>
    </cfRule>
    <cfRule type="cellIs" dxfId="2491" priority="83" operator="between">
      <formula>"CANCELLED"</formula>
      <formula>"CANCELLED"</formula>
    </cfRule>
    <cfRule type="cellIs" dxfId="2490" priority="85" operator="between">
      <formula>"C - Revise and Resubmit - Do Not Proceed"</formula>
      <formula>"C - Revise and Resubmit - Do Not Proceed"</formula>
    </cfRule>
    <cfRule type="cellIs" dxfId="2489" priority="84" operator="between">
      <formula>"A - Work May Proceed"</formula>
      <formula>"A - Work May Proceed"</formula>
    </cfRule>
    <cfRule type="cellIs" dxfId="2488" priority="79" operator="between">
      <formula>"A - Work May Proceed"</formula>
      <formula>"A - Work May Proceed"</formula>
    </cfRule>
    <cfRule type="cellIs" dxfId="2487" priority="80" operator="between">
      <formula>"B - Incorporate Comments - Proceed"</formula>
      <formula>"B - Incorporate Comments - Proceed"</formula>
    </cfRule>
    <cfRule type="cellIs" dxfId="2486" priority="72" operator="equal">
      <formula>"For Information"</formula>
    </cfRule>
    <cfRule type="cellIs" dxfId="2485" priority="81" operator="between">
      <formula>"E - Review not Required - Proceed"</formula>
      <formula>"E - Review not Required - Proceed"</formula>
    </cfRule>
    <cfRule type="cellIs" dxfId="2484" priority="82" operator="between">
      <formula>"D - Rejected "</formula>
      <formula>"D - Rejected "</formula>
    </cfRule>
    <cfRule type="cellIs" dxfId="2483" priority="76" operator="between">
      <formula>"'D - Rejected "</formula>
      <formula>"'D - Rejected "</formula>
    </cfRule>
    <cfRule type="cellIs" dxfId="2482" priority="75" operator="between">
      <formula>"E - Review not Required - Proceed"</formula>
      <formula>"E - Review not Required - Proceed"</formula>
    </cfRule>
    <cfRule type="cellIs" dxfId="2481" priority="74" operator="equal">
      <formula>"E - Review Not Required - Proceed"</formula>
    </cfRule>
    <cfRule type="cellIs" dxfId="2480" priority="73" operator="equal">
      <formula>"B - Incorporate Comments - Proceed "</formula>
    </cfRule>
    <cfRule type="cellIs" dxfId="2479" priority="71" operator="equal">
      <formula>"B - Incorporate Comments - Proceed"</formula>
    </cfRule>
    <cfRule type="cellIs" dxfId="2478" priority="77" operator="between">
      <formula>"C - Revise and Resubmit - Do Not Proceed"</formula>
      <formula>"C - Revise and Resubmit - Do Not Proceed"</formula>
    </cfRule>
  </conditionalFormatting>
  <conditionalFormatting sqref="AR11">
    <cfRule type="cellIs" dxfId="2477" priority="32" operator="equal">
      <formula>"B - Incorporate Comments - Proceed "</formula>
    </cfRule>
    <cfRule type="cellIs" dxfId="2476" priority="34" operator="between">
      <formula>"E - Review not Required - Proceed"</formula>
      <formula>"E - Review not Required - Proceed"</formula>
    </cfRule>
    <cfRule type="cellIs" dxfId="2475" priority="35" operator="between">
      <formula>"'D - Rejected "</formula>
      <formula>"'D - Rejected "</formula>
    </cfRule>
    <cfRule type="cellIs" dxfId="2474" priority="36" operator="between">
      <formula>"C - Revise and Resubmit - Do Not Proceed"</formula>
      <formula>"C - Revise and Resubmit - Do Not Proceed"</formula>
    </cfRule>
    <cfRule type="cellIs" dxfId="2473" priority="38" operator="between">
      <formula>"A - Work May Proceed"</formula>
      <formula>"A - Work May Proceed"</formula>
    </cfRule>
    <cfRule type="cellIs" dxfId="2472" priority="39" operator="between">
      <formula>"B - Incorporate Comments - Proceed"</formula>
      <formula>"B - Incorporate Comments - Proceed"</formula>
    </cfRule>
    <cfRule type="cellIs" dxfId="2471" priority="40" operator="between">
      <formula>"E - Review not Required - Proceed"</formula>
      <formula>"E - Review not Required - Proceed"</formula>
    </cfRule>
    <cfRule type="cellIs" dxfId="2470" priority="41" operator="between">
      <formula>"D - Rejected "</formula>
      <formula>"D - Rejected "</formula>
    </cfRule>
    <cfRule type="cellIs" dxfId="2469" priority="42" operator="between">
      <formula>"CANCELLED"</formula>
      <formula>"CANCELLED"</formula>
    </cfRule>
    <cfRule type="cellIs" dxfId="2468" priority="43" operator="between">
      <formula>"A - Work May Proceed"</formula>
      <formula>"A - Work May Proceed"</formula>
    </cfRule>
    <cfRule type="cellIs" dxfId="2467" priority="44" operator="between">
      <formula>"C - Revise and Resubmit - Do Not Proceed"</formula>
      <formula>"C - Revise and Resubmit - Do Not Proceed"</formula>
    </cfRule>
    <cfRule type="cellIs" dxfId="2466" priority="45" stopIfTrue="1" operator="between">
      <formula>"B - Incorporate Comments - Proceed "</formula>
      <formula>"B - Incorporate Comments - Proceed "</formula>
    </cfRule>
    <cfRule type="cellIs" dxfId="2465" priority="33" operator="equal">
      <formula>"E - Review Not Required - Proceed"</formula>
    </cfRule>
    <cfRule type="cellIs" dxfId="2464" priority="26" operator="equal">
      <formula>"E - Review not Required - Proceed"</formula>
    </cfRule>
    <cfRule type="cellIs" dxfId="2463" priority="27" operator="equal">
      <formula>"D - Rejected"</formula>
    </cfRule>
    <cfRule type="cellIs" dxfId="2462" priority="28" operator="equal">
      <formula>"B - Incorporate Comments - Proceed"</formula>
    </cfRule>
    <cfRule type="cellIs" dxfId="2461" priority="29" operator="equal">
      <formula>"C - Revise and Resubmit - Do Not Proceed"</formula>
    </cfRule>
    <cfRule type="cellIs" dxfId="2460" priority="37" operator="between">
      <formula>"B - Incorporate Comments - Proceed"</formula>
      <formula>"B - Incorporate Comments - Proceed"</formula>
    </cfRule>
    <cfRule type="cellIs" dxfId="2459" priority="30" operator="equal">
      <formula>"A - Work May Proceed"</formula>
    </cfRule>
    <cfRule type="cellIs" dxfId="2458" priority="31" operator="equal">
      <formula>"For Information"</formula>
    </cfRule>
  </conditionalFormatting>
  <conditionalFormatting sqref="AY11">
    <cfRule type="cellIs" dxfId="2457" priority="53" operator="equal">
      <formula>"E - Review Not Required - Proceed"</formula>
    </cfRule>
    <cfRule type="cellIs" dxfId="2456" priority="46" operator="equal">
      <formula>"E - Review not Required - Proceed"</formula>
    </cfRule>
    <cfRule type="cellIs" dxfId="2455" priority="52" operator="equal">
      <formula>"B - Incorporate Comments - Proceed "</formula>
    </cfRule>
    <cfRule type="cellIs" dxfId="2454" priority="51" operator="equal">
      <formula>"For Information"</formula>
    </cfRule>
    <cfRule type="cellIs" dxfId="2453" priority="60" operator="between">
      <formula>"E - Review not Required - Proceed"</formula>
      <formula>"E - Review not Required - Proceed"</formula>
    </cfRule>
    <cfRule type="cellIs" dxfId="2452" priority="48" operator="equal">
      <formula>"B - Incorporate Comments - Proceed"</formula>
    </cfRule>
    <cfRule type="cellIs" dxfId="2451" priority="50" operator="equal">
      <formula>"A - Work May Proceed"</formula>
    </cfRule>
    <cfRule type="cellIs" dxfId="2450" priority="56" operator="between">
      <formula>"C - Revise and Resubmit - Do Not Proceed"</formula>
      <formula>"C - Revise and Resubmit - Do Not Proceed"</formula>
    </cfRule>
    <cfRule type="cellIs" dxfId="2449" priority="47" operator="equal">
      <formula>"D - Rejected"</formula>
    </cfRule>
    <cfRule type="cellIs" dxfId="2448" priority="55" operator="between">
      <formula>"'D - Rejected "</formula>
      <formula>"'D - Rejected "</formula>
    </cfRule>
    <cfRule type="cellIs" dxfId="2447" priority="65" stopIfTrue="1" operator="between">
      <formula>"B - Incorporate Comments - Proceed "</formula>
      <formula>"B - Incorporate Comments - Proceed "</formula>
    </cfRule>
    <cfRule type="cellIs" dxfId="2446" priority="64" operator="between">
      <formula>"C - Revise and Resubmit - Do Not Proceed"</formula>
      <formula>"C - Revise and Resubmit - Do Not Proceed"</formula>
    </cfRule>
    <cfRule type="cellIs" dxfId="2445" priority="49" operator="equal">
      <formula>"C - Revise and Resubmit - Do Not Proceed"</formula>
    </cfRule>
    <cfRule type="cellIs" dxfId="2444" priority="62" operator="between">
      <formula>"CANCELLED"</formula>
      <formula>"CANCELLED"</formula>
    </cfRule>
    <cfRule type="cellIs" dxfId="2443" priority="61" operator="between">
      <formula>"D - Rejected "</formula>
      <formula>"D - Rejected "</formula>
    </cfRule>
    <cfRule type="cellIs" dxfId="2442" priority="54" operator="between">
      <formula>"E - Review not Required - Proceed"</formula>
      <formula>"E - Review not Required - Proceed"</formula>
    </cfRule>
    <cfRule type="cellIs" dxfId="2441" priority="59" operator="between">
      <formula>"B - Incorporate Comments - Proceed"</formula>
      <formula>"B - Incorporate Comments - Proceed"</formula>
    </cfRule>
    <cfRule type="cellIs" dxfId="2440" priority="58" operator="between">
      <formula>"A - Work May Proceed"</formula>
      <formula>"A - Work May Proceed"</formula>
    </cfRule>
    <cfRule type="cellIs" dxfId="2439" priority="57" operator="between">
      <formula>"B - Incorporate Comments - Proceed"</formula>
      <formula>"B - Incorporate Comments - Proceed"</formula>
    </cfRule>
    <cfRule type="cellIs" dxfId="2438" priority="63" operator="between">
      <formula>"A - Work May Proceed"</formula>
      <formula>"A - Work May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tabColor theme="9"/>
  </sheetPr>
  <dimension ref="A1:BF35"/>
  <sheetViews>
    <sheetView zoomScale="55" zoomScaleNormal="55" zoomScaleSheetLayoutView="55" workbookViewId="0">
      <pane ySplit="11" topLeftCell="A25" activePane="bottomLeft" state="frozen"/>
      <selection activeCell="A14" sqref="A14"/>
      <selection pane="bottomLeft" activeCell="F38" sqref="F38"/>
    </sheetView>
  </sheetViews>
  <sheetFormatPr defaultColWidth="9.140625" defaultRowHeight="15" x14ac:dyDescent="0.25"/>
  <cols>
    <col min="1" max="1" width="25" style="393" customWidth="1"/>
    <col min="2" max="2" width="32" style="394" customWidth="1"/>
    <col min="3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3" width="30.140625" style="471" customWidth="1"/>
    <col min="14" max="14" width="30.140625" style="396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0.140625" style="398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2.85546875" style="472" customWidth="1"/>
    <col min="59" max="16384" width="9.140625" style="393"/>
  </cols>
  <sheetData>
    <row r="1" spans="1:58" s="379" customFormat="1" ht="24" customHeight="1" x14ac:dyDescent="0.35">
      <c r="A1" s="8"/>
      <c r="B1" s="330" t="s">
        <v>27</v>
      </c>
      <c r="C1" s="26" t="s">
        <v>26</v>
      </c>
      <c r="D1" s="26"/>
      <c r="E1" s="26"/>
      <c r="F1" s="27"/>
      <c r="G1" s="8"/>
      <c r="H1" s="548" t="s">
        <v>5496</v>
      </c>
      <c r="I1" s="562">
        <f ca="1">TODAY()</f>
        <v>46266</v>
      </c>
      <c r="J1"/>
      <c r="K1"/>
      <c r="L1"/>
      <c r="M1"/>
      <c r="N1" s="111"/>
      <c r="O1"/>
      <c r="P1"/>
      <c r="Q1"/>
      <c r="R1"/>
      <c r="S1"/>
      <c r="T1"/>
      <c r="U1" s="111"/>
      <c r="V1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198"/>
    </row>
    <row r="2" spans="1:58" s="379" customFormat="1" ht="24" customHeight="1" x14ac:dyDescent="0.35">
      <c r="A2" s="8"/>
      <c r="B2" s="331" t="s">
        <v>28</v>
      </c>
      <c r="C2" s="26" t="s">
        <v>181</v>
      </c>
      <c r="D2" s="26"/>
      <c r="E2" s="26"/>
      <c r="F2" s="27"/>
      <c r="G2" s="8"/>
      <c r="H2" s="548"/>
      <c r="I2" s="563"/>
      <c r="J2"/>
      <c r="K2"/>
      <c r="L2"/>
      <c r="M2"/>
      <c r="N2" s="111"/>
      <c r="O2"/>
      <c r="P2"/>
      <c r="Q2"/>
      <c r="R2"/>
      <c r="S2"/>
      <c r="T2"/>
      <c r="U2" s="111"/>
      <c r="V2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198"/>
    </row>
    <row r="3" spans="1:58" s="379" customFormat="1" ht="24" customHeight="1" x14ac:dyDescent="0.35">
      <c r="A3" s="8"/>
      <c r="B3" s="331" t="s">
        <v>507</v>
      </c>
      <c r="C3" s="49" t="s">
        <v>145</v>
      </c>
      <c r="D3" s="26"/>
      <c r="E3" s="26"/>
      <c r="F3" s="27"/>
      <c r="G3" s="8"/>
      <c r="H3" s="8"/>
      <c r="I3" s="107"/>
      <c r="J3"/>
      <c r="K3"/>
      <c r="L3"/>
      <c r="M3"/>
      <c r="N3" s="111"/>
      <c r="O3"/>
      <c r="P3"/>
      <c r="Q3"/>
      <c r="R3"/>
      <c r="S3"/>
      <c r="T3"/>
      <c r="U3" s="111"/>
      <c r="V3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198"/>
    </row>
    <row r="4" spans="1:58" s="379" customFormat="1" ht="24" customHeight="1" x14ac:dyDescent="0.35">
      <c r="A4" s="8"/>
      <c r="B4" s="332"/>
      <c r="C4" s="50"/>
      <c r="D4" s="50"/>
      <c r="E4" s="50"/>
      <c r="F4" s="51"/>
      <c r="G4" s="8"/>
      <c r="H4" s="8"/>
      <c r="I4" s="107"/>
      <c r="J4"/>
      <c r="K4"/>
      <c r="L4"/>
      <c r="M4"/>
      <c r="N4" s="111"/>
      <c r="O4"/>
      <c r="P4"/>
      <c r="Q4"/>
      <c r="R4"/>
      <c r="S4"/>
      <c r="T4"/>
      <c r="U4" s="111"/>
      <c r="V4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198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 s="111"/>
      <c r="O5"/>
      <c r="P5"/>
      <c r="Q5"/>
      <c r="R5"/>
      <c r="S5"/>
      <c r="T5"/>
      <c r="U5" s="111"/>
      <c r="V5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198"/>
    </row>
    <row r="6" spans="1:58" s="379" customFormat="1" ht="24" customHeight="1" x14ac:dyDescent="0.35">
      <c r="A6" s="8"/>
      <c r="B6" s="64">
        <f>COUNTIF(B11:B35,"A - Work May Proceed")</f>
        <v>18</v>
      </c>
      <c r="C6" s="65">
        <f>COUNTIF(B11:B35,"B- Incorporate Comments - Proceed")</f>
        <v>1</v>
      </c>
      <c r="D6" s="65">
        <f>COUNTIF(B11:B35,"C - Revise and Resubmit - Do Not Proceed")</f>
        <v>1</v>
      </c>
      <c r="E6" s="65">
        <f>COUNTIF(B11:B35,"D - Rejected")</f>
        <v>0</v>
      </c>
      <c r="F6" s="65">
        <f>COUNTIF(B11:B35,"E - Review not Required - Proceed")</f>
        <v>0</v>
      </c>
      <c r="G6" s="66">
        <f>COUNTIF(B11:B35,"UR")</f>
        <v>0</v>
      </c>
      <c r="H6" s="66">
        <f>COUNTIF(B11:B35,"FA")</f>
        <v>1</v>
      </c>
      <c r="I6" s="327">
        <f>COUNTIF(B11:B35,"Terminated")</f>
        <v>0</v>
      </c>
      <c r="J6" s="66">
        <f>COUNTIF(B11:B35,"Cancelled")</f>
        <v>2</v>
      </c>
      <c r="K6"/>
      <c r="L6"/>
      <c r="M6"/>
      <c r="N6" s="111"/>
      <c r="O6"/>
      <c r="P6"/>
      <c r="Q6"/>
      <c r="R6"/>
      <c r="S6"/>
      <c r="T6"/>
      <c r="U6" s="111"/>
      <c r="V6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198"/>
    </row>
    <row r="7" spans="1:58" s="379" customFormat="1" ht="24" customHeight="1" x14ac:dyDescent="0.35">
      <c r="A7" s="8"/>
      <c r="B7" s="333"/>
      <c r="C7" s="68"/>
      <c r="D7" s="69"/>
      <c r="E7" s="70"/>
      <c r="F7" s="70"/>
      <c r="G7" s="71"/>
      <c r="H7" s="70"/>
      <c r="I7" s="328"/>
      <c r="J7"/>
      <c r="K7"/>
      <c r="L7"/>
      <c r="M7"/>
      <c r="N7" s="111"/>
      <c r="O7"/>
      <c r="P7"/>
      <c r="Q7"/>
      <c r="R7"/>
      <c r="S7"/>
      <c r="T7"/>
      <c r="U7" s="111"/>
      <c r="V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198"/>
    </row>
    <row r="8" spans="1:58" s="379" customFormat="1" ht="24" customHeight="1" x14ac:dyDescent="0.35">
      <c r="A8" s="8"/>
      <c r="B8" s="334" t="s">
        <v>509</v>
      </c>
      <c r="C8" s="73">
        <f>SUM(B6:J6)</f>
        <v>23</v>
      </c>
      <c r="D8" s="69"/>
      <c r="E8" s="70"/>
      <c r="F8" s="70"/>
      <c r="G8" s="74"/>
      <c r="H8" s="75"/>
      <c r="I8" s="329"/>
      <c r="J8" s="75"/>
      <c r="K8"/>
      <c r="L8"/>
      <c r="M8"/>
      <c r="N8" s="111"/>
      <c r="O8"/>
      <c r="P8"/>
      <c r="Q8"/>
      <c r="R8"/>
      <c r="S8"/>
      <c r="T8"/>
      <c r="U8" s="111"/>
      <c r="V8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198"/>
    </row>
    <row r="9" spans="1:58" s="379" customFormat="1" ht="24" customHeight="1" thickBot="1" x14ac:dyDescent="0.4">
      <c r="A9" s="8"/>
      <c r="B9" s="332"/>
      <c r="C9" s="50"/>
      <c r="D9" s="50"/>
      <c r="E9" s="50"/>
      <c r="F9" s="51"/>
      <c r="G9" s="8"/>
      <c r="H9" s="8"/>
      <c r="I9" s="107"/>
      <c r="J9"/>
      <c r="K9"/>
      <c r="L9"/>
      <c r="M9"/>
      <c r="N9" s="111"/>
      <c r="O9"/>
      <c r="P9"/>
      <c r="Q9"/>
      <c r="R9"/>
      <c r="S9"/>
      <c r="T9"/>
      <c r="U9" s="111"/>
      <c r="V9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198"/>
    </row>
    <row r="10" spans="1:58" s="405" customFormat="1" ht="36.75" customHeight="1" x14ac:dyDescent="0.2">
      <c r="A10" s="559" t="s">
        <v>3297</v>
      </c>
      <c r="B10" s="556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7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112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113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16" t="s">
        <v>5</v>
      </c>
      <c r="C12" s="56" t="s">
        <v>725</v>
      </c>
      <c r="D12" s="12" t="s">
        <v>3086</v>
      </c>
      <c r="E12" s="12" t="s">
        <v>3084</v>
      </c>
      <c r="F12" s="16" t="s">
        <v>3085</v>
      </c>
      <c r="G12" s="16" t="s">
        <v>179</v>
      </c>
      <c r="H12" s="10" t="s">
        <v>145</v>
      </c>
      <c r="I12" s="16" t="s">
        <v>3</v>
      </c>
      <c r="J12" s="14">
        <v>45773</v>
      </c>
      <c r="K12" s="12" t="s">
        <v>3087</v>
      </c>
      <c r="L12" s="20">
        <f t="shared" ref="L12:L22" si="0">J12+7</f>
        <v>45780</v>
      </c>
      <c r="M12" s="187" t="s">
        <v>4155</v>
      </c>
      <c r="N12" s="92" t="e">
        <f>M12-L12</f>
        <v>#VALUE!</v>
      </c>
      <c r="O12" s="12" t="s">
        <v>4156</v>
      </c>
      <c r="P12" s="16" t="s">
        <v>3</v>
      </c>
      <c r="Q12" s="20">
        <v>45922</v>
      </c>
      <c r="R12" s="12" t="s">
        <v>4286</v>
      </c>
      <c r="S12" s="20">
        <f t="shared" ref="S12:S20" si="1">Q12+7</f>
        <v>45929</v>
      </c>
      <c r="T12" s="20">
        <v>45942</v>
      </c>
      <c r="U12" s="92">
        <f>T12-S12</f>
        <v>13</v>
      </c>
      <c r="V12" s="12" t="s">
        <v>4304</v>
      </c>
      <c r="W12" s="12" t="s">
        <v>18</v>
      </c>
      <c r="X12" s="20">
        <v>45949</v>
      </c>
      <c r="Y12" s="12" t="s">
        <v>4523</v>
      </c>
      <c r="Z12" s="20">
        <f>X12+7</f>
        <v>45956</v>
      </c>
      <c r="AA12" s="20">
        <v>45957</v>
      </c>
      <c r="AB12" s="92">
        <f>AA12-Z12</f>
        <v>1</v>
      </c>
      <c r="AC12" s="12" t="s">
        <v>4615</v>
      </c>
      <c r="AD12" s="12" t="s">
        <v>5</v>
      </c>
      <c r="AE12" s="20">
        <v>45976</v>
      </c>
      <c r="AF12" s="12" t="s">
        <v>5063</v>
      </c>
      <c r="AG12" s="20">
        <f>AE12+7</f>
        <v>45983</v>
      </c>
      <c r="AH12" s="20">
        <v>45988</v>
      </c>
      <c r="AI12" s="92">
        <f>AH12-AG12</f>
        <v>5</v>
      </c>
      <c r="AJ12" s="12" t="s">
        <v>4910</v>
      </c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473" t="s">
        <v>3083</v>
      </c>
    </row>
    <row r="13" spans="1:58" s="381" customFormat="1" ht="42" customHeight="1" x14ac:dyDescent="0.25">
      <c r="A13" s="367">
        <v>730007</v>
      </c>
      <c r="B13" s="199" t="s">
        <v>508</v>
      </c>
      <c r="C13" s="56" t="s">
        <v>627</v>
      </c>
      <c r="D13" s="12" t="s">
        <v>3458</v>
      </c>
      <c r="E13" s="12" t="s">
        <v>3459</v>
      </c>
      <c r="F13" s="16" t="s">
        <v>3460</v>
      </c>
      <c r="G13" s="16" t="s">
        <v>179</v>
      </c>
      <c r="H13" s="10" t="s">
        <v>145</v>
      </c>
      <c r="I13" s="16" t="s">
        <v>3</v>
      </c>
      <c r="J13" s="14">
        <v>45811</v>
      </c>
      <c r="K13" s="12" t="s">
        <v>3462</v>
      </c>
      <c r="L13" s="20">
        <f t="shared" si="0"/>
        <v>45818</v>
      </c>
      <c r="M13" s="14">
        <v>45832</v>
      </c>
      <c r="N13" s="92">
        <f>M13-L13</f>
        <v>14</v>
      </c>
      <c r="O13" s="12" t="s">
        <v>3461</v>
      </c>
      <c r="P13" s="16" t="s">
        <v>508</v>
      </c>
      <c r="Q13" s="20">
        <v>45970</v>
      </c>
      <c r="R13" s="12" t="s">
        <v>4793</v>
      </c>
      <c r="S13" s="12" t="s">
        <v>626</v>
      </c>
      <c r="T13" s="20" t="s">
        <v>626</v>
      </c>
      <c r="U13" s="91" t="s">
        <v>626</v>
      </c>
      <c r="V13" s="12" t="s">
        <v>626</v>
      </c>
      <c r="W13" s="12"/>
      <c r="X13" s="20"/>
      <c r="Y13" s="12"/>
      <c r="Z13" s="12"/>
      <c r="AA13" s="20"/>
      <c r="AB13" s="20"/>
      <c r="AC13" s="12"/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473"/>
    </row>
    <row r="14" spans="1:58" s="381" customFormat="1" ht="42" customHeight="1" x14ac:dyDescent="0.25">
      <c r="A14" s="367">
        <v>730007</v>
      </c>
      <c r="B14" s="16" t="s">
        <v>5</v>
      </c>
      <c r="C14" s="56" t="s">
        <v>725</v>
      </c>
      <c r="D14" s="12" t="s">
        <v>3463</v>
      </c>
      <c r="E14" s="12" t="s">
        <v>3464</v>
      </c>
      <c r="F14" s="16" t="s">
        <v>6325</v>
      </c>
      <c r="G14" s="16" t="s">
        <v>179</v>
      </c>
      <c r="H14" s="10" t="s">
        <v>145</v>
      </c>
      <c r="I14" s="16" t="s">
        <v>3</v>
      </c>
      <c r="J14" s="14">
        <v>45811</v>
      </c>
      <c r="K14" s="12" t="s">
        <v>3465</v>
      </c>
      <c r="L14" s="20">
        <f t="shared" si="0"/>
        <v>45818</v>
      </c>
      <c r="M14" s="14">
        <v>45832</v>
      </c>
      <c r="N14" s="92">
        <f>M14-L14</f>
        <v>14</v>
      </c>
      <c r="O14" s="12" t="s">
        <v>3471</v>
      </c>
      <c r="P14" s="11" t="s">
        <v>3</v>
      </c>
      <c r="Q14" s="20">
        <v>45872</v>
      </c>
      <c r="R14" s="12" t="s">
        <v>3867</v>
      </c>
      <c r="S14" s="20">
        <f t="shared" si="1"/>
        <v>45879</v>
      </c>
      <c r="T14" s="20">
        <v>45885</v>
      </c>
      <c r="U14" s="92">
        <f t="shared" ref="U14:U27" si="2">T14-S14</f>
        <v>6</v>
      </c>
      <c r="V14" s="12" t="s">
        <v>3893</v>
      </c>
      <c r="W14" s="11" t="s">
        <v>5</v>
      </c>
      <c r="X14" s="20">
        <v>45911</v>
      </c>
      <c r="Y14" s="12" t="s">
        <v>4168</v>
      </c>
      <c r="Z14" s="20">
        <f t="shared" ref="Z14:Z24" si="3">X14+7</f>
        <v>45918</v>
      </c>
      <c r="AA14" s="20">
        <v>45914</v>
      </c>
      <c r="AB14" s="92">
        <f t="shared" ref="AB14:AB24" si="4">AA14-Z14</f>
        <v>-4</v>
      </c>
      <c r="AC14" s="12" t="s">
        <v>4172</v>
      </c>
      <c r="AD14" s="12" t="s">
        <v>5</v>
      </c>
      <c r="AE14" s="20">
        <v>46123</v>
      </c>
      <c r="AF14" s="12" t="s">
        <v>6326</v>
      </c>
      <c r="AG14" s="20">
        <f>AE14+7</f>
        <v>46130</v>
      </c>
      <c r="AH14" s="20">
        <v>46124</v>
      </c>
      <c r="AI14" s="92">
        <f>AH14-AG14</f>
        <v>-6</v>
      </c>
      <c r="AJ14" s="12" t="s">
        <v>6333</v>
      </c>
      <c r="AK14" s="10"/>
      <c r="AL14" s="14"/>
      <c r="AM14" s="12"/>
      <c r="AN14" s="12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/>
      <c r="BF14" s="473" t="s">
        <v>6383</v>
      </c>
    </row>
    <row r="15" spans="1:58" s="381" customFormat="1" ht="42" customHeight="1" x14ac:dyDescent="0.25">
      <c r="A15" s="367">
        <v>730007</v>
      </c>
      <c r="B15" s="16" t="s">
        <v>5</v>
      </c>
      <c r="C15" s="56" t="s">
        <v>725</v>
      </c>
      <c r="D15" s="12" t="s">
        <v>3467</v>
      </c>
      <c r="E15" s="12" t="s">
        <v>3468</v>
      </c>
      <c r="F15" s="16" t="s">
        <v>3950</v>
      </c>
      <c r="G15" s="16" t="s">
        <v>179</v>
      </c>
      <c r="H15" s="10" t="s">
        <v>145</v>
      </c>
      <c r="I15" s="23" t="s">
        <v>3</v>
      </c>
      <c r="J15" s="14">
        <v>45812</v>
      </c>
      <c r="K15" s="12" t="s">
        <v>3469</v>
      </c>
      <c r="L15" s="20">
        <f t="shared" si="0"/>
        <v>45819</v>
      </c>
      <c r="M15" s="14">
        <v>45832</v>
      </c>
      <c r="N15" s="92">
        <f t="shared" ref="N15:N27" si="5">M15-L15</f>
        <v>13</v>
      </c>
      <c r="O15" s="12" t="s">
        <v>3473</v>
      </c>
      <c r="P15" s="16" t="s">
        <v>18</v>
      </c>
      <c r="Q15" s="20">
        <v>45859</v>
      </c>
      <c r="R15" s="12" t="s">
        <v>3742</v>
      </c>
      <c r="S15" s="20">
        <f t="shared" si="1"/>
        <v>45866</v>
      </c>
      <c r="T15" s="20">
        <v>45874</v>
      </c>
      <c r="U15" s="92">
        <f t="shared" si="2"/>
        <v>8</v>
      </c>
      <c r="V15" s="12" t="s">
        <v>3760</v>
      </c>
      <c r="W15" s="12" t="s">
        <v>18</v>
      </c>
      <c r="X15" s="20">
        <v>45997</v>
      </c>
      <c r="Y15" s="12" t="s">
        <v>5144</v>
      </c>
      <c r="Z15" s="20">
        <f t="shared" si="3"/>
        <v>46004</v>
      </c>
      <c r="AA15" s="20">
        <v>45999</v>
      </c>
      <c r="AB15" s="92">
        <f t="shared" si="4"/>
        <v>-5</v>
      </c>
      <c r="AC15" s="12" t="s">
        <v>5150</v>
      </c>
      <c r="AD15" s="12" t="s">
        <v>5</v>
      </c>
      <c r="AE15" s="20">
        <v>46107</v>
      </c>
      <c r="AF15" s="12" t="s">
        <v>6140</v>
      </c>
      <c r="AG15" s="20">
        <f>AE15+7</f>
        <v>46114</v>
      </c>
      <c r="AH15" s="20">
        <v>46109</v>
      </c>
      <c r="AI15" s="92">
        <f>AH15-AG15</f>
        <v>-5</v>
      </c>
      <c r="AJ15" s="12" t="s">
        <v>6144</v>
      </c>
      <c r="AK15" s="10"/>
      <c r="AL15" s="14"/>
      <c r="AM15" s="12"/>
      <c r="AN15" s="12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2"/>
      <c r="BF15" s="473"/>
    </row>
    <row r="16" spans="1:58" s="381" customFormat="1" ht="42" customHeight="1" x14ac:dyDescent="0.25">
      <c r="A16" s="367">
        <v>730007</v>
      </c>
      <c r="B16" s="23" t="s">
        <v>5</v>
      </c>
      <c r="C16" s="56" t="s">
        <v>725</v>
      </c>
      <c r="D16" s="12" t="s">
        <v>3500</v>
      </c>
      <c r="E16" s="12" t="s">
        <v>3499</v>
      </c>
      <c r="F16" s="16" t="s">
        <v>3972</v>
      </c>
      <c r="G16" s="16" t="s">
        <v>179</v>
      </c>
      <c r="H16" s="10" t="s">
        <v>145</v>
      </c>
      <c r="I16" s="16" t="s">
        <v>3</v>
      </c>
      <c r="J16" s="14">
        <v>45820</v>
      </c>
      <c r="K16" s="12" t="s">
        <v>3501</v>
      </c>
      <c r="L16" s="20">
        <f t="shared" si="0"/>
        <v>45827</v>
      </c>
      <c r="M16" s="14">
        <v>45832</v>
      </c>
      <c r="N16" s="92">
        <f t="shared" si="5"/>
        <v>5</v>
      </c>
      <c r="O16" s="12" t="s">
        <v>3503</v>
      </c>
      <c r="P16" s="16" t="s">
        <v>3</v>
      </c>
      <c r="Q16" s="20">
        <v>45886</v>
      </c>
      <c r="R16" s="12" t="s">
        <v>3973</v>
      </c>
      <c r="S16" s="20">
        <f t="shared" si="1"/>
        <v>45893</v>
      </c>
      <c r="T16" s="20">
        <v>45903</v>
      </c>
      <c r="U16" s="92">
        <f t="shared" si="2"/>
        <v>10</v>
      </c>
      <c r="V16" s="12" t="s">
        <v>4000</v>
      </c>
      <c r="W16" s="12" t="s">
        <v>18</v>
      </c>
      <c r="X16" s="20">
        <v>45979</v>
      </c>
      <c r="Y16" s="12" t="s">
        <v>4970</v>
      </c>
      <c r="Z16" s="20">
        <f t="shared" si="3"/>
        <v>45986</v>
      </c>
      <c r="AA16" s="20">
        <v>45984</v>
      </c>
      <c r="AB16" s="92">
        <f t="shared" si="4"/>
        <v>-2</v>
      </c>
      <c r="AC16" s="12" t="s">
        <v>4980</v>
      </c>
      <c r="AD16" s="12" t="s">
        <v>5</v>
      </c>
      <c r="AE16" s="20">
        <v>45994</v>
      </c>
      <c r="AF16" s="12" t="s">
        <v>5108</v>
      </c>
      <c r="AG16" s="20">
        <f>AE16+7</f>
        <v>46001</v>
      </c>
      <c r="AH16" s="20">
        <v>45998</v>
      </c>
      <c r="AI16" s="92">
        <f>AH16-AG16</f>
        <v>-3</v>
      </c>
      <c r="AJ16" s="12" t="s">
        <v>5135</v>
      </c>
      <c r="AK16" s="10"/>
      <c r="AL16" s="14"/>
      <c r="AM16" s="12"/>
      <c r="AN16" s="12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2"/>
      <c r="BF16" s="473"/>
    </row>
    <row r="17" spans="1:58" s="381" customFormat="1" ht="42" customHeight="1" x14ac:dyDescent="0.25">
      <c r="A17" s="367">
        <v>730007</v>
      </c>
      <c r="B17" s="23" t="s">
        <v>5</v>
      </c>
      <c r="C17" s="56" t="s">
        <v>208</v>
      </c>
      <c r="D17" s="12" t="s">
        <v>6474</v>
      </c>
      <c r="E17" s="12" t="s">
        <v>6473</v>
      </c>
      <c r="F17" s="16" t="s">
        <v>6475</v>
      </c>
      <c r="G17" s="16" t="s">
        <v>179</v>
      </c>
      <c r="H17" s="10" t="s">
        <v>145</v>
      </c>
      <c r="I17" s="16" t="s">
        <v>3</v>
      </c>
      <c r="J17" s="14">
        <v>46133</v>
      </c>
      <c r="K17" s="12" t="s">
        <v>6489</v>
      </c>
      <c r="L17" s="20">
        <f>J17+7</f>
        <v>46140</v>
      </c>
      <c r="M17" s="14">
        <v>46146</v>
      </c>
      <c r="N17" s="92">
        <f t="shared" si="5"/>
        <v>6</v>
      </c>
      <c r="O17" s="12" t="s">
        <v>6490</v>
      </c>
      <c r="P17" s="16" t="s">
        <v>5</v>
      </c>
      <c r="Q17" s="20">
        <v>46159</v>
      </c>
      <c r="R17" s="12" t="s">
        <v>6830</v>
      </c>
      <c r="S17" s="20">
        <f t="shared" si="1"/>
        <v>46166</v>
      </c>
      <c r="T17" s="20">
        <v>46177</v>
      </c>
      <c r="U17" s="92">
        <f t="shared" si="2"/>
        <v>11</v>
      </c>
      <c r="V17" s="12" t="s">
        <v>6851</v>
      </c>
      <c r="W17" s="12"/>
      <c r="X17" s="20"/>
      <c r="Y17" s="12"/>
      <c r="Z17" s="20"/>
      <c r="AA17" s="20"/>
      <c r="AB17" s="92"/>
      <c r="AC17" s="12"/>
      <c r="AD17" s="12"/>
      <c r="AE17" s="20"/>
      <c r="AF17" s="12"/>
      <c r="AG17" s="20"/>
      <c r="AH17" s="20"/>
      <c r="AI17" s="92"/>
      <c r="AJ17" s="12"/>
      <c r="AK17" s="10"/>
      <c r="AL17" s="14"/>
      <c r="AM17" s="12"/>
      <c r="AN17" s="12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2"/>
      <c r="BF17" s="473"/>
    </row>
    <row r="18" spans="1:58" s="381" customFormat="1" ht="42" customHeight="1" x14ac:dyDescent="0.25">
      <c r="A18" s="367">
        <v>310002</v>
      </c>
      <c r="B18" s="16" t="s">
        <v>5</v>
      </c>
      <c r="C18" s="56" t="s">
        <v>588</v>
      </c>
      <c r="D18" s="12" t="s">
        <v>3365</v>
      </c>
      <c r="E18" s="12" t="s">
        <v>3285</v>
      </c>
      <c r="F18" s="16" t="s">
        <v>3366</v>
      </c>
      <c r="G18" s="16" t="s">
        <v>179</v>
      </c>
      <c r="H18" s="10" t="s">
        <v>145</v>
      </c>
      <c r="I18" s="16" t="s">
        <v>18</v>
      </c>
      <c r="J18" s="14">
        <v>45804</v>
      </c>
      <c r="K18" s="12" t="s">
        <v>3367</v>
      </c>
      <c r="L18" s="20">
        <f t="shared" si="0"/>
        <v>45811</v>
      </c>
      <c r="M18" s="14">
        <v>45832</v>
      </c>
      <c r="N18" s="92">
        <f t="shared" si="5"/>
        <v>21</v>
      </c>
      <c r="O18" s="12" t="s">
        <v>3377</v>
      </c>
      <c r="P18" s="16" t="s">
        <v>18</v>
      </c>
      <c r="Q18" s="20">
        <v>46046</v>
      </c>
      <c r="R18" s="12" t="s">
        <v>5646</v>
      </c>
      <c r="S18" s="20">
        <f t="shared" si="1"/>
        <v>46053</v>
      </c>
      <c r="T18" s="20">
        <v>46053</v>
      </c>
      <c r="U18" s="92">
        <f t="shared" si="2"/>
        <v>0</v>
      </c>
      <c r="V18" s="12" t="s">
        <v>5696</v>
      </c>
      <c r="W18" s="12" t="s">
        <v>5</v>
      </c>
      <c r="X18" s="20">
        <v>46060</v>
      </c>
      <c r="Y18" s="12" t="s">
        <v>5773</v>
      </c>
      <c r="Z18" s="20">
        <f t="shared" si="3"/>
        <v>46067</v>
      </c>
      <c r="AA18" s="20">
        <v>46063</v>
      </c>
      <c r="AB18" s="92">
        <f t="shared" si="4"/>
        <v>-4</v>
      </c>
      <c r="AC18" s="12" t="s">
        <v>5787</v>
      </c>
      <c r="AD18" s="12"/>
      <c r="AE18" s="20"/>
      <c r="AF18" s="12"/>
      <c r="AG18" s="12"/>
      <c r="AH18" s="20"/>
      <c r="AI18" s="149"/>
      <c r="AJ18" s="12"/>
      <c r="AK18" s="10"/>
      <c r="AL18" s="14"/>
      <c r="AM18" s="12"/>
      <c r="AN18" s="12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2"/>
      <c r="BF18" s="473" t="s">
        <v>3083</v>
      </c>
    </row>
    <row r="19" spans="1:58" s="381" customFormat="1" ht="42" customHeight="1" x14ac:dyDescent="0.25">
      <c r="A19" s="367">
        <v>310002</v>
      </c>
      <c r="B19" s="16" t="s">
        <v>5</v>
      </c>
      <c r="C19" s="56" t="s">
        <v>208</v>
      </c>
      <c r="D19" s="12" t="s">
        <v>6171</v>
      </c>
      <c r="E19" s="12" t="s">
        <v>6172</v>
      </c>
      <c r="F19" s="16" t="s">
        <v>6176</v>
      </c>
      <c r="G19" s="16" t="s">
        <v>179</v>
      </c>
      <c r="H19" s="10" t="s">
        <v>145</v>
      </c>
      <c r="I19" s="16" t="s">
        <v>18</v>
      </c>
      <c r="J19" s="14">
        <v>46111</v>
      </c>
      <c r="K19" s="12" t="s">
        <v>6177</v>
      </c>
      <c r="L19" s="20">
        <f t="shared" si="0"/>
        <v>46118</v>
      </c>
      <c r="M19" s="14">
        <v>46123</v>
      </c>
      <c r="N19" s="92">
        <f t="shared" si="5"/>
        <v>5</v>
      </c>
      <c r="O19" s="12" t="s">
        <v>6202</v>
      </c>
      <c r="P19" s="16" t="s">
        <v>5</v>
      </c>
      <c r="Q19" s="20">
        <v>46127</v>
      </c>
      <c r="R19" s="12" t="s">
        <v>6393</v>
      </c>
      <c r="S19" s="20">
        <f t="shared" si="1"/>
        <v>46134</v>
      </c>
      <c r="T19" s="20">
        <v>46137</v>
      </c>
      <c r="U19" s="92">
        <f t="shared" si="2"/>
        <v>3</v>
      </c>
      <c r="V19" s="12" t="s">
        <v>6430</v>
      </c>
      <c r="W19" s="12"/>
      <c r="X19" s="20"/>
      <c r="Y19" s="12"/>
      <c r="Z19" s="20"/>
      <c r="AA19" s="20"/>
      <c r="AB19" s="92"/>
      <c r="AC19" s="12"/>
      <c r="AD19" s="12"/>
      <c r="AE19" s="20"/>
      <c r="AF19" s="12"/>
      <c r="AG19" s="12"/>
      <c r="AH19" s="20"/>
      <c r="AI19" s="149"/>
      <c r="AJ19" s="12"/>
      <c r="AK19" s="10"/>
      <c r="AL19" s="14"/>
      <c r="AM19" s="12"/>
      <c r="AN19" s="12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2"/>
      <c r="BF19" s="473"/>
    </row>
    <row r="20" spans="1:58" s="381" customFormat="1" ht="42" customHeight="1" x14ac:dyDescent="0.25">
      <c r="A20" s="367">
        <v>310002</v>
      </c>
      <c r="B20" s="16" t="s">
        <v>18</v>
      </c>
      <c r="C20" s="56" t="s">
        <v>588</v>
      </c>
      <c r="D20" s="12" t="s">
        <v>6327</v>
      </c>
      <c r="E20" s="12" t="s">
        <v>6591</v>
      </c>
      <c r="F20" s="16" t="s">
        <v>6328</v>
      </c>
      <c r="G20" s="16" t="s">
        <v>179</v>
      </c>
      <c r="H20" s="10" t="s">
        <v>145</v>
      </c>
      <c r="I20" s="16" t="s">
        <v>3</v>
      </c>
      <c r="J20" s="14">
        <v>46123</v>
      </c>
      <c r="K20" s="12" t="s">
        <v>6330</v>
      </c>
      <c r="L20" s="20">
        <f t="shared" si="0"/>
        <v>46130</v>
      </c>
      <c r="M20" s="14">
        <v>46133</v>
      </c>
      <c r="N20" s="92">
        <f t="shared" si="5"/>
        <v>3</v>
      </c>
      <c r="O20" s="12" t="s">
        <v>6332</v>
      </c>
      <c r="P20" s="16" t="s">
        <v>18</v>
      </c>
      <c r="Q20" s="20">
        <v>46142</v>
      </c>
      <c r="R20" s="12" t="s">
        <v>6594</v>
      </c>
      <c r="S20" s="20">
        <f t="shared" si="1"/>
        <v>46149</v>
      </c>
      <c r="T20" s="20">
        <v>46146</v>
      </c>
      <c r="U20" s="92">
        <f t="shared" si="2"/>
        <v>-3</v>
      </c>
      <c r="V20" s="12" t="s">
        <v>6612</v>
      </c>
      <c r="W20" s="12" t="s">
        <v>18</v>
      </c>
      <c r="X20" s="20">
        <v>46165</v>
      </c>
      <c r="Y20" s="12" t="s">
        <v>6899</v>
      </c>
      <c r="Z20" s="20">
        <f>X20+7</f>
        <v>46172</v>
      </c>
      <c r="AA20" s="20">
        <v>46181</v>
      </c>
      <c r="AB20" s="92">
        <f>AA20-Z20</f>
        <v>9</v>
      </c>
      <c r="AC20" s="12" t="s">
        <v>6909</v>
      </c>
      <c r="AD20" s="12"/>
      <c r="AE20" s="20"/>
      <c r="AF20" s="12"/>
      <c r="AG20" s="12"/>
      <c r="AH20" s="20"/>
      <c r="AI20" s="149"/>
      <c r="AJ20" s="12"/>
      <c r="AK20" s="10"/>
      <c r="AL20" s="14"/>
      <c r="AM20" s="12"/>
      <c r="AN20" s="12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2"/>
      <c r="BF20" s="473"/>
    </row>
    <row r="21" spans="1:58" s="381" customFormat="1" ht="42" customHeight="1" x14ac:dyDescent="0.25">
      <c r="A21" s="367">
        <v>310002</v>
      </c>
      <c r="B21" s="16" t="s">
        <v>3</v>
      </c>
      <c r="C21" s="56" t="s">
        <v>54</v>
      </c>
      <c r="D21" s="12" t="s">
        <v>6747</v>
      </c>
      <c r="E21" s="12" t="s">
        <v>6748</v>
      </c>
      <c r="F21" s="16" t="s">
        <v>6749</v>
      </c>
      <c r="G21" s="16" t="s">
        <v>179</v>
      </c>
      <c r="H21" s="10" t="s">
        <v>145</v>
      </c>
      <c r="I21" s="16" t="s">
        <v>3</v>
      </c>
      <c r="J21" s="14">
        <v>46154</v>
      </c>
      <c r="K21" s="12" t="s">
        <v>6750</v>
      </c>
      <c r="L21" s="20">
        <f t="shared" si="0"/>
        <v>46161</v>
      </c>
      <c r="M21" s="14">
        <v>46165</v>
      </c>
      <c r="N21" s="92">
        <f t="shared" si="5"/>
        <v>4</v>
      </c>
      <c r="O21" s="12" t="s">
        <v>6777</v>
      </c>
      <c r="P21" s="16"/>
      <c r="Q21" s="20"/>
      <c r="R21" s="12"/>
      <c r="S21" s="20"/>
      <c r="T21" s="20"/>
      <c r="U21" s="92"/>
      <c r="V21" s="12"/>
      <c r="W21" s="12"/>
      <c r="X21" s="20"/>
      <c r="Y21" s="12"/>
      <c r="Z21" s="20"/>
      <c r="AA21" s="20"/>
      <c r="AB21" s="92"/>
      <c r="AC21" s="12"/>
      <c r="AD21" s="12"/>
      <c r="AE21" s="20"/>
      <c r="AF21" s="12"/>
      <c r="AG21" s="12"/>
      <c r="AH21" s="20"/>
      <c r="AI21" s="149"/>
      <c r="AJ21" s="12"/>
      <c r="AK21" s="10"/>
      <c r="AL21" s="14"/>
      <c r="AM21" s="12"/>
      <c r="AN21" s="12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2"/>
      <c r="BF21" s="473"/>
    </row>
    <row r="22" spans="1:58" s="381" customFormat="1" ht="42" customHeight="1" x14ac:dyDescent="0.25">
      <c r="A22" s="367">
        <v>310002</v>
      </c>
      <c r="B22" s="16" t="s">
        <v>5</v>
      </c>
      <c r="C22" s="56" t="s">
        <v>588</v>
      </c>
      <c r="D22" s="12" t="s">
        <v>6831</v>
      </c>
      <c r="E22" s="12" t="s">
        <v>6832</v>
      </c>
      <c r="F22" s="16" t="s">
        <v>6891</v>
      </c>
      <c r="G22" s="16" t="s">
        <v>179</v>
      </c>
      <c r="H22" s="10" t="s">
        <v>145</v>
      </c>
      <c r="I22" s="16" t="s">
        <v>3</v>
      </c>
      <c r="J22" s="14">
        <v>46164</v>
      </c>
      <c r="K22" s="12" t="s">
        <v>6892</v>
      </c>
      <c r="L22" s="20">
        <f t="shared" si="0"/>
        <v>46171</v>
      </c>
      <c r="M22" s="14">
        <v>46181</v>
      </c>
      <c r="N22" s="92">
        <f t="shared" si="5"/>
        <v>10</v>
      </c>
      <c r="O22" s="12" t="s">
        <v>6895</v>
      </c>
      <c r="P22" s="16" t="s">
        <v>18</v>
      </c>
      <c r="Q22" s="20">
        <v>46188</v>
      </c>
      <c r="R22" s="12" t="s">
        <v>7000</v>
      </c>
      <c r="S22" s="20">
        <f t="shared" ref="S22:S27" si="6">Q22+7</f>
        <v>46195</v>
      </c>
      <c r="T22" s="20">
        <v>46190</v>
      </c>
      <c r="U22" s="92">
        <f>T22-S22</f>
        <v>-5</v>
      </c>
      <c r="V22" s="12" t="s">
        <v>7009</v>
      </c>
      <c r="W22" s="12" t="s">
        <v>5</v>
      </c>
      <c r="X22" s="20">
        <v>46191</v>
      </c>
      <c r="Y22" s="12" t="s">
        <v>7039</v>
      </c>
      <c r="Z22" s="20">
        <f>X22+7</f>
        <v>46198</v>
      </c>
      <c r="AA22" s="20">
        <v>46195</v>
      </c>
      <c r="AB22" s="92">
        <f>AA22-Z22</f>
        <v>-3</v>
      </c>
      <c r="AC22" s="12" t="s">
        <v>7040</v>
      </c>
      <c r="AD22" s="12"/>
      <c r="AE22" s="20"/>
      <c r="AF22" s="12"/>
      <c r="AG22" s="12"/>
      <c r="AH22" s="20"/>
      <c r="AI22" s="149"/>
      <c r="AJ22" s="12"/>
      <c r="AK22" s="10"/>
      <c r="AL22" s="14"/>
      <c r="AM22" s="12"/>
      <c r="AN22" s="12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2"/>
      <c r="BF22" s="473"/>
    </row>
    <row r="23" spans="1:58" s="381" customFormat="1" ht="42" customHeight="1" x14ac:dyDescent="0.25">
      <c r="A23" s="367">
        <v>100008</v>
      </c>
      <c r="B23" s="16" t="s">
        <v>5</v>
      </c>
      <c r="C23" s="56" t="s">
        <v>725</v>
      </c>
      <c r="D23" s="12" t="s">
        <v>3373</v>
      </c>
      <c r="E23" s="12" t="s">
        <v>3374</v>
      </c>
      <c r="F23" s="16" t="s">
        <v>3375</v>
      </c>
      <c r="G23" s="16" t="s">
        <v>179</v>
      </c>
      <c r="H23" s="10" t="s">
        <v>145</v>
      </c>
      <c r="I23" s="16" t="s">
        <v>18</v>
      </c>
      <c r="J23" s="14">
        <v>45804</v>
      </c>
      <c r="K23" s="12" t="s">
        <v>3376</v>
      </c>
      <c r="L23" s="20">
        <f t="shared" ref="L23:L29" si="7">J23+7</f>
        <v>45811</v>
      </c>
      <c r="M23" s="14">
        <v>45823</v>
      </c>
      <c r="N23" s="92">
        <f t="shared" si="5"/>
        <v>12</v>
      </c>
      <c r="O23" s="12" t="s">
        <v>3397</v>
      </c>
      <c r="P23" s="16" t="s">
        <v>3</v>
      </c>
      <c r="Q23" s="20">
        <v>45868</v>
      </c>
      <c r="R23" s="12" t="s">
        <v>3847</v>
      </c>
      <c r="S23" s="20">
        <f t="shared" si="6"/>
        <v>45875</v>
      </c>
      <c r="T23" s="20">
        <v>45887</v>
      </c>
      <c r="U23" s="92">
        <f t="shared" si="2"/>
        <v>12</v>
      </c>
      <c r="V23" s="12" t="s">
        <v>3860</v>
      </c>
      <c r="W23" s="12" t="s">
        <v>18</v>
      </c>
      <c r="X23" s="20">
        <v>45890</v>
      </c>
      <c r="Y23" s="12" t="s">
        <v>4006</v>
      </c>
      <c r="Z23" s="20">
        <f t="shared" si="3"/>
        <v>45897</v>
      </c>
      <c r="AA23" s="20">
        <v>45896</v>
      </c>
      <c r="AB23" s="92">
        <f t="shared" si="4"/>
        <v>-1</v>
      </c>
      <c r="AC23" s="12" t="s">
        <v>4022</v>
      </c>
      <c r="AD23" s="12" t="s">
        <v>5</v>
      </c>
      <c r="AE23" s="20">
        <v>46048</v>
      </c>
      <c r="AF23" s="12" t="s">
        <v>5662</v>
      </c>
      <c r="AG23" s="20">
        <f>AE23+7</f>
        <v>46055</v>
      </c>
      <c r="AH23" s="20">
        <v>46049</v>
      </c>
      <c r="AI23" s="92">
        <f>AH23-AG23</f>
        <v>-6</v>
      </c>
      <c r="AJ23" s="12" t="s">
        <v>5691</v>
      </c>
      <c r="AK23" s="10"/>
      <c r="AL23" s="14"/>
      <c r="AM23" s="12"/>
      <c r="AN23" s="12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2"/>
      <c r="BF23" s="473" t="s">
        <v>3083</v>
      </c>
    </row>
    <row r="24" spans="1:58" s="381" customFormat="1" ht="42" customHeight="1" x14ac:dyDescent="0.25">
      <c r="A24" s="367">
        <v>100008</v>
      </c>
      <c r="B24" s="16" t="s">
        <v>5</v>
      </c>
      <c r="C24" s="56" t="s">
        <v>725</v>
      </c>
      <c r="D24" s="12" t="s">
        <v>3390</v>
      </c>
      <c r="E24" s="12" t="s">
        <v>3391</v>
      </c>
      <c r="F24" s="16" t="s">
        <v>4017</v>
      </c>
      <c r="G24" s="16" t="s">
        <v>179</v>
      </c>
      <c r="H24" s="10" t="s">
        <v>145</v>
      </c>
      <c r="I24" s="16" t="s">
        <v>3</v>
      </c>
      <c r="J24" s="14">
        <v>45805</v>
      </c>
      <c r="K24" s="12" t="s">
        <v>3392</v>
      </c>
      <c r="L24" s="20">
        <f t="shared" si="7"/>
        <v>45812</v>
      </c>
      <c r="M24" s="14">
        <v>45832</v>
      </c>
      <c r="N24" s="92">
        <f t="shared" si="5"/>
        <v>20</v>
      </c>
      <c r="O24" s="12" t="s">
        <v>3399</v>
      </c>
      <c r="P24" s="16" t="s">
        <v>3</v>
      </c>
      <c r="Q24" s="20">
        <v>45865</v>
      </c>
      <c r="R24" s="150" t="s">
        <v>3814</v>
      </c>
      <c r="S24" s="20">
        <f t="shared" si="6"/>
        <v>45872</v>
      </c>
      <c r="T24" s="20">
        <v>45874</v>
      </c>
      <c r="U24" s="92">
        <f t="shared" si="2"/>
        <v>2</v>
      </c>
      <c r="V24" s="12" t="s">
        <v>3813</v>
      </c>
      <c r="W24" s="12" t="s">
        <v>18</v>
      </c>
      <c r="X24" s="20">
        <v>45892</v>
      </c>
      <c r="Y24" s="12" t="s">
        <v>4018</v>
      </c>
      <c r="Z24" s="20">
        <f t="shared" si="3"/>
        <v>45899</v>
      </c>
      <c r="AA24" s="20">
        <v>45902</v>
      </c>
      <c r="AB24" s="92">
        <f t="shared" si="4"/>
        <v>3</v>
      </c>
      <c r="AC24" s="12" t="s">
        <v>4039</v>
      </c>
      <c r="AD24" s="12" t="s">
        <v>5</v>
      </c>
      <c r="AE24" s="20">
        <v>46037</v>
      </c>
      <c r="AF24" s="12" t="s">
        <v>5575</v>
      </c>
      <c r="AG24" s="20">
        <f>AE24+7</f>
        <v>46044</v>
      </c>
      <c r="AH24" s="20">
        <v>46046</v>
      </c>
      <c r="AI24" s="92">
        <f>AH24-AG24</f>
        <v>2</v>
      </c>
      <c r="AJ24" s="12" t="s">
        <v>5578</v>
      </c>
      <c r="AK24" s="10"/>
      <c r="AL24" s="14"/>
      <c r="AM24" s="12"/>
      <c r="AN24" s="12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2"/>
      <c r="BF24" s="473" t="s">
        <v>3083</v>
      </c>
    </row>
    <row r="25" spans="1:58" s="381" customFormat="1" ht="42" customHeight="1" x14ac:dyDescent="0.25">
      <c r="A25" s="367">
        <v>100008</v>
      </c>
      <c r="B25" s="22" t="s">
        <v>5</v>
      </c>
      <c r="C25" s="56" t="s">
        <v>208</v>
      </c>
      <c r="D25" s="12" t="s">
        <v>3408</v>
      </c>
      <c r="E25" s="12" t="s">
        <v>3409</v>
      </c>
      <c r="F25" s="16" t="s">
        <v>3411</v>
      </c>
      <c r="G25" s="16" t="s">
        <v>179</v>
      </c>
      <c r="H25" s="10" t="s">
        <v>145</v>
      </c>
      <c r="I25" s="23" t="s">
        <v>3</v>
      </c>
      <c r="J25" s="14">
        <v>45808</v>
      </c>
      <c r="K25" s="12" t="s">
        <v>3410</v>
      </c>
      <c r="L25" s="20">
        <f t="shared" si="7"/>
        <v>45815</v>
      </c>
      <c r="M25" s="14">
        <v>45832</v>
      </c>
      <c r="N25" s="92">
        <f t="shared" si="5"/>
        <v>17</v>
      </c>
      <c r="O25" s="12" t="s">
        <v>3418</v>
      </c>
      <c r="P25" s="22" t="s">
        <v>5</v>
      </c>
      <c r="Q25" s="20">
        <v>45859</v>
      </c>
      <c r="R25" s="150" t="s">
        <v>3741</v>
      </c>
      <c r="S25" s="20">
        <f t="shared" si="6"/>
        <v>45866</v>
      </c>
      <c r="T25" s="20">
        <v>45862</v>
      </c>
      <c r="U25" s="92">
        <f t="shared" si="2"/>
        <v>-4</v>
      </c>
      <c r="V25" s="12" t="s">
        <v>3759</v>
      </c>
      <c r="W25" s="12"/>
      <c r="X25" s="20"/>
      <c r="Y25" s="12"/>
      <c r="Z25" s="12"/>
      <c r="AA25" s="20"/>
      <c r="AB25" s="20"/>
      <c r="AC25" s="12"/>
      <c r="AD25" s="12"/>
      <c r="AE25" s="20"/>
      <c r="AF25" s="12"/>
      <c r="AG25" s="12"/>
      <c r="AH25" s="20"/>
      <c r="AI25" s="20"/>
      <c r="AJ25" s="12"/>
      <c r="AK25" s="10"/>
      <c r="AL25" s="14"/>
      <c r="AM25" s="12"/>
      <c r="AN25" s="12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2"/>
      <c r="BF25" s="473" t="s">
        <v>2803</v>
      </c>
    </row>
    <row r="26" spans="1:58" s="381" customFormat="1" ht="42" customHeight="1" x14ac:dyDescent="0.25">
      <c r="A26" s="367">
        <v>100008</v>
      </c>
      <c r="B26" s="16" t="s">
        <v>5</v>
      </c>
      <c r="C26" s="56" t="s">
        <v>725</v>
      </c>
      <c r="D26" s="12" t="s">
        <v>3480</v>
      </c>
      <c r="E26" s="12" t="s">
        <v>3481</v>
      </c>
      <c r="F26" s="16" t="s">
        <v>3951</v>
      </c>
      <c r="G26" s="16" t="s">
        <v>179</v>
      </c>
      <c r="H26" s="10" t="s">
        <v>145</v>
      </c>
      <c r="I26" s="23" t="s">
        <v>3</v>
      </c>
      <c r="J26" s="14">
        <v>45812</v>
      </c>
      <c r="K26" s="12" t="s">
        <v>3482</v>
      </c>
      <c r="L26" s="20">
        <f t="shared" si="7"/>
        <v>45819</v>
      </c>
      <c r="M26" s="14">
        <v>45832</v>
      </c>
      <c r="N26" s="92">
        <f t="shared" si="5"/>
        <v>13</v>
      </c>
      <c r="O26" s="12" t="s">
        <v>3484</v>
      </c>
      <c r="P26" s="22" t="s">
        <v>3</v>
      </c>
      <c r="Q26" s="20">
        <v>45854</v>
      </c>
      <c r="R26" s="150" t="s">
        <v>3683</v>
      </c>
      <c r="S26" s="20">
        <f t="shared" si="6"/>
        <v>45861</v>
      </c>
      <c r="T26" s="20">
        <v>45866</v>
      </c>
      <c r="U26" s="92">
        <f t="shared" si="2"/>
        <v>5</v>
      </c>
      <c r="V26" s="12" t="s">
        <v>3691</v>
      </c>
      <c r="W26" s="12" t="s">
        <v>18</v>
      </c>
      <c r="X26" s="20">
        <v>45885</v>
      </c>
      <c r="Y26" s="12" t="s">
        <v>3952</v>
      </c>
      <c r="Z26" s="20">
        <f>X26+7</f>
        <v>45892</v>
      </c>
      <c r="AA26" s="20">
        <v>45896</v>
      </c>
      <c r="AB26" s="92">
        <f>AA26-Z26</f>
        <v>4</v>
      </c>
      <c r="AC26" s="12" t="s">
        <v>3968</v>
      </c>
      <c r="AD26" s="12" t="s">
        <v>5</v>
      </c>
      <c r="AE26" s="20">
        <v>46035</v>
      </c>
      <c r="AF26" s="12" t="s">
        <v>5550</v>
      </c>
      <c r="AG26" s="20">
        <f>AE26+7</f>
        <v>46042</v>
      </c>
      <c r="AH26" s="20">
        <v>46046</v>
      </c>
      <c r="AI26" s="92">
        <f>AH26-AG26</f>
        <v>4</v>
      </c>
      <c r="AJ26" s="12" t="s">
        <v>5567</v>
      </c>
      <c r="AK26" s="10"/>
      <c r="AL26" s="14"/>
      <c r="AM26" s="12"/>
      <c r="AN26" s="12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2"/>
      <c r="BF26" s="473"/>
    </row>
    <row r="27" spans="1:58" s="381" customFormat="1" ht="42" customHeight="1" x14ac:dyDescent="0.25">
      <c r="A27" s="367">
        <v>100008</v>
      </c>
      <c r="B27" s="22" t="s">
        <v>5</v>
      </c>
      <c r="C27" s="56" t="s">
        <v>588</v>
      </c>
      <c r="D27" s="12" t="s">
        <v>4013</v>
      </c>
      <c r="E27" s="12" t="s">
        <v>4014</v>
      </c>
      <c r="F27" s="16" t="s">
        <v>4015</v>
      </c>
      <c r="G27" s="16" t="s">
        <v>179</v>
      </c>
      <c r="H27" s="10" t="s">
        <v>145</v>
      </c>
      <c r="I27" s="16" t="s">
        <v>3</v>
      </c>
      <c r="J27" s="14">
        <v>45892</v>
      </c>
      <c r="K27" s="12" t="s">
        <v>4016</v>
      </c>
      <c r="L27" s="20">
        <f t="shared" si="7"/>
        <v>45899</v>
      </c>
      <c r="M27" s="14">
        <v>45902</v>
      </c>
      <c r="N27" s="92">
        <f t="shared" si="5"/>
        <v>3</v>
      </c>
      <c r="O27" s="12" t="s">
        <v>4038</v>
      </c>
      <c r="P27" s="16" t="s">
        <v>18</v>
      </c>
      <c r="Q27" s="20">
        <v>45915</v>
      </c>
      <c r="R27" s="12" t="s">
        <v>4191</v>
      </c>
      <c r="S27" s="20">
        <f t="shared" si="6"/>
        <v>45922</v>
      </c>
      <c r="T27" s="20">
        <v>45920</v>
      </c>
      <c r="U27" s="92">
        <f t="shared" si="2"/>
        <v>-2</v>
      </c>
      <c r="V27" s="12" t="s">
        <v>4198</v>
      </c>
      <c r="W27" s="12" t="s">
        <v>5</v>
      </c>
      <c r="X27" s="20">
        <v>46032</v>
      </c>
      <c r="Y27" s="12" t="s">
        <v>5542</v>
      </c>
      <c r="Z27" s="20">
        <f>X27+7</f>
        <v>46039</v>
      </c>
      <c r="AA27" s="20">
        <v>46033</v>
      </c>
      <c r="AB27" s="92">
        <f>AA27-Z27</f>
        <v>-6</v>
      </c>
      <c r="AC27" s="12" t="s">
        <v>5544</v>
      </c>
      <c r="AD27" s="12"/>
      <c r="AE27" s="20"/>
      <c r="AF27" s="12"/>
      <c r="AG27" s="12"/>
      <c r="AH27" s="20"/>
      <c r="AI27" s="20"/>
      <c r="AJ27" s="12"/>
      <c r="AK27" s="10"/>
      <c r="AL27" s="14"/>
      <c r="AM27" s="12"/>
      <c r="AN27" s="12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2"/>
      <c r="BF27" s="473"/>
    </row>
    <row r="28" spans="1:58" s="381" customFormat="1" ht="42" customHeight="1" x14ac:dyDescent="0.25">
      <c r="A28" s="367">
        <v>100008</v>
      </c>
      <c r="B28" s="88" t="s">
        <v>508</v>
      </c>
      <c r="C28" s="56" t="s">
        <v>627</v>
      </c>
      <c r="D28" s="12" t="s">
        <v>4325</v>
      </c>
      <c r="E28" s="12" t="s">
        <v>4326</v>
      </c>
      <c r="F28" s="16" t="s">
        <v>4327</v>
      </c>
      <c r="G28" s="16" t="s">
        <v>179</v>
      </c>
      <c r="H28" s="10" t="s">
        <v>145</v>
      </c>
      <c r="I28" s="16" t="s">
        <v>3</v>
      </c>
      <c r="J28" s="14">
        <v>45928</v>
      </c>
      <c r="K28" s="12" t="s">
        <v>4328</v>
      </c>
      <c r="L28" s="20">
        <f t="shared" si="7"/>
        <v>45935</v>
      </c>
      <c r="M28" s="14">
        <v>45941</v>
      </c>
      <c r="N28" s="92">
        <f>M28-L28</f>
        <v>6</v>
      </c>
      <c r="O28" s="12" t="s">
        <v>4330</v>
      </c>
      <c r="P28" s="16" t="s">
        <v>508</v>
      </c>
      <c r="Q28" s="20">
        <v>46013</v>
      </c>
      <c r="R28" s="12" t="s">
        <v>5361</v>
      </c>
      <c r="S28" s="12" t="s">
        <v>626</v>
      </c>
      <c r="T28" s="12" t="s">
        <v>626</v>
      </c>
      <c r="U28" s="12" t="s">
        <v>626</v>
      </c>
      <c r="V28" s="12" t="s">
        <v>626</v>
      </c>
      <c r="W28" s="12"/>
      <c r="X28" s="20"/>
      <c r="Y28" s="12"/>
      <c r="Z28" s="12"/>
      <c r="AA28" s="20"/>
      <c r="AB28" s="20"/>
      <c r="AC28" s="12"/>
      <c r="AD28" s="12"/>
      <c r="AE28" s="20"/>
      <c r="AF28" s="12"/>
      <c r="AG28" s="12"/>
      <c r="AH28" s="20"/>
      <c r="AI28" s="20"/>
      <c r="AJ28" s="12"/>
      <c r="AK28" s="10"/>
      <c r="AL28" s="14"/>
      <c r="AM28" s="12"/>
      <c r="AN28" s="12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2"/>
      <c r="BF28" s="473"/>
    </row>
    <row r="29" spans="1:58" s="381" customFormat="1" ht="42" customHeight="1" x14ac:dyDescent="0.25">
      <c r="A29" s="367">
        <v>100008</v>
      </c>
      <c r="B29" s="16" t="s">
        <v>5</v>
      </c>
      <c r="C29" s="56" t="s">
        <v>588</v>
      </c>
      <c r="D29" s="12" t="s">
        <v>4439</v>
      </c>
      <c r="E29" s="12" t="s">
        <v>4440</v>
      </c>
      <c r="F29" s="16" t="s">
        <v>6065</v>
      </c>
      <c r="G29" s="10" t="s">
        <v>179</v>
      </c>
      <c r="H29" s="10" t="s">
        <v>145</v>
      </c>
      <c r="I29" s="16" t="s">
        <v>18</v>
      </c>
      <c r="J29" s="14">
        <v>45941</v>
      </c>
      <c r="K29" s="12" t="s">
        <v>4441</v>
      </c>
      <c r="L29" s="20">
        <f t="shared" si="7"/>
        <v>45948</v>
      </c>
      <c r="M29" s="14">
        <v>45955</v>
      </c>
      <c r="N29" s="92">
        <f t="shared" ref="N29:N34" si="8">M29-L29</f>
        <v>7</v>
      </c>
      <c r="O29" s="12" t="s">
        <v>4452</v>
      </c>
      <c r="P29" s="16" t="s">
        <v>18</v>
      </c>
      <c r="Q29" s="20">
        <v>46051</v>
      </c>
      <c r="R29" s="12" t="s">
        <v>5695</v>
      </c>
      <c r="S29" s="20">
        <f t="shared" ref="S29:S34" si="9">Q29+7</f>
        <v>46058</v>
      </c>
      <c r="T29" s="20">
        <v>46067</v>
      </c>
      <c r="U29" s="92">
        <f t="shared" ref="U29:U34" si="10">T29-S29</f>
        <v>9</v>
      </c>
      <c r="V29" s="12" t="s">
        <v>5699</v>
      </c>
      <c r="W29" s="12" t="s">
        <v>5</v>
      </c>
      <c r="X29" s="20">
        <v>46096</v>
      </c>
      <c r="Y29" s="12" t="s">
        <v>6066</v>
      </c>
      <c r="Z29" s="20">
        <f>X29+7</f>
        <v>46103</v>
      </c>
      <c r="AA29" s="20">
        <v>46106</v>
      </c>
      <c r="AB29" s="92">
        <f>AA29-Z29</f>
        <v>3</v>
      </c>
      <c r="AC29" s="12" t="s">
        <v>6070</v>
      </c>
      <c r="AD29" s="12"/>
      <c r="AE29" s="20"/>
      <c r="AF29" s="12"/>
      <c r="AG29" s="12"/>
      <c r="AH29" s="20"/>
      <c r="AI29" s="20"/>
      <c r="AJ29" s="12"/>
      <c r="AK29" s="10"/>
      <c r="AL29" s="14"/>
      <c r="AM29" s="12"/>
      <c r="AN29" s="12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2"/>
      <c r="BF29" s="473" t="s">
        <v>4512</v>
      </c>
    </row>
    <row r="30" spans="1:58" s="381" customFormat="1" ht="42" customHeight="1" x14ac:dyDescent="0.25">
      <c r="A30" s="367">
        <v>100008</v>
      </c>
      <c r="B30" s="16" t="s">
        <v>5</v>
      </c>
      <c r="C30" s="56" t="s">
        <v>208</v>
      </c>
      <c r="D30" s="12" t="s">
        <v>4510</v>
      </c>
      <c r="E30" s="12" t="s">
        <v>4511</v>
      </c>
      <c r="F30" s="16" t="s">
        <v>4509</v>
      </c>
      <c r="G30" s="10" t="s">
        <v>179</v>
      </c>
      <c r="H30" s="10" t="s">
        <v>145</v>
      </c>
      <c r="I30" s="16" t="s">
        <v>18</v>
      </c>
      <c r="J30" s="14">
        <v>45948</v>
      </c>
      <c r="K30" s="12" t="s">
        <v>4513</v>
      </c>
      <c r="L30" s="14">
        <f>J30+7</f>
        <v>45955</v>
      </c>
      <c r="M30" s="14">
        <v>45965</v>
      </c>
      <c r="N30" s="92">
        <f t="shared" si="8"/>
        <v>10</v>
      </c>
      <c r="O30" s="10" t="s">
        <v>4520</v>
      </c>
      <c r="P30" s="12" t="s">
        <v>5</v>
      </c>
      <c r="Q30" s="21">
        <v>45978</v>
      </c>
      <c r="R30" s="10" t="s">
        <v>4952</v>
      </c>
      <c r="S30" s="20">
        <f t="shared" si="9"/>
        <v>45985</v>
      </c>
      <c r="T30" s="20">
        <v>45988</v>
      </c>
      <c r="U30" s="92">
        <f t="shared" si="10"/>
        <v>3</v>
      </c>
      <c r="V30" s="10" t="s">
        <v>4976</v>
      </c>
      <c r="W30" s="10"/>
      <c r="X30" s="21"/>
      <c r="Y30" s="10"/>
      <c r="Z30" s="10"/>
      <c r="AA30" s="21"/>
      <c r="AB30" s="21"/>
      <c r="AC30" s="10"/>
      <c r="AD30" s="10"/>
      <c r="AE30" s="21"/>
      <c r="AF30" s="10"/>
      <c r="AG30" s="10"/>
      <c r="AH30" s="21"/>
      <c r="AI30" s="21"/>
      <c r="AJ30" s="10"/>
      <c r="AK30" s="10"/>
      <c r="AL30" s="17"/>
      <c r="AM30" s="11"/>
      <c r="AN30" s="11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1"/>
      <c r="BF30" s="473" t="s">
        <v>4512</v>
      </c>
    </row>
    <row r="31" spans="1:58" s="381" customFormat="1" ht="42" customHeight="1" x14ac:dyDescent="0.25">
      <c r="A31" s="367">
        <v>100008</v>
      </c>
      <c r="B31" s="16" t="s">
        <v>5</v>
      </c>
      <c r="C31" s="56" t="s">
        <v>725</v>
      </c>
      <c r="D31" s="12" t="s">
        <v>4542</v>
      </c>
      <c r="E31" s="12" t="s">
        <v>4543</v>
      </c>
      <c r="F31" s="16" t="s">
        <v>4544</v>
      </c>
      <c r="G31" s="10" t="s">
        <v>179</v>
      </c>
      <c r="H31" s="10" t="s">
        <v>145</v>
      </c>
      <c r="I31" s="16" t="s">
        <v>3</v>
      </c>
      <c r="J31" s="14">
        <v>45951</v>
      </c>
      <c r="K31" s="12" t="s">
        <v>4545</v>
      </c>
      <c r="L31" s="14">
        <f>J31+7</f>
        <v>45958</v>
      </c>
      <c r="M31" s="14">
        <v>45965</v>
      </c>
      <c r="N31" s="92">
        <f t="shared" si="8"/>
        <v>7</v>
      </c>
      <c r="O31" s="10" t="s">
        <v>4557</v>
      </c>
      <c r="P31" s="12" t="s">
        <v>18</v>
      </c>
      <c r="Q31" s="21">
        <v>46048</v>
      </c>
      <c r="R31" s="10" t="s">
        <v>5679</v>
      </c>
      <c r="S31" s="20">
        <f t="shared" si="9"/>
        <v>46055</v>
      </c>
      <c r="T31" s="21">
        <v>46057</v>
      </c>
      <c r="U31" s="92">
        <f t="shared" si="10"/>
        <v>2</v>
      </c>
      <c r="V31" s="10" t="s">
        <v>5692</v>
      </c>
      <c r="W31" s="10" t="s">
        <v>18</v>
      </c>
      <c r="X31" s="21">
        <v>46104</v>
      </c>
      <c r="Y31" s="10" t="s">
        <v>6113</v>
      </c>
      <c r="Z31" s="20">
        <f>X31+7</f>
        <v>46111</v>
      </c>
      <c r="AA31" s="20">
        <v>46107</v>
      </c>
      <c r="AB31" s="92">
        <f>AA31-Z31</f>
        <v>-4</v>
      </c>
      <c r="AC31" s="12" t="s">
        <v>6112</v>
      </c>
      <c r="AD31" s="10" t="s">
        <v>5</v>
      </c>
      <c r="AE31" s="21">
        <v>46118</v>
      </c>
      <c r="AF31" s="10" t="s">
        <v>6266</v>
      </c>
      <c r="AG31" s="20">
        <f>AE31+7</f>
        <v>46125</v>
      </c>
      <c r="AH31" s="20">
        <v>46119</v>
      </c>
      <c r="AI31" s="92">
        <f>AH31-AG31</f>
        <v>-6</v>
      </c>
      <c r="AJ31" s="10" t="s">
        <v>6277</v>
      </c>
      <c r="AK31" s="10"/>
      <c r="AL31" s="17"/>
      <c r="AM31" s="11"/>
      <c r="AN31" s="11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1"/>
      <c r="BF31" s="473" t="s">
        <v>4512</v>
      </c>
    </row>
    <row r="32" spans="1:58" s="381" customFormat="1" ht="42" customHeight="1" x14ac:dyDescent="0.25">
      <c r="A32" s="367">
        <v>100008</v>
      </c>
      <c r="B32" s="16" t="s">
        <v>5</v>
      </c>
      <c r="C32" s="56" t="s">
        <v>208</v>
      </c>
      <c r="D32" s="12" t="s">
        <v>5774</v>
      </c>
      <c r="E32" s="12" t="s">
        <v>5775</v>
      </c>
      <c r="F32" s="16" t="s">
        <v>5776</v>
      </c>
      <c r="G32" s="10" t="s">
        <v>179</v>
      </c>
      <c r="H32" s="10" t="s">
        <v>145</v>
      </c>
      <c r="I32" s="16" t="s">
        <v>18</v>
      </c>
      <c r="J32" s="14">
        <v>46069</v>
      </c>
      <c r="K32" s="12" t="s">
        <v>5857</v>
      </c>
      <c r="L32" s="14">
        <f>J32+7</f>
        <v>46076</v>
      </c>
      <c r="M32" s="14">
        <v>46084</v>
      </c>
      <c r="N32" s="92">
        <f t="shared" si="8"/>
        <v>8</v>
      </c>
      <c r="O32" s="10" t="s">
        <v>5948</v>
      </c>
      <c r="P32" s="12" t="s">
        <v>5</v>
      </c>
      <c r="Q32" s="21">
        <v>46097</v>
      </c>
      <c r="R32" s="10" t="s">
        <v>6078</v>
      </c>
      <c r="S32" s="20">
        <f t="shared" si="9"/>
        <v>46104</v>
      </c>
      <c r="T32" s="21">
        <v>46098</v>
      </c>
      <c r="U32" s="92">
        <f t="shared" si="10"/>
        <v>-6</v>
      </c>
      <c r="V32" s="10" t="s">
        <v>6087</v>
      </c>
      <c r="W32" s="10"/>
      <c r="X32" s="21"/>
      <c r="Y32" s="10"/>
      <c r="Z32" s="10"/>
      <c r="AA32" s="21"/>
      <c r="AB32" s="21"/>
      <c r="AC32" s="10"/>
      <c r="AD32" s="10"/>
      <c r="AE32" s="21"/>
      <c r="AF32" s="10"/>
      <c r="AG32" s="10"/>
      <c r="AH32" s="21"/>
      <c r="AI32" s="21"/>
      <c r="AJ32" s="10"/>
      <c r="AK32" s="10"/>
      <c r="AL32" s="17"/>
      <c r="AM32" s="11"/>
      <c r="AN32" s="11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1"/>
      <c r="BF32" s="473"/>
    </row>
    <row r="33" spans="1:58" s="381" customFormat="1" ht="42" customHeight="1" x14ac:dyDescent="0.25">
      <c r="A33" s="367">
        <v>100008</v>
      </c>
      <c r="B33" s="16" t="s">
        <v>5</v>
      </c>
      <c r="C33" s="56" t="s">
        <v>208</v>
      </c>
      <c r="D33" s="12" t="s">
        <v>5815</v>
      </c>
      <c r="E33" s="12" t="s">
        <v>5816</v>
      </c>
      <c r="F33" s="16" t="s">
        <v>5817</v>
      </c>
      <c r="G33" s="10" t="s">
        <v>179</v>
      </c>
      <c r="H33" s="10" t="s">
        <v>145</v>
      </c>
      <c r="I33" s="16" t="s">
        <v>18</v>
      </c>
      <c r="J33" s="14">
        <v>46064</v>
      </c>
      <c r="K33" s="12" t="s">
        <v>5818</v>
      </c>
      <c r="L33" s="14">
        <f>J33+7</f>
        <v>46071</v>
      </c>
      <c r="M33" s="14">
        <v>46079</v>
      </c>
      <c r="N33" s="92">
        <f t="shared" si="8"/>
        <v>8</v>
      </c>
      <c r="O33" s="10" t="s">
        <v>5841</v>
      </c>
      <c r="P33" s="12" t="s">
        <v>5</v>
      </c>
      <c r="Q33" s="21">
        <v>46096</v>
      </c>
      <c r="R33" s="10" t="s">
        <v>6062</v>
      </c>
      <c r="S33" s="20">
        <f t="shared" si="9"/>
        <v>46103</v>
      </c>
      <c r="T33" s="21">
        <v>46106</v>
      </c>
      <c r="U33" s="92">
        <f t="shared" si="10"/>
        <v>3</v>
      </c>
      <c r="V33" s="10" t="s">
        <v>6071</v>
      </c>
      <c r="W33" s="10"/>
      <c r="X33" s="21"/>
      <c r="Y33" s="10"/>
      <c r="Z33" s="10"/>
      <c r="AA33" s="21"/>
      <c r="AB33" s="21"/>
      <c r="AC33" s="10"/>
      <c r="AD33" s="10"/>
      <c r="AE33" s="21"/>
      <c r="AF33" s="10"/>
      <c r="AG33" s="10"/>
      <c r="AH33" s="21"/>
      <c r="AI33" s="21"/>
      <c r="AJ33" s="10"/>
      <c r="AK33" s="10"/>
      <c r="AL33" s="17"/>
      <c r="AM33" s="11"/>
      <c r="AN33" s="11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1"/>
      <c r="BF33" s="473"/>
    </row>
    <row r="34" spans="1:58" s="381" customFormat="1" ht="42" customHeight="1" x14ac:dyDescent="0.25">
      <c r="A34" s="367">
        <v>150023</v>
      </c>
      <c r="B34" s="16" t="s">
        <v>7528</v>
      </c>
      <c r="C34" s="56" t="s">
        <v>588</v>
      </c>
      <c r="D34" s="12" t="s">
        <v>4517</v>
      </c>
      <c r="E34" s="12" t="s">
        <v>4516</v>
      </c>
      <c r="F34" s="16" t="s">
        <v>4515</v>
      </c>
      <c r="G34" s="10" t="s">
        <v>179</v>
      </c>
      <c r="H34" s="10" t="s">
        <v>145</v>
      </c>
      <c r="I34" s="16" t="s">
        <v>3</v>
      </c>
      <c r="J34" s="14">
        <v>45949</v>
      </c>
      <c r="K34" s="13" t="s">
        <v>4518</v>
      </c>
      <c r="L34" s="14">
        <f>J34+7</f>
        <v>45956</v>
      </c>
      <c r="M34" s="14">
        <v>45965</v>
      </c>
      <c r="N34" s="92">
        <f t="shared" si="8"/>
        <v>9</v>
      </c>
      <c r="O34" s="10" t="s">
        <v>4522</v>
      </c>
      <c r="P34" s="10" t="s">
        <v>18</v>
      </c>
      <c r="Q34" s="21">
        <v>45970</v>
      </c>
      <c r="R34" s="10" t="s">
        <v>4798</v>
      </c>
      <c r="S34" s="20">
        <f t="shared" si="9"/>
        <v>45977</v>
      </c>
      <c r="T34" s="21">
        <v>45987</v>
      </c>
      <c r="U34" s="92">
        <f t="shared" si="10"/>
        <v>10</v>
      </c>
      <c r="V34" s="10" t="s">
        <v>4838</v>
      </c>
      <c r="W34" s="10" t="s">
        <v>7528</v>
      </c>
      <c r="X34" s="21">
        <v>46265</v>
      </c>
      <c r="Y34" s="10" t="s">
        <v>7566</v>
      </c>
      <c r="Z34" s="20">
        <f>X34+7</f>
        <v>46272</v>
      </c>
      <c r="AA34" s="20"/>
      <c r="AB34" s="92">
        <f>AA34-Z34</f>
        <v>-46272</v>
      </c>
      <c r="AC34" s="10"/>
      <c r="AD34" s="10"/>
      <c r="AE34" s="21"/>
      <c r="AF34" s="10"/>
      <c r="AG34" s="10"/>
      <c r="AH34" s="21"/>
      <c r="AI34" s="21"/>
      <c r="AJ34" s="10"/>
      <c r="AK34" s="10"/>
      <c r="AL34" s="17"/>
      <c r="AM34" s="11"/>
      <c r="AN34" s="11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1"/>
      <c r="BF34" s="473"/>
    </row>
    <row r="35" spans="1:58" s="381" customFormat="1" ht="42" customHeight="1" thickBot="1" x14ac:dyDescent="0.3">
      <c r="A35" s="369"/>
      <c r="B35" s="262"/>
      <c r="C35" s="371"/>
      <c r="D35" s="370"/>
      <c r="E35" s="370"/>
      <c r="F35" s="477"/>
      <c r="G35" s="263"/>
      <c r="H35" s="263"/>
      <c r="I35" s="262"/>
      <c r="J35" s="474"/>
      <c r="K35" s="373"/>
      <c r="L35" s="373"/>
      <c r="M35" s="474"/>
      <c r="N35" s="425"/>
      <c r="O35" s="263"/>
      <c r="P35" s="263"/>
      <c r="Q35" s="374"/>
      <c r="R35" s="263"/>
      <c r="S35" s="263"/>
      <c r="T35" s="374"/>
      <c r="U35" s="375"/>
      <c r="V35" s="263"/>
      <c r="W35" s="263"/>
      <c r="X35" s="374"/>
      <c r="Y35" s="263"/>
      <c r="Z35" s="263"/>
      <c r="AA35" s="374"/>
      <c r="AB35" s="374"/>
      <c r="AC35" s="263"/>
      <c r="AD35" s="263"/>
      <c r="AE35" s="374"/>
      <c r="AF35" s="263"/>
      <c r="AG35" s="263"/>
      <c r="AH35" s="374"/>
      <c r="AI35" s="374"/>
      <c r="AJ35" s="263"/>
      <c r="AK35" s="263"/>
      <c r="AL35" s="376"/>
      <c r="AM35" s="371"/>
      <c r="AN35" s="371"/>
      <c r="AO35" s="376"/>
      <c r="AP35" s="376"/>
      <c r="AQ35" s="376"/>
      <c r="AR35" s="376"/>
      <c r="AS35" s="376"/>
      <c r="AT35" s="376"/>
      <c r="AU35" s="376"/>
      <c r="AV35" s="376"/>
      <c r="AW35" s="376"/>
      <c r="AX35" s="376"/>
      <c r="AY35" s="376"/>
      <c r="AZ35" s="376"/>
      <c r="BA35" s="376"/>
      <c r="BB35" s="376"/>
      <c r="BC35" s="376"/>
      <c r="BD35" s="376"/>
      <c r="BE35" s="371"/>
      <c r="BF35" s="475"/>
    </row>
  </sheetData>
  <autoFilter ref="A11:BF11" xr:uid="{00000000-0001-0000-1800-000000000000}"/>
  <mergeCells count="18">
    <mergeCell ref="H1:H2"/>
    <mergeCell ref="I1:I2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  <mergeCell ref="A10:A11"/>
    <mergeCell ref="G10:G11"/>
    <mergeCell ref="B10:B11"/>
    <mergeCell ref="C10:C11"/>
    <mergeCell ref="D10:D11"/>
    <mergeCell ref="E10:E11"/>
    <mergeCell ref="F10:F11"/>
  </mergeCells>
  <phoneticPr fontId="5" type="noConversion"/>
  <conditionalFormatting sqref="A35:E35 G35:XFD35">
    <cfRule type="cellIs" dxfId="2437" priority="104" operator="equal">
      <formula>"B- Incorporate Comments - Proceed"</formula>
    </cfRule>
    <cfRule type="cellIs" dxfId="2436" priority="102" operator="equal">
      <formula>"E - Review not Required - Proceed"</formula>
    </cfRule>
    <cfRule type="cellIs" dxfId="2435" priority="103" operator="equal">
      <formula>"D - Rejected"</formula>
    </cfRule>
    <cfRule type="cellIs" dxfId="2434" priority="105" operator="equal">
      <formula>"C - Revise and Resubmit - Do Not Proceed"</formula>
    </cfRule>
  </conditionalFormatting>
  <conditionalFormatting sqref="A13:K17">
    <cfRule type="cellIs" dxfId="2433" priority="2" operator="equal">
      <formula>"D - Rejected"</formula>
    </cfRule>
    <cfRule type="cellIs" dxfId="2432" priority="3" operator="equal">
      <formula>"B- Incorporate Comments - Proceed"</formula>
    </cfRule>
    <cfRule type="cellIs" dxfId="2431" priority="4" operator="equal">
      <formula>"C - Revise and Resubmit - Do Not Proceed"</formula>
    </cfRule>
    <cfRule type="cellIs" dxfId="2430" priority="1" operator="equal">
      <formula>"E - Review not Required - Proceed"</formula>
    </cfRule>
  </conditionalFormatting>
  <conditionalFormatting sqref="A23:Q24 A35:E35 G35:XFD35">
    <cfRule type="cellIs" dxfId="2429" priority="245" operator="equal">
      <formula>"A - Work May Proceed"</formula>
    </cfRule>
  </conditionalFormatting>
  <conditionalFormatting sqref="A23:Q26 C27">
    <cfRule type="cellIs" dxfId="2428" priority="74" operator="equal">
      <formula>"E - Review not Required - Proceed"</formula>
    </cfRule>
    <cfRule type="cellIs" dxfId="2427" priority="75" operator="equal">
      <formula>"D - Rejected"</formula>
    </cfRule>
    <cfRule type="cellIs" dxfId="2426" priority="76" operator="equal">
      <formula>"B- Incorporate Comments - Proceed"</formula>
    </cfRule>
    <cfRule type="cellIs" dxfId="2425" priority="77" operator="equal">
      <formula>"C - Revise and Resubmit - Do Not Proceed"</formula>
    </cfRule>
  </conditionalFormatting>
  <conditionalFormatting sqref="A12:XFD12 R16:R23 O18:AH22 AJ18:XFD22">
    <cfRule type="cellIs" dxfId="2424" priority="40" operator="equal">
      <formula>"D - Rejected"</formula>
    </cfRule>
    <cfRule type="cellIs" dxfId="2423" priority="41" operator="equal">
      <formula>"B- Incorporate Comments - Proceed"</formula>
    </cfRule>
    <cfRule type="cellIs" dxfId="2422" priority="42" operator="equal">
      <formula>"C - Revise and Resubmit - Do Not Proceed"</formula>
    </cfRule>
    <cfRule type="cellIs" dxfId="2421" priority="43" operator="equal">
      <formula>"A - Work May Proceed"</formula>
    </cfRule>
    <cfRule type="cellIs" dxfId="2420" priority="39" operator="equal">
      <formula>"E - Review not Required - Proceed"</formula>
    </cfRule>
  </conditionalFormatting>
  <conditionalFormatting sqref="A27:XFD34">
    <cfRule type="cellIs" dxfId="2419" priority="11" operator="equal">
      <formula>"E - Review not Required - Proceed"</formula>
    </cfRule>
    <cfRule type="cellIs" dxfId="2418" priority="12" operator="equal">
      <formula>"D - Rejected"</formula>
    </cfRule>
    <cfRule type="cellIs" dxfId="2417" priority="13" operator="equal">
      <formula>"B- Incorporate Comments - Proceed"</formula>
    </cfRule>
    <cfRule type="cellIs" dxfId="2416" priority="14" operator="equal">
      <formula>"C - Revise and Resubmit - Do Not Proceed"</formula>
    </cfRule>
  </conditionalFormatting>
  <conditionalFormatting sqref="A28:XFD34">
    <cfRule type="cellIs" dxfId="2415" priority="15" operator="equal">
      <formula>"A - Work May Proceed"</formula>
    </cfRule>
  </conditionalFormatting>
  <conditionalFormatting sqref="B13">
    <cfRule type="cellIs" dxfId="2414" priority="185" stopIfTrue="1" operator="equal">
      <formula>"A - Work May Proceed"</formula>
    </cfRule>
  </conditionalFormatting>
  <conditionalFormatting sqref="B16:B17">
    <cfRule type="cellIs" dxfId="2413" priority="205" stopIfTrue="1" operator="equal">
      <formula>"A - Work May Proceed"</formula>
    </cfRule>
  </conditionalFormatting>
  <conditionalFormatting sqref="B25 B27">
    <cfRule type="cellIs" dxfId="2412" priority="165" stopIfTrue="1" operator="equal">
      <formula>"A - Work May Proceed"</formula>
    </cfRule>
  </conditionalFormatting>
  <conditionalFormatting sqref="B26">
    <cfRule type="cellIs" dxfId="2411" priority="78" operator="equal">
      <formula>"A - Work May Proceed"</formula>
    </cfRule>
  </conditionalFormatting>
  <conditionalFormatting sqref="B27:M27 V12:V17 A13 C13:K13 M13:XFD13 A14:J14 M14:N14 B15:H15 J15 A15:A17 M15:M17 C16:J17 L16:M17 A18:M22 C25:H26 Q25:Q26 A25:A28 F28:H28 D28:D33">
    <cfRule type="cellIs" dxfId="2410" priority="265" operator="equal">
      <formula>"A - Work May Proceed"</formula>
    </cfRule>
  </conditionalFormatting>
  <conditionalFormatting sqref="D11:BE11 B1:G2 W1:XFD9 B3:H4 B9:H9 B10:XFD10 A10:A11 B11">
    <cfRule type="cellIs" dxfId="2409" priority="328" operator="equal">
      <formula>"B- Incorporate Comments - Proceed"</formula>
    </cfRule>
    <cfRule type="cellIs" dxfId="2408" priority="327" operator="equal">
      <formula>"D - Rejected"</formula>
    </cfRule>
    <cfRule type="cellIs" dxfId="2407" priority="326" operator="equal">
      <formula>"E - Review not Required - Proceed"</formula>
    </cfRule>
    <cfRule type="cellIs" dxfId="2406" priority="329" operator="equal">
      <formula>"C - Revise and Resubmit - Do Not Proceed"</formula>
    </cfRule>
    <cfRule type="cellIs" dxfId="2405" priority="330" operator="equal">
      <formula>"A - Work May Proceed"</formula>
    </cfRule>
  </conditionalFormatting>
  <conditionalFormatting sqref="I11">
    <cfRule type="cellIs" dxfId="2404" priority="406" operator="between">
      <formula>"D - Rejected "</formula>
      <formula>"D - Rejected "</formula>
    </cfRule>
    <cfRule type="cellIs" dxfId="2403" priority="405" operator="between">
      <formula>"E - Review not Required - Proceed"</formula>
      <formula>"E - Review not Required - Proceed"</formula>
    </cfRule>
    <cfRule type="cellIs" dxfId="2402" priority="404" operator="between">
      <formula>"B - Incorporate Comments - Proceed"</formula>
      <formula>"B - Incorporate Comments - Proceed"</formula>
    </cfRule>
    <cfRule type="cellIs" dxfId="2401" priority="403" operator="between">
      <formula>"A - Work May Proceed"</formula>
      <formula>"A - Work May Proceed"</formula>
    </cfRule>
    <cfRule type="cellIs" dxfId="2400" priority="402" operator="between">
      <formula>"B - Incorporate Comments - Proceed"</formula>
      <formula>"B - Incorporate Comments - Proceed"</formula>
    </cfRule>
    <cfRule type="cellIs" dxfId="2399" priority="401" operator="between">
      <formula>"C - Revise and Resubmit - Do Not Proceed"</formula>
      <formula>"C - Revise and Resubmit - Do Not Proceed"</formula>
    </cfRule>
    <cfRule type="cellIs" dxfId="2398" priority="400" operator="between">
      <formula>"'D - Rejected "</formula>
      <formula>"'D - Rejected "</formula>
    </cfRule>
    <cfRule type="cellIs" dxfId="2397" priority="399" operator="between">
      <formula>"E - Review not Required - Proceed"</formula>
      <formula>"E - Review not Required - Proceed"</formula>
    </cfRule>
    <cfRule type="cellIs" dxfId="2396" priority="398" operator="equal">
      <formula>"E - Review Not Required - Proceed"</formula>
    </cfRule>
    <cfRule type="cellIs" dxfId="2395" priority="397" operator="equal">
      <formula>"B - Incorporate Comments - Proceed "</formula>
    </cfRule>
    <cfRule type="cellIs" dxfId="2394" priority="396" operator="equal">
      <formula>"For Information"</formula>
    </cfRule>
    <cfRule type="cellIs" dxfId="2393" priority="395" operator="equal">
      <formula>"B - Incorporate Comments - Proceed"</formula>
    </cfRule>
    <cfRule type="cellIs" dxfId="2392" priority="410" stopIfTrue="1" operator="between">
      <formula>"B - Incorporate Comments - Proceed "</formula>
      <formula>"B - Incorporate Comments - Proceed "</formula>
    </cfRule>
    <cfRule type="cellIs" dxfId="2391" priority="409" operator="between">
      <formula>"C - Revise and Resubmit - Do Not Proceed"</formula>
      <formula>"C - Revise and Resubmit - Do Not Proceed"</formula>
    </cfRule>
    <cfRule type="cellIs" dxfId="2390" priority="408" operator="between">
      <formula>"A - Work May Proceed"</formula>
      <formula>"A - Work May Proceed"</formula>
    </cfRule>
    <cfRule type="cellIs" dxfId="2389" priority="407" operator="between">
      <formula>"CANCELLED"</formula>
      <formula>"CANCELLED"</formula>
    </cfRule>
  </conditionalFormatting>
  <conditionalFormatting sqref="I15">
    <cfRule type="cellIs" dxfId="2388" priority="200" stopIfTrue="1" operator="equal">
      <formula>"A - Work May Proceed"</formula>
    </cfRule>
  </conditionalFormatting>
  <conditionalFormatting sqref="I25:I26">
    <cfRule type="cellIs" dxfId="2387" priority="215" stopIfTrue="1" operator="equal">
      <formula>"A - Work May Proceed"</formula>
    </cfRule>
  </conditionalFormatting>
  <conditionalFormatting sqref="J5:J6 B5:I7 B8:J8">
    <cfRule type="cellIs" dxfId="2386" priority="283" operator="equal">
      <formula>"B- Incorporate Comments - Proceed"</formula>
    </cfRule>
    <cfRule type="cellIs" dxfId="2385" priority="282" operator="equal">
      <formula>"D - Rejected"</formula>
    </cfRule>
    <cfRule type="cellIs" dxfId="2384" priority="281" operator="equal">
      <formula>"E - Review not Required - Proceed"</formula>
    </cfRule>
    <cfRule type="cellIs" dxfId="2383" priority="285" stopIfTrue="1" operator="equal">
      <formula>"A - Work May Proceed"</formula>
    </cfRule>
    <cfRule type="cellIs" dxfId="2382" priority="284" operator="equal">
      <formula>"C - Revise and Resubmit - Do Not Proceed"</formula>
    </cfRule>
  </conditionalFormatting>
  <conditionalFormatting sqref="J25:O26">
    <cfRule type="cellIs" dxfId="2381" priority="97" operator="equal">
      <formula>"A - Work May Proceed"</formula>
    </cfRule>
  </conditionalFormatting>
  <conditionalFormatting sqref="K14:K17">
    <cfRule type="cellIs" dxfId="2380" priority="5" operator="equal">
      <formula>"A - Work May Proceed"</formula>
    </cfRule>
  </conditionalFormatting>
  <conditionalFormatting sqref="L13:L15">
    <cfRule type="cellIs" dxfId="2379" priority="260" operator="equal">
      <formula>"A - Work May Proceed"</formula>
    </cfRule>
    <cfRule type="cellIs" dxfId="2378" priority="258" operator="equal">
      <formula>"B- Incorporate Comments - Proceed"</formula>
    </cfRule>
    <cfRule type="cellIs" dxfId="2377" priority="259" operator="equal">
      <formula>"C - Revise and Resubmit - Do Not Proceed"</formula>
    </cfRule>
    <cfRule type="cellIs" dxfId="2376" priority="256" operator="equal">
      <formula>"E - Review not Required - Proceed"</formula>
    </cfRule>
    <cfRule type="cellIs" dxfId="2375" priority="257" operator="equal">
      <formula>"D - Rejected"</formula>
    </cfRule>
  </conditionalFormatting>
  <conditionalFormatting sqref="N15:N22">
    <cfRule type="cellIs" dxfId="2374" priority="186" operator="equal">
      <formula>"E - Review not Required - Proceed"</formula>
    </cfRule>
    <cfRule type="cellIs" dxfId="2373" priority="187" operator="equal">
      <formula>"D - Rejected"</formula>
    </cfRule>
    <cfRule type="cellIs" dxfId="2372" priority="188" operator="equal">
      <formula>"B- Incorporate Comments - Proceed"</formula>
    </cfRule>
    <cfRule type="cellIs" dxfId="2371" priority="189" operator="equal">
      <formula>"C - Revise and Resubmit - Do Not Proceed"</formula>
    </cfRule>
    <cfRule type="cellIs" dxfId="2370" priority="190" operator="equal">
      <formula>"A - Work May Proceed"</formula>
    </cfRule>
  </conditionalFormatting>
  <conditionalFormatting sqref="N27:XFD27">
    <cfRule type="cellIs" dxfId="2369" priority="88" operator="equal">
      <formula>"A - Work May Proceed"</formula>
    </cfRule>
  </conditionalFormatting>
  <conditionalFormatting sqref="O14:O17">
    <cfRule type="cellIs" dxfId="2368" priority="106" operator="equal">
      <formula>"E - Review not Required - Proceed"</formula>
    </cfRule>
    <cfRule type="cellIs" dxfId="2367" priority="108" operator="equal">
      <formula>"B- Incorporate Comments - Proceed"</formula>
    </cfRule>
    <cfRule type="cellIs" dxfId="2366" priority="109" operator="equal">
      <formula>"C - Revise and Resubmit - Do Not Proceed"</formula>
    </cfRule>
    <cfRule type="cellIs" dxfId="2365" priority="110" operator="equal">
      <formula>"A - Work May Proceed"</formula>
    </cfRule>
    <cfRule type="cellIs" dxfId="2364" priority="107" operator="equal">
      <formula>"D - Rejected"</formula>
    </cfRule>
  </conditionalFormatting>
  <conditionalFormatting sqref="P11">
    <cfRule type="cellIs" dxfId="2363" priority="379" operator="equal">
      <formula>"B - Incorporate Comments - Proceed"</formula>
    </cfRule>
    <cfRule type="cellIs" dxfId="2362" priority="380" operator="equal">
      <formula>"For Information"</formula>
    </cfRule>
    <cfRule type="cellIs" dxfId="2361" priority="381" operator="equal">
      <formula>"B - Incorporate Comments - Proceed "</formula>
    </cfRule>
    <cfRule type="cellIs" dxfId="2360" priority="382" operator="equal">
      <formula>"E - Review Not Required - Proceed"</formula>
    </cfRule>
    <cfRule type="cellIs" dxfId="2359" priority="383" operator="between">
      <formula>"E - Review not Required - Proceed"</formula>
      <formula>"E - Review not Required - Proceed"</formula>
    </cfRule>
    <cfRule type="cellIs" dxfId="2358" priority="385" operator="between">
      <formula>"C - Revise and Resubmit - Do Not Proceed"</formula>
      <formula>"C - Revise and Resubmit - Do Not Proceed"</formula>
    </cfRule>
    <cfRule type="cellIs" dxfId="2357" priority="386" operator="between">
      <formula>"B - Incorporate Comments - Proceed"</formula>
      <formula>"B - Incorporate Comments - Proceed"</formula>
    </cfRule>
    <cfRule type="cellIs" dxfId="2356" priority="387" operator="between">
      <formula>"A - Work May Proceed"</formula>
      <formula>"A - Work May Proceed"</formula>
    </cfRule>
    <cfRule type="cellIs" dxfId="2355" priority="388" operator="between">
      <formula>"B - Incorporate Comments - Proceed"</formula>
      <formula>"B - Incorporate Comments - Proceed"</formula>
    </cfRule>
    <cfRule type="cellIs" dxfId="2354" priority="389" operator="between">
      <formula>"E - Review not Required - Proceed"</formula>
      <formula>"E - Review not Required - Proceed"</formula>
    </cfRule>
    <cfRule type="cellIs" dxfId="2353" priority="390" operator="between">
      <formula>"D - Rejected "</formula>
      <formula>"D - Rejected "</formula>
    </cfRule>
    <cfRule type="cellIs" dxfId="2352" priority="391" operator="between">
      <formula>"CANCELLED"</formula>
      <formula>"CANCELLED"</formula>
    </cfRule>
    <cfRule type="cellIs" dxfId="2351" priority="392" operator="between">
      <formula>"A - Work May Proceed"</formula>
      <formula>"A - Work May Proceed"</formula>
    </cfRule>
    <cfRule type="cellIs" dxfId="2350" priority="393" operator="between">
      <formula>"C - Revise and Resubmit - Do Not Proceed"</formula>
      <formula>"C - Revise and Resubmit - Do Not Proceed"</formula>
    </cfRule>
    <cfRule type="cellIs" dxfId="2349" priority="394" stopIfTrue="1" operator="between">
      <formula>"B - Incorporate Comments - Proceed "</formula>
      <formula>"B - Incorporate Comments - Proceed "</formula>
    </cfRule>
    <cfRule type="cellIs" dxfId="2348" priority="384" operator="between">
      <formula>"'D - Rejected "</formula>
      <formula>"'D - Rejected "</formula>
    </cfRule>
  </conditionalFormatting>
  <conditionalFormatting sqref="P25:P26">
    <cfRule type="cellIs" dxfId="2347" priority="160" stopIfTrue="1" operator="equal">
      <formula>"A - Work May Proceed"</formula>
    </cfRule>
  </conditionalFormatting>
  <conditionalFormatting sqref="P14:U15">
    <cfRule type="cellIs" dxfId="2346" priority="81" operator="equal">
      <formula>"B- Incorporate Comments - Proceed"</formula>
    </cfRule>
    <cfRule type="cellIs" dxfId="2345" priority="82" operator="equal">
      <formula>"C - Revise and Resubmit - Do Not Proceed"</formula>
    </cfRule>
    <cfRule type="cellIs" dxfId="2344" priority="83" operator="equal">
      <formula>"A - Work May Proceed"</formula>
    </cfRule>
    <cfRule type="cellIs" dxfId="2343" priority="79" operator="equal">
      <formula>"E - Review not Required - Proceed"</formula>
    </cfRule>
    <cfRule type="cellIs" dxfId="2342" priority="80" operator="equal">
      <formula>"D - Rejected"</formula>
    </cfRule>
  </conditionalFormatting>
  <conditionalFormatting sqref="P16:XFD17">
    <cfRule type="cellIs" dxfId="2341" priority="35" operator="equal">
      <formula>"D - Rejected"</formula>
    </cfRule>
    <cfRule type="cellIs" dxfId="2340" priority="36" operator="equal">
      <formula>"B- Incorporate Comments - Proceed"</formula>
    </cfRule>
    <cfRule type="cellIs" dxfId="2339" priority="34" operator="equal">
      <formula>"E - Review not Required - Proceed"</formula>
    </cfRule>
    <cfRule type="cellIs" dxfId="2338" priority="37" operator="equal">
      <formula>"C - Revise and Resubmit - Do Not Proceed"</formula>
    </cfRule>
    <cfRule type="cellIs" dxfId="2337" priority="38" operator="equal">
      <formula>"A - Work May Proceed"</formula>
    </cfRule>
  </conditionalFormatting>
  <conditionalFormatting sqref="S23:XFD26">
    <cfRule type="cellIs" dxfId="2336" priority="32" operator="equal">
      <formula>"C - Revise and Resubmit - Do Not Proceed"</formula>
    </cfRule>
    <cfRule type="cellIs" dxfId="2335" priority="29" operator="equal">
      <formula>"E - Review not Required - Proceed"</formula>
    </cfRule>
    <cfRule type="cellIs" dxfId="2334" priority="30" operator="equal">
      <formula>"D - Rejected"</formula>
    </cfRule>
    <cfRule type="cellIs" dxfId="2333" priority="31" operator="equal">
      <formula>"B- Incorporate Comments - Proceed"</formula>
    </cfRule>
    <cfRule type="cellIs" dxfId="2332" priority="33" operator="equal">
      <formula>"A - Work May Proceed"</formula>
    </cfRule>
  </conditionalFormatting>
  <conditionalFormatting sqref="V12:V17 M13:XFD13 M14:N14 M15:M17 L16:M17 A18:M22">
    <cfRule type="cellIs" dxfId="2331" priority="264" operator="equal">
      <formula>"C - Revise and Resubmit - Do Not Proceed"</formula>
    </cfRule>
    <cfRule type="cellIs" dxfId="2330" priority="263" operator="equal">
      <formula>"B- Incorporate Comments - Proceed"</formula>
    </cfRule>
    <cfRule type="cellIs" dxfId="2329" priority="261" operator="equal">
      <formula>"E - Review not Required - Proceed"</formula>
    </cfRule>
    <cfRule type="cellIs" dxfId="2328" priority="262" operator="equal">
      <formula>"D - Rejected"</formula>
    </cfRule>
  </conditionalFormatting>
  <conditionalFormatting sqref="W11">
    <cfRule type="cellIs" dxfId="2327" priority="365" operator="equal">
      <formula>"B - Incorporate Comments - Proceed "</formula>
    </cfRule>
    <cfRule type="cellIs" dxfId="2326" priority="374" operator="between">
      <formula>"D - Rejected "</formula>
      <formula>"D - Rejected "</formula>
    </cfRule>
    <cfRule type="cellIs" dxfId="2325" priority="373" operator="between">
      <formula>"E - Review not Required - Proceed"</formula>
      <formula>"E - Review not Required - Proceed"</formula>
    </cfRule>
    <cfRule type="cellIs" dxfId="2324" priority="372" operator="between">
      <formula>"B - Incorporate Comments - Proceed"</formula>
      <formula>"B - Incorporate Comments - Proceed"</formula>
    </cfRule>
    <cfRule type="cellIs" dxfId="2323" priority="377" operator="between">
      <formula>"C - Revise and Resubmit - Do Not Proceed"</formula>
      <formula>"C - Revise and Resubmit - Do Not Proceed"</formula>
    </cfRule>
    <cfRule type="cellIs" dxfId="2322" priority="371" operator="between">
      <formula>"A - Work May Proceed"</formula>
      <formula>"A - Work May Proceed"</formula>
    </cfRule>
    <cfRule type="cellIs" dxfId="2321" priority="370" operator="between">
      <formula>"B - Incorporate Comments - Proceed"</formula>
      <formula>"B - Incorporate Comments - Proceed"</formula>
    </cfRule>
    <cfRule type="cellIs" dxfId="2320" priority="369" operator="between">
      <formula>"C - Revise and Resubmit - Do Not Proceed"</formula>
      <formula>"C - Revise and Resubmit - Do Not Proceed"</formula>
    </cfRule>
    <cfRule type="cellIs" dxfId="2319" priority="368" operator="between">
      <formula>"'D - Rejected "</formula>
      <formula>"'D - Rejected "</formula>
    </cfRule>
    <cfRule type="cellIs" dxfId="2318" priority="367" operator="between">
      <formula>"E - Review not Required - Proceed"</formula>
      <formula>"E - Review not Required - Proceed"</formula>
    </cfRule>
    <cfRule type="cellIs" dxfId="2317" priority="366" operator="equal">
      <formula>"E - Review Not Required - Proceed"</formula>
    </cfRule>
    <cfRule type="cellIs" dxfId="2316" priority="364" operator="equal">
      <formula>"For Information"</formula>
    </cfRule>
    <cfRule type="cellIs" dxfId="2315" priority="363" operator="equal">
      <formula>"B - Incorporate Comments - Proceed"</formula>
    </cfRule>
    <cfRule type="cellIs" dxfId="2314" priority="378" stopIfTrue="1" operator="between">
      <formula>"B - Incorporate Comments - Proceed "</formula>
      <formula>"B - Incorporate Comments - Proceed "</formula>
    </cfRule>
    <cfRule type="cellIs" dxfId="2313" priority="376" operator="between">
      <formula>"A - Work May Proceed"</formula>
      <formula>"A - Work May Proceed"</formula>
    </cfRule>
    <cfRule type="cellIs" dxfId="2312" priority="375" operator="between">
      <formula>"CANCELLED"</formula>
      <formula>"CANCELLED"</formula>
    </cfRule>
  </conditionalFormatting>
  <conditionalFormatting sqref="W14:XFD15">
    <cfRule type="cellIs" dxfId="2311" priority="7" operator="equal">
      <formula>"D - Rejected"</formula>
    </cfRule>
    <cfRule type="cellIs" dxfId="2310" priority="8" operator="equal">
      <formula>"B- Incorporate Comments - Proceed"</formula>
    </cfRule>
    <cfRule type="cellIs" dxfId="2309" priority="9" operator="equal">
      <formula>"C - Revise and Resubmit - Do Not Proceed"</formula>
    </cfRule>
    <cfRule type="cellIs" dxfId="2308" priority="10" operator="equal">
      <formula>"A - Work May Proceed"</formula>
    </cfRule>
    <cfRule type="cellIs" dxfId="2307" priority="6" operator="equal">
      <formula>"E - Review not Required - Proceed"</formula>
    </cfRule>
  </conditionalFormatting>
  <conditionalFormatting sqref="Z27 AB27">
    <cfRule type="cellIs" dxfId="2306" priority="84" operator="equal">
      <formula>"E - Review not Required - Proceed"</formula>
    </cfRule>
    <cfRule type="cellIs" dxfId="2305" priority="85" operator="equal">
      <formula>"D - Rejected"</formula>
    </cfRule>
    <cfRule type="cellIs" dxfId="2304" priority="86" operator="equal">
      <formula>"B- Incorporate Comments - Proceed"</formula>
    </cfRule>
    <cfRule type="cellIs" dxfId="2303" priority="87" operator="equal">
      <formula>"C - Revise and Resubmit - Do Not Proceed"</formula>
    </cfRule>
  </conditionalFormatting>
  <conditionalFormatting sqref="Z29 AB29">
    <cfRule type="cellIs" dxfId="2302" priority="25" operator="equal">
      <formula>"E - Review not Required - Proceed"</formula>
    </cfRule>
    <cfRule type="cellIs" dxfId="2301" priority="26" operator="equal">
      <formula>"D - Rejected"</formula>
    </cfRule>
    <cfRule type="cellIs" dxfId="2300" priority="28" operator="equal">
      <formula>"C - Revise and Resubmit - Do Not Proceed"</formula>
    </cfRule>
    <cfRule type="cellIs" dxfId="2299" priority="27" operator="equal">
      <formula>"B- Incorporate Comments - Proceed"</formula>
    </cfRule>
  </conditionalFormatting>
  <conditionalFormatting sqref="AD11">
    <cfRule type="cellIs" dxfId="2298" priority="355" operator="between">
      <formula>"A - Work May Proceed"</formula>
      <formula>"A - Work May Proceed"</formula>
    </cfRule>
    <cfRule type="cellIs" dxfId="2297" priority="356" operator="between">
      <formula>"B - Incorporate Comments - Proceed"</formula>
      <formula>"B - Incorporate Comments - Proceed"</formula>
    </cfRule>
    <cfRule type="cellIs" dxfId="2296" priority="357" operator="between">
      <formula>"E - Review not Required - Proceed"</formula>
      <formula>"E - Review not Required - Proceed"</formula>
    </cfRule>
    <cfRule type="cellIs" dxfId="2295" priority="359" operator="between">
      <formula>"CANCELLED"</formula>
      <formula>"CANCELLED"</formula>
    </cfRule>
    <cfRule type="cellIs" dxfId="2294" priority="360" operator="between">
      <formula>"A - Work May Proceed"</formula>
      <formula>"A - Work May Proceed"</formula>
    </cfRule>
    <cfRule type="cellIs" dxfId="2293" priority="361" operator="between">
      <formula>"C - Revise and Resubmit - Do Not Proceed"</formula>
      <formula>"C - Revise and Resubmit - Do Not Proceed"</formula>
    </cfRule>
    <cfRule type="cellIs" dxfId="2292" priority="362" stopIfTrue="1" operator="between">
      <formula>"B - Incorporate Comments - Proceed "</formula>
      <formula>"B - Incorporate Comments - Proceed "</formula>
    </cfRule>
    <cfRule type="cellIs" dxfId="2291" priority="358" operator="between">
      <formula>"D - Rejected "</formula>
      <formula>"D - Rejected "</formula>
    </cfRule>
    <cfRule type="cellIs" dxfId="2290" priority="347" operator="equal">
      <formula>"B - Incorporate Comments - Proceed"</formula>
    </cfRule>
    <cfRule type="cellIs" dxfId="2289" priority="348" operator="equal">
      <formula>"For Information"</formula>
    </cfRule>
    <cfRule type="cellIs" dxfId="2288" priority="349" operator="equal">
      <formula>"B - Incorporate Comments - Proceed "</formula>
    </cfRule>
    <cfRule type="cellIs" dxfId="2287" priority="350" operator="equal">
      <formula>"E - Review Not Required - Proceed"</formula>
    </cfRule>
    <cfRule type="cellIs" dxfId="2286" priority="351" operator="between">
      <formula>"E - Review not Required - Proceed"</formula>
      <formula>"E - Review not Required - Proceed"</formula>
    </cfRule>
    <cfRule type="cellIs" dxfId="2285" priority="352" operator="between">
      <formula>"'D - Rejected "</formula>
      <formula>"'D - Rejected "</formula>
    </cfRule>
    <cfRule type="cellIs" dxfId="2284" priority="353" operator="between">
      <formula>"C - Revise and Resubmit - Do Not Proceed"</formula>
      <formula>"C - Revise and Resubmit - Do Not Proceed"</formula>
    </cfRule>
    <cfRule type="cellIs" dxfId="2283" priority="354" operator="between">
      <formula>"B - Incorporate Comments - Proceed"</formula>
      <formula>"B - Incorporate Comments - Proceed"</formula>
    </cfRule>
  </conditionalFormatting>
  <conditionalFormatting sqref="AK11">
    <cfRule type="cellIs" dxfId="2282" priority="341" operator="between">
      <formula>"E - Review not Required - Proceed"</formula>
      <formula>"E - Review not Required - Proceed"</formula>
    </cfRule>
    <cfRule type="cellIs" dxfId="2281" priority="339" operator="between">
      <formula>"A - Work May Proceed"</formula>
      <formula>"A - Work May Proceed"</formula>
    </cfRule>
    <cfRule type="cellIs" dxfId="2280" priority="338" operator="between">
      <formula>"B - Incorporate Comments - Proceed"</formula>
      <formula>"B - Incorporate Comments - Proceed"</formula>
    </cfRule>
    <cfRule type="cellIs" dxfId="2279" priority="337" operator="between">
      <formula>"C - Revise and Resubmit - Do Not Proceed"</formula>
      <formula>"C - Revise and Resubmit - Do Not Proceed"</formula>
    </cfRule>
    <cfRule type="cellIs" dxfId="2278" priority="336" operator="between">
      <formula>"'D - Rejected "</formula>
      <formula>"'D - Rejected "</formula>
    </cfRule>
    <cfRule type="cellIs" dxfId="2277" priority="334" operator="equal">
      <formula>"E - Review Not Required - Proceed"</formula>
    </cfRule>
    <cfRule type="cellIs" dxfId="2276" priority="333" operator="equal">
      <formula>"B - Incorporate Comments - Proceed "</formula>
    </cfRule>
    <cfRule type="cellIs" dxfId="2275" priority="332" operator="equal">
      <formula>"For Information"</formula>
    </cfRule>
    <cfRule type="cellIs" dxfId="2274" priority="346" stopIfTrue="1" operator="between">
      <formula>"B - Incorporate Comments - Proceed "</formula>
      <formula>"B - Incorporate Comments - Proceed "</formula>
    </cfRule>
    <cfRule type="cellIs" dxfId="2273" priority="345" operator="between">
      <formula>"C - Revise and Resubmit - Do Not Proceed"</formula>
      <formula>"C - Revise and Resubmit - Do Not Proceed"</formula>
    </cfRule>
    <cfRule type="cellIs" dxfId="2272" priority="335" operator="between">
      <formula>"E - Review not Required - Proceed"</formula>
      <formula>"E - Review not Required - Proceed"</formula>
    </cfRule>
    <cfRule type="cellIs" dxfId="2271" priority="344" operator="between">
      <formula>"A - Work May Proceed"</formula>
      <formula>"A - Work May Proceed"</formula>
    </cfRule>
    <cfRule type="cellIs" dxfId="2270" priority="343" operator="between">
      <formula>"CANCELLED"</formula>
      <formula>"CANCELLED"</formula>
    </cfRule>
    <cfRule type="cellIs" dxfId="2269" priority="342" operator="between">
      <formula>"D - Rejected "</formula>
      <formula>"D - Rejected "</formula>
    </cfRule>
    <cfRule type="cellIs" dxfId="2268" priority="331" operator="equal">
      <formula>"B - Incorporate Comments - Proceed"</formula>
    </cfRule>
    <cfRule type="cellIs" dxfId="2267" priority="340" operator="between">
      <formula>"B - Incorporate Comments - Proceed"</formula>
      <formula>"B - Incorporate Comments - Proceed"</formula>
    </cfRule>
  </conditionalFormatting>
  <conditionalFormatting sqref="AR11">
    <cfRule type="cellIs" dxfId="2266" priority="291" operator="equal">
      <formula>"For Information"</formula>
    </cfRule>
    <cfRule type="cellIs" dxfId="2265" priority="289" operator="equal">
      <formula>"C - Revise and Resubmit - Do Not Proceed"</formula>
    </cfRule>
    <cfRule type="cellIs" dxfId="2264" priority="288" operator="equal">
      <formula>"B - Incorporate Comments - Proceed"</formula>
    </cfRule>
    <cfRule type="cellIs" dxfId="2263" priority="287" operator="equal">
      <formula>"D - Rejected"</formula>
    </cfRule>
    <cfRule type="cellIs" dxfId="2262" priority="304" operator="between">
      <formula>"C - Revise and Resubmit - Do Not Proceed"</formula>
      <formula>"C - Revise and Resubmit - Do Not Proceed"</formula>
    </cfRule>
    <cfRule type="cellIs" dxfId="2261" priority="303" operator="between">
      <formula>"A - Work May Proceed"</formula>
      <formula>"A - Work May Proceed"</formula>
    </cfRule>
    <cfRule type="cellIs" dxfId="2260" priority="302" operator="between">
      <formula>"CANCELLED"</formula>
      <formula>"CANCELLED"</formula>
    </cfRule>
    <cfRule type="cellIs" dxfId="2259" priority="286" operator="equal">
      <formula>"E - Review not Required - Proceed"</formula>
    </cfRule>
    <cfRule type="cellIs" dxfId="2258" priority="305" stopIfTrue="1" operator="between">
      <formula>"B - Incorporate Comments - Proceed "</formula>
      <formula>"B - Incorporate Comments - Proceed "</formula>
    </cfRule>
    <cfRule type="cellIs" dxfId="2257" priority="300" operator="between">
      <formula>"E - Review not Required - Proceed"</formula>
      <formula>"E - Review not Required - Proceed"</formula>
    </cfRule>
    <cfRule type="cellIs" dxfId="2256" priority="299" operator="between">
      <formula>"B - Incorporate Comments - Proceed"</formula>
      <formula>"B - Incorporate Comments - Proceed"</formula>
    </cfRule>
    <cfRule type="cellIs" dxfId="2255" priority="301" operator="between">
      <formula>"D - Rejected "</formula>
      <formula>"D - Rejected "</formula>
    </cfRule>
    <cfRule type="cellIs" dxfId="2254" priority="290" operator="equal">
      <formula>"A - Work May Proceed"</formula>
    </cfRule>
    <cfRule type="cellIs" dxfId="2253" priority="298" operator="between">
      <formula>"A - Work May Proceed"</formula>
      <formula>"A - Work May Proceed"</formula>
    </cfRule>
    <cfRule type="cellIs" dxfId="2252" priority="297" operator="between">
      <formula>"B - Incorporate Comments - Proceed"</formula>
      <formula>"B - Incorporate Comments - Proceed"</formula>
    </cfRule>
    <cfRule type="cellIs" dxfId="2251" priority="296" operator="between">
      <formula>"C - Revise and Resubmit - Do Not Proceed"</formula>
      <formula>"C - Revise and Resubmit - Do Not Proceed"</formula>
    </cfRule>
    <cfRule type="cellIs" dxfId="2250" priority="295" operator="between">
      <formula>"'D - Rejected "</formula>
      <formula>"'D - Rejected "</formula>
    </cfRule>
    <cfRule type="cellIs" dxfId="2249" priority="294" operator="between">
      <formula>"E - Review not Required - Proceed"</formula>
      <formula>"E - Review not Required - Proceed"</formula>
    </cfRule>
    <cfRule type="cellIs" dxfId="2248" priority="293" operator="equal">
      <formula>"E - Review Not Required - Proceed"</formula>
    </cfRule>
    <cfRule type="cellIs" dxfId="2247" priority="292" operator="equal">
      <formula>"B - Incorporate Comments - Proceed "</formula>
    </cfRule>
  </conditionalFormatting>
  <conditionalFormatting sqref="AY11">
    <cfRule type="cellIs" dxfId="2246" priority="322" operator="between">
      <formula>"CANCELLED"</formula>
      <formula>"CANCELLED"</formula>
    </cfRule>
    <cfRule type="cellIs" dxfId="2245" priority="323" operator="between">
      <formula>"A - Work May Proceed"</formula>
      <formula>"A - Work May Proceed"</formula>
    </cfRule>
    <cfRule type="cellIs" dxfId="2244" priority="324" operator="between">
      <formula>"C - Revise and Resubmit - Do Not Proceed"</formula>
      <formula>"C - Revise and Resubmit - Do Not Proceed"</formula>
    </cfRule>
    <cfRule type="cellIs" dxfId="2243" priority="325" stopIfTrue="1" operator="between">
      <formula>"B - Incorporate Comments - Proceed "</formula>
      <formula>"B - Incorporate Comments - Proceed "</formula>
    </cfRule>
    <cfRule type="cellIs" dxfId="2242" priority="321" operator="between">
      <formula>"D - Rejected "</formula>
      <formula>"D - Rejected "</formula>
    </cfRule>
    <cfRule type="cellIs" dxfId="2241" priority="306" operator="equal">
      <formula>"E - Review not Required - Proceed"</formula>
    </cfRule>
    <cfRule type="cellIs" dxfId="2240" priority="308" operator="equal">
      <formula>"B - Incorporate Comments - Proceed"</formula>
    </cfRule>
    <cfRule type="cellIs" dxfId="2239" priority="313" operator="equal">
      <formula>"E - Review Not Required - Proceed"</formula>
    </cfRule>
    <cfRule type="cellIs" dxfId="2238" priority="314" operator="between">
      <formula>"E - Review not Required - Proceed"</formula>
      <formula>"E - Review not Required - Proceed"</formula>
    </cfRule>
    <cfRule type="cellIs" dxfId="2237" priority="315" operator="between">
      <formula>"'D - Rejected "</formula>
      <formula>"'D - Rejected "</formula>
    </cfRule>
    <cfRule type="cellIs" dxfId="2236" priority="316" operator="between">
      <formula>"C - Revise and Resubmit - Do Not Proceed"</formula>
      <formula>"C - Revise and Resubmit - Do Not Proceed"</formula>
    </cfRule>
    <cfRule type="cellIs" dxfId="2235" priority="317" operator="between">
      <formula>"B - Incorporate Comments - Proceed"</formula>
      <formula>"B - Incorporate Comments - Proceed"</formula>
    </cfRule>
    <cfRule type="cellIs" dxfId="2234" priority="310" operator="equal">
      <formula>"A - Work May Proceed"</formula>
    </cfRule>
    <cfRule type="cellIs" dxfId="2233" priority="318" operator="between">
      <formula>"A - Work May Proceed"</formula>
      <formula>"A - Work May Proceed"</formula>
    </cfRule>
    <cfRule type="cellIs" dxfId="2232" priority="319" operator="between">
      <formula>"B - Incorporate Comments - Proceed"</formula>
      <formula>"B - Incorporate Comments - Proceed"</formula>
    </cfRule>
    <cfRule type="cellIs" dxfId="2231" priority="320" operator="between">
      <formula>"E - Review not Required - Proceed"</formula>
      <formula>"E - Review not Required - Proceed"</formula>
    </cfRule>
    <cfRule type="cellIs" dxfId="2230" priority="309" operator="equal">
      <formula>"C - Revise and Resubmit - Do Not Proceed"</formula>
    </cfRule>
    <cfRule type="cellIs" dxfId="2229" priority="311" operator="equal">
      <formula>"For Information"</formula>
    </cfRule>
    <cfRule type="cellIs" dxfId="2228" priority="312" operator="equal">
      <formula>"B - Incorporate Comments - Proceed "</formula>
    </cfRule>
    <cfRule type="cellIs" dxfId="2227" priority="307" operator="equal">
      <formula>"D - Rejected"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tabColor theme="9"/>
  </sheetPr>
  <dimension ref="A1:BF29"/>
  <sheetViews>
    <sheetView zoomScale="55" zoomScaleNormal="55" zoomScaleSheetLayoutView="70" workbookViewId="0">
      <pane ySplit="11" topLeftCell="A12" activePane="bottomLeft" state="frozen"/>
      <selection activeCell="A14" sqref="A14"/>
      <selection pane="bottomLeft" sqref="A1:A1048576"/>
    </sheetView>
  </sheetViews>
  <sheetFormatPr defaultColWidth="9.140625" defaultRowHeight="15" x14ac:dyDescent="0.25"/>
  <cols>
    <col min="1" max="1" width="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0.140625" style="398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7.28515625" style="472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 s="111"/>
      <c r="V1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198"/>
    </row>
    <row r="2" spans="1:58" s="379" customFormat="1" ht="24" customHeight="1" x14ac:dyDescent="0.35">
      <c r="A2" s="8"/>
      <c r="B2" s="25" t="s">
        <v>28</v>
      </c>
      <c r="C2" s="26" t="s">
        <v>181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 s="111"/>
      <c r="V2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198"/>
    </row>
    <row r="3" spans="1:58" s="379" customFormat="1" ht="24" customHeight="1" x14ac:dyDescent="0.35">
      <c r="A3" s="8"/>
      <c r="B3" s="25" t="s">
        <v>507</v>
      </c>
      <c r="C3" s="49" t="s">
        <v>132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 s="111"/>
      <c r="V3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198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 s="111"/>
      <c r="V4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198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 s="111"/>
      <c r="V5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198"/>
    </row>
    <row r="6" spans="1:58" s="379" customFormat="1" ht="24" customHeight="1" x14ac:dyDescent="0.35">
      <c r="A6" s="8"/>
      <c r="B6" s="64">
        <f>COUNTIF(B11:B29,"A - Work May Proceed")</f>
        <v>14</v>
      </c>
      <c r="C6" s="65">
        <f>COUNTIF(B11:B29,"B- Incorporate Comments - Proceed")</f>
        <v>1</v>
      </c>
      <c r="D6" s="65">
        <f>COUNTIF(B11:B29,"C - Revise and Resubmit - Do Not Proceed")</f>
        <v>0</v>
      </c>
      <c r="E6" s="65">
        <f>COUNTIF(B11:B29,"D - Rejected")</f>
        <v>0</v>
      </c>
      <c r="F6" s="65">
        <f>COUNTIF(B11:B29,"E - Review not Required - Proceed")</f>
        <v>0</v>
      </c>
      <c r="G6" s="66">
        <f>COUNTIF(B11:B29,"UR")</f>
        <v>0</v>
      </c>
      <c r="H6" s="66">
        <f>COUNTIF(B11:B29,"FA")</f>
        <v>0</v>
      </c>
      <c r="I6" s="66">
        <f>COUNTIF(B11:B29,"Terminated")</f>
        <v>0</v>
      </c>
      <c r="J6" s="66">
        <f>COUNTIF(B11:B29,"Cancelled")</f>
        <v>2</v>
      </c>
      <c r="K6"/>
      <c r="L6"/>
      <c r="M6"/>
      <c r="N6"/>
      <c r="O6"/>
      <c r="P6"/>
      <c r="Q6"/>
      <c r="R6"/>
      <c r="S6"/>
      <c r="T6"/>
      <c r="U6" s="111"/>
      <c r="V6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198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 s="111"/>
      <c r="V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198"/>
    </row>
    <row r="8" spans="1:58" s="379" customFormat="1" ht="24" customHeight="1" x14ac:dyDescent="0.35">
      <c r="A8" s="8"/>
      <c r="B8" s="72" t="s">
        <v>509</v>
      </c>
      <c r="C8" s="73">
        <f>SUM(B6:J6)</f>
        <v>17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 s="111"/>
      <c r="V8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198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 s="111"/>
      <c r="V9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198"/>
    </row>
    <row r="10" spans="1:58" s="405" customFormat="1" ht="36.75" customHeight="1" x14ac:dyDescent="0.2">
      <c r="A10" s="559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113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56" t="s">
        <v>5</v>
      </c>
      <c r="C12" s="56" t="s">
        <v>208</v>
      </c>
      <c r="D12" s="12" t="s">
        <v>2409</v>
      </c>
      <c r="E12" s="12" t="s">
        <v>2410</v>
      </c>
      <c r="F12" s="16" t="s">
        <v>2411</v>
      </c>
      <c r="G12" s="16" t="s">
        <v>179</v>
      </c>
      <c r="H12" s="10" t="s">
        <v>132</v>
      </c>
      <c r="I12" s="60" t="s">
        <v>18</v>
      </c>
      <c r="J12" s="14">
        <v>45699</v>
      </c>
      <c r="K12" s="12" t="s">
        <v>2412</v>
      </c>
      <c r="L12" s="20">
        <f t="shared" ref="L12:L26" si="0">J12+7</f>
        <v>45706</v>
      </c>
      <c r="M12" s="14">
        <v>45717</v>
      </c>
      <c r="N12" s="92">
        <f t="shared" ref="N12:N26" si="1">M12-L12</f>
        <v>11</v>
      </c>
      <c r="O12" s="12" t="s">
        <v>2425</v>
      </c>
      <c r="P12" s="60" t="s">
        <v>5</v>
      </c>
      <c r="Q12" s="20">
        <v>46056</v>
      </c>
      <c r="R12" s="12" t="s">
        <v>5743</v>
      </c>
      <c r="S12" s="20">
        <f t="shared" ref="S12:S18" si="2">Q12+7</f>
        <v>46063</v>
      </c>
      <c r="T12" s="20">
        <v>46067</v>
      </c>
      <c r="U12" s="92">
        <f t="shared" ref="U12:U18" si="3">T12-S12</f>
        <v>4</v>
      </c>
      <c r="V12" s="12" t="s">
        <v>5753</v>
      </c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473"/>
    </row>
    <row r="13" spans="1:58" s="381" customFormat="1" ht="42" customHeight="1" x14ac:dyDescent="0.25">
      <c r="A13" s="367">
        <v>730007</v>
      </c>
      <c r="B13" s="56" t="s">
        <v>5</v>
      </c>
      <c r="C13" s="56" t="s">
        <v>588</v>
      </c>
      <c r="D13" s="12" t="s">
        <v>3079</v>
      </c>
      <c r="E13" s="12" t="s">
        <v>3081</v>
      </c>
      <c r="F13" s="16" t="s">
        <v>3080</v>
      </c>
      <c r="G13" s="16" t="s">
        <v>179</v>
      </c>
      <c r="H13" s="10" t="s">
        <v>132</v>
      </c>
      <c r="I13" s="16" t="s">
        <v>18</v>
      </c>
      <c r="J13" s="14">
        <v>45773</v>
      </c>
      <c r="K13" s="12" t="s">
        <v>3082</v>
      </c>
      <c r="L13" s="20">
        <f t="shared" si="0"/>
        <v>45780</v>
      </c>
      <c r="M13" s="14">
        <v>45788</v>
      </c>
      <c r="N13" s="92">
        <f t="shared" si="1"/>
        <v>8</v>
      </c>
      <c r="O13" s="12" t="s">
        <v>3100</v>
      </c>
      <c r="P13" s="60" t="s">
        <v>5</v>
      </c>
      <c r="Q13" s="20">
        <v>46060</v>
      </c>
      <c r="R13" s="12" t="s">
        <v>5778</v>
      </c>
      <c r="S13" s="20">
        <f t="shared" si="2"/>
        <v>46067</v>
      </c>
      <c r="T13" s="20">
        <v>46081</v>
      </c>
      <c r="U13" s="92">
        <f t="shared" si="3"/>
        <v>14</v>
      </c>
      <c r="V13" s="12" t="s">
        <v>5788</v>
      </c>
      <c r="W13" s="12" t="s">
        <v>5</v>
      </c>
      <c r="X13" s="20">
        <v>46238</v>
      </c>
      <c r="Y13" s="150" t="s">
        <v>7418</v>
      </c>
      <c r="Z13" s="20">
        <f>X13+7</f>
        <v>46245</v>
      </c>
      <c r="AA13" s="20">
        <v>46254</v>
      </c>
      <c r="AB13" s="92">
        <f>AA13-Z13</f>
        <v>9</v>
      </c>
      <c r="AC13" s="12" t="s">
        <v>7421</v>
      </c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473"/>
    </row>
    <row r="14" spans="1:58" s="381" customFormat="1" ht="42" customHeight="1" x14ac:dyDescent="0.25">
      <c r="A14" s="367">
        <v>730007</v>
      </c>
      <c r="B14" s="56" t="s">
        <v>5</v>
      </c>
      <c r="C14" s="56" t="s">
        <v>208</v>
      </c>
      <c r="D14" s="12" t="s">
        <v>4035</v>
      </c>
      <c r="E14" s="12" t="s">
        <v>4036</v>
      </c>
      <c r="F14" s="16" t="s">
        <v>4175</v>
      </c>
      <c r="G14" s="16" t="s">
        <v>179</v>
      </c>
      <c r="H14" s="10" t="s">
        <v>132</v>
      </c>
      <c r="I14" s="16" t="s">
        <v>3</v>
      </c>
      <c r="J14" s="14">
        <v>45894</v>
      </c>
      <c r="K14" s="12" t="s">
        <v>4037</v>
      </c>
      <c r="L14" s="20">
        <f t="shared" si="0"/>
        <v>45901</v>
      </c>
      <c r="M14" s="14">
        <v>45904</v>
      </c>
      <c r="N14" s="92">
        <f t="shared" si="1"/>
        <v>3</v>
      </c>
      <c r="O14" s="12" t="s">
        <v>4050</v>
      </c>
      <c r="P14" s="60" t="s">
        <v>5</v>
      </c>
      <c r="Q14" s="20">
        <v>45913</v>
      </c>
      <c r="R14" s="12" t="s">
        <v>4180</v>
      </c>
      <c r="S14" s="20">
        <f t="shared" si="2"/>
        <v>45920</v>
      </c>
      <c r="T14" s="20">
        <v>45920</v>
      </c>
      <c r="U14" s="92">
        <f t="shared" si="3"/>
        <v>0</v>
      </c>
      <c r="V14" s="12" t="s">
        <v>4182</v>
      </c>
      <c r="W14" s="12"/>
      <c r="X14" s="20"/>
      <c r="Y14" s="12"/>
      <c r="Z14" s="12"/>
      <c r="AA14" s="20"/>
      <c r="AB14" s="20"/>
      <c r="AC14" s="12"/>
      <c r="AD14" s="12"/>
      <c r="AE14" s="20"/>
      <c r="AF14" s="12"/>
      <c r="AG14" s="12"/>
      <c r="AH14" s="20"/>
      <c r="AI14" s="20"/>
      <c r="AJ14" s="12"/>
      <c r="AK14" s="10"/>
      <c r="AL14" s="14"/>
      <c r="AM14" s="12"/>
      <c r="AN14" s="12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/>
      <c r="BF14" s="473"/>
    </row>
    <row r="15" spans="1:58" s="381" customFormat="1" ht="42" customHeight="1" x14ac:dyDescent="0.25">
      <c r="A15" s="367">
        <v>730007</v>
      </c>
      <c r="B15" s="16" t="s">
        <v>5</v>
      </c>
      <c r="C15" s="56" t="s">
        <v>588</v>
      </c>
      <c r="D15" s="12" t="s">
        <v>4781</v>
      </c>
      <c r="E15" s="12" t="s">
        <v>4852</v>
      </c>
      <c r="F15" s="16" t="s">
        <v>4851</v>
      </c>
      <c r="G15" s="16" t="s">
        <v>179</v>
      </c>
      <c r="H15" s="10" t="s">
        <v>132</v>
      </c>
      <c r="I15" s="16" t="s">
        <v>3</v>
      </c>
      <c r="J15" s="14">
        <v>45972</v>
      </c>
      <c r="K15" s="12" t="s">
        <v>4853</v>
      </c>
      <c r="L15" s="20">
        <f t="shared" si="0"/>
        <v>45979</v>
      </c>
      <c r="M15" s="14">
        <v>45981</v>
      </c>
      <c r="N15" s="92">
        <f t="shared" si="1"/>
        <v>2</v>
      </c>
      <c r="O15" s="12" t="s">
        <v>4876</v>
      </c>
      <c r="P15" s="16" t="s">
        <v>3</v>
      </c>
      <c r="Q15" s="20">
        <v>45992</v>
      </c>
      <c r="R15" s="150" t="s">
        <v>5103</v>
      </c>
      <c r="S15" s="20">
        <f t="shared" si="2"/>
        <v>45999</v>
      </c>
      <c r="T15" s="20">
        <v>45995</v>
      </c>
      <c r="U15" s="92">
        <f t="shared" si="3"/>
        <v>-4</v>
      </c>
      <c r="V15" s="12" t="s">
        <v>5127</v>
      </c>
      <c r="W15" s="16" t="s">
        <v>5</v>
      </c>
      <c r="X15" s="20">
        <v>46016</v>
      </c>
      <c r="Y15" s="12" t="s">
        <v>5382</v>
      </c>
      <c r="Z15" s="20">
        <f>X15+7</f>
        <v>46023</v>
      </c>
      <c r="AA15" s="20">
        <v>46020</v>
      </c>
      <c r="AB15" s="92">
        <f>AA15-Z15</f>
        <v>-3</v>
      </c>
      <c r="AC15" s="12" t="s">
        <v>5387</v>
      </c>
      <c r="AD15" s="12"/>
      <c r="AE15" s="20"/>
      <c r="AF15" s="12"/>
      <c r="AG15" s="12"/>
      <c r="AH15" s="20"/>
      <c r="AI15" s="20"/>
      <c r="AJ15" s="12"/>
      <c r="AK15" s="10"/>
      <c r="AL15" s="14"/>
      <c r="AM15" s="12"/>
      <c r="AN15" s="12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2"/>
      <c r="BF15" s="473"/>
    </row>
    <row r="16" spans="1:58" s="381" customFormat="1" ht="42" customHeight="1" x14ac:dyDescent="0.25">
      <c r="A16" s="367">
        <v>730007</v>
      </c>
      <c r="B16" s="11" t="s">
        <v>5</v>
      </c>
      <c r="C16" s="56" t="s">
        <v>208</v>
      </c>
      <c r="D16" s="12" t="s">
        <v>4854</v>
      </c>
      <c r="E16" s="12" t="s">
        <v>4855</v>
      </c>
      <c r="F16" s="16" t="s">
        <v>4857</v>
      </c>
      <c r="G16" s="16" t="s">
        <v>179</v>
      </c>
      <c r="H16" s="10" t="s">
        <v>132</v>
      </c>
      <c r="I16" s="16" t="s">
        <v>18</v>
      </c>
      <c r="J16" s="14">
        <v>45972</v>
      </c>
      <c r="K16" s="12" t="s">
        <v>4856</v>
      </c>
      <c r="L16" s="20">
        <f t="shared" si="0"/>
        <v>45979</v>
      </c>
      <c r="M16" s="14">
        <v>45988</v>
      </c>
      <c r="N16" s="92">
        <f t="shared" si="1"/>
        <v>9</v>
      </c>
      <c r="O16" s="12" t="s">
        <v>4877</v>
      </c>
      <c r="P16" s="16" t="s">
        <v>5</v>
      </c>
      <c r="Q16" s="20">
        <v>45997</v>
      </c>
      <c r="R16" s="12" t="s">
        <v>5138</v>
      </c>
      <c r="S16" s="20">
        <f t="shared" si="2"/>
        <v>46004</v>
      </c>
      <c r="T16" s="20">
        <v>46000</v>
      </c>
      <c r="U16" s="92">
        <f t="shared" si="3"/>
        <v>-4</v>
      </c>
      <c r="V16" s="12" t="s">
        <v>5149</v>
      </c>
      <c r="W16" s="12"/>
      <c r="X16" s="20"/>
      <c r="Y16" s="12"/>
      <c r="Z16" s="12"/>
      <c r="AA16" s="20"/>
      <c r="AB16" s="20"/>
      <c r="AC16" s="12"/>
      <c r="AD16" s="12"/>
      <c r="AE16" s="20"/>
      <c r="AF16" s="12"/>
      <c r="AG16" s="12"/>
      <c r="AH16" s="20"/>
      <c r="AI16" s="20"/>
      <c r="AJ16" s="12"/>
      <c r="AK16" s="10"/>
      <c r="AL16" s="14"/>
      <c r="AM16" s="12"/>
      <c r="AN16" s="12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2"/>
      <c r="BF16" s="473"/>
    </row>
    <row r="17" spans="1:58" s="381" customFormat="1" ht="42" customHeight="1" x14ac:dyDescent="0.25">
      <c r="A17" s="367">
        <v>730007</v>
      </c>
      <c r="B17" s="16" t="s">
        <v>5</v>
      </c>
      <c r="C17" s="56" t="s">
        <v>208</v>
      </c>
      <c r="D17" s="12" t="s">
        <v>5642</v>
      </c>
      <c r="E17" s="12" t="s">
        <v>5643</v>
      </c>
      <c r="F17" s="16" t="s">
        <v>5644</v>
      </c>
      <c r="G17" s="16" t="s">
        <v>179</v>
      </c>
      <c r="H17" s="10" t="s">
        <v>132</v>
      </c>
      <c r="I17" s="16" t="s">
        <v>18</v>
      </c>
      <c r="J17" s="14">
        <v>46044</v>
      </c>
      <c r="K17" s="12" t="s">
        <v>5645</v>
      </c>
      <c r="L17" s="20">
        <f t="shared" si="0"/>
        <v>46051</v>
      </c>
      <c r="M17" s="14">
        <v>46068</v>
      </c>
      <c r="N17" s="92">
        <f t="shared" si="1"/>
        <v>17</v>
      </c>
      <c r="O17" s="12" t="s">
        <v>5647</v>
      </c>
      <c r="P17" s="16" t="s">
        <v>5</v>
      </c>
      <c r="Q17" s="20">
        <v>46107</v>
      </c>
      <c r="R17" s="12" t="s">
        <v>6142</v>
      </c>
      <c r="S17" s="20">
        <f t="shared" si="2"/>
        <v>46114</v>
      </c>
      <c r="T17" s="20">
        <v>46113</v>
      </c>
      <c r="U17" s="92">
        <f t="shared" si="3"/>
        <v>-1</v>
      </c>
      <c r="V17" s="12" t="s">
        <v>6145</v>
      </c>
      <c r="W17" s="12"/>
      <c r="X17" s="20"/>
      <c r="Y17" s="12"/>
      <c r="Z17" s="12"/>
      <c r="AA17" s="20"/>
      <c r="AB17" s="20"/>
      <c r="AC17" s="12"/>
      <c r="AD17" s="12"/>
      <c r="AE17" s="20"/>
      <c r="AF17" s="12"/>
      <c r="AG17" s="12"/>
      <c r="AH17" s="20"/>
      <c r="AI17" s="20"/>
      <c r="AJ17" s="12"/>
      <c r="AK17" s="10"/>
      <c r="AL17" s="14"/>
      <c r="AM17" s="12"/>
      <c r="AN17" s="12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2"/>
      <c r="BF17" s="473"/>
    </row>
    <row r="18" spans="1:58" s="381" customFormat="1" ht="42" customHeight="1" x14ac:dyDescent="0.25">
      <c r="A18" s="367">
        <v>730007</v>
      </c>
      <c r="B18" s="16" t="s">
        <v>5</v>
      </c>
      <c r="C18" s="56" t="s">
        <v>208</v>
      </c>
      <c r="D18" s="12" t="s">
        <v>6146</v>
      </c>
      <c r="E18" s="12" t="s">
        <v>6147</v>
      </c>
      <c r="F18" s="16" t="s">
        <v>6150</v>
      </c>
      <c r="G18" s="16" t="s">
        <v>179</v>
      </c>
      <c r="H18" s="10" t="s">
        <v>132</v>
      </c>
      <c r="I18" s="16" t="s">
        <v>18</v>
      </c>
      <c r="J18" s="14">
        <v>46107</v>
      </c>
      <c r="K18" s="12" t="s">
        <v>6152</v>
      </c>
      <c r="L18" s="20">
        <f t="shared" si="0"/>
        <v>46114</v>
      </c>
      <c r="M18" s="14">
        <v>46113</v>
      </c>
      <c r="N18" s="92">
        <f t="shared" si="1"/>
        <v>-1</v>
      </c>
      <c r="O18" s="12" t="s">
        <v>6161</v>
      </c>
      <c r="P18" s="16" t="s">
        <v>5</v>
      </c>
      <c r="Q18" s="20">
        <v>46136</v>
      </c>
      <c r="R18" s="12" t="s">
        <v>6502</v>
      </c>
      <c r="S18" s="20">
        <f t="shared" si="2"/>
        <v>46143</v>
      </c>
      <c r="T18" s="14">
        <v>46142</v>
      </c>
      <c r="U18" s="92">
        <f t="shared" si="3"/>
        <v>-1</v>
      </c>
      <c r="V18" s="12" t="s">
        <v>6522</v>
      </c>
      <c r="W18" s="12"/>
      <c r="X18" s="20"/>
      <c r="Y18" s="12"/>
      <c r="Z18" s="12"/>
      <c r="AA18" s="20"/>
      <c r="AB18" s="20"/>
      <c r="AC18" s="12"/>
      <c r="AD18" s="12"/>
      <c r="AE18" s="20"/>
      <c r="AF18" s="12"/>
      <c r="AG18" s="12"/>
      <c r="AH18" s="20"/>
      <c r="AI18" s="20"/>
      <c r="AJ18" s="12"/>
      <c r="AK18" s="10"/>
      <c r="AL18" s="14"/>
      <c r="AM18" s="12"/>
      <c r="AN18" s="12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2"/>
      <c r="BF18" s="473"/>
    </row>
    <row r="19" spans="1:58" s="381" customFormat="1" ht="42" customHeight="1" x14ac:dyDescent="0.25">
      <c r="A19" s="367">
        <v>730007</v>
      </c>
      <c r="B19" s="16" t="s">
        <v>5</v>
      </c>
      <c r="C19" s="56" t="s">
        <v>588</v>
      </c>
      <c r="D19" s="12" t="s">
        <v>6149</v>
      </c>
      <c r="E19" s="12" t="s">
        <v>6148</v>
      </c>
      <c r="F19" s="16" t="s">
        <v>6245</v>
      </c>
      <c r="G19" s="16" t="s">
        <v>179</v>
      </c>
      <c r="H19" s="10" t="s">
        <v>132</v>
      </c>
      <c r="I19" s="16" t="s">
        <v>18</v>
      </c>
      <c r="J19" s="14">
        <v>46117</v>
      </c>
      <c r="K19" s="12" t="s">
        <v>6246</v>
      </c>
      <c r="L19" s="20">
        <f t="shared" si="0"/>
        <v>46124</v>
      </c>
      <c r="M19" s="14">
        <v>46125</v>
      </c>
      <c r="N19" s="92">
        <f t="shared" si="1"/>
        <v>1</v>
      </c>
      <c r="O19" s="12" t="s">
        <v>6261</v>
      </c>
      <c r="P19" s="16" t="s">
        <v>18</v>
      </c>
      <c r="Q19" s="20">
        <v>46136</v>
      </c>
      <c r="R19" s="12" t="s">
        <v>6503</v>
      </c>
      <c r="S19" s="20">
        <f t="shared" ref="S19:S24" si="4">Q19+7</f>
        <v>46143</v>
      </c>
      <c r="T19" s="14">
        <v>46142</v>
      </c>
      <c r="U19" s="92">
        <f t="shared" ref="U19:U24" si="5">T19-S19</f>
        <v>-1</v>
      </c>
      <c r="V19" s="12" t="s">
        <v>6521</v>
      </c>
      <c r="W19" s="12" t="s">
        <v>5</v>
      </c>
      <c r="X19" s="20">
        <v>46145</v>
      </c>
      <c r="Y19" s="12" t="s">
        <v>6628</v>
      </c>
      <c r="Z19" s="20">
        <f>X19+7</f>
        <v>46152</v>
      </c>
      <c r="AA19" s="14">
        <v>46152</v>
      </c>
      <c r="AB19" s="92">
        <f>AA19-Z19</f>
        <v>0</v>
      </c>
      <c r="AC19" s="12" t="s">
        <v>6644</v>
      </c>
      <c r="AD19" s="12"/>
      <c r="AE19" s="20"/>
      <c r="AF19" s="12"/>
      <c r="AG19" s="12"/>
      <c r="AH19" s="20"/>
      <c r="AI19" s="20"/>
      <c r="AJ19" s="12"/>
      <c r="AK19" s="10"/>
      <c r="AL19" s="14"/>
      <c r="AM19" s="12"/>
      <c r="AN19" s="12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2"/>
      <c r="BF19" s="473"/>
    </row>
    <row r="20" spans="1:58" s="381" customFormat="1" ht="42" customHeight="1" x14ac:dyDescent="0.25">
      <c r="A20" s="367">
        <v>730007</v>
      </c>
      <c r="B20" s="16" t="s">
        <v>5</v>
      </c>
      <c r="C20" s="56" t="s">
        <v>588</v>
      </c>
      <c r="D20" s="12" t="s">
        <v>6348</v>
      </c>
      <c r="E20" s="12" t="s">
        <v>6347</v>
      </c>
      <c r="F20" s="16" t="s">
        <v>6346</v>
      </c>
      <c r="G20" s="16" t="s">
        <v>179</v>
      </c>
      <c r="H20" s="10" t="s">
        <v>132</v>
      </c>
      <c r="I20" s="16" t="s">
        <v>18</v>
      </c>
      <c r="J20" s="14">
        <v>46125</v>
      </c>
      <c r="K20" s="12" t="s">
        <v>6349</v>
      </c>
      <c r="L20" s="20">
        <f t="shared" si="0"/>
        <v>46132</v>
      </c>
      <c r="M20" s="14">
        <v>46133</v>
      </c>
      <c r="N20" s="92">
        <f t="shared" si="1"/>
        <v>1</v>
      </c>
      <c r="O20" s="12" t="s">
        <v>6378</v>
      </c>
      <c r="P20" s="16" t="s">
        <v>18</v>
      </c>
      <c r="Q20" s="20">
        <v>46136</v>
      </c>
      <c r="R20" s="12" t="s">
        <v>6504</v>
      </c>
      <c r="S20" s="20">
        <f t="shared" si="4"/>
        <v>46143</v>
      </c>
      <c r="T20" s="14">
        <v>46142</v>
      </c>
      <c r="U20" s="92">
        <f t="shared" si="5"/>
        <v>-1</v>
      </c>
      <c r="V20" s="12" t="s">
        <v>6520</v>
      </c>
      <c r="W20" s="12" t="s">
        <v>5</v>
      </c>
      <c r="X20" s="20">
        <v>46145</v>
      </c>
      <c r="Y20" s="12" t="s">
        <v>6629</v>
      </c>
      <c r="Z20" s="20">
        <f>X20+7</f>
        <v>46152</v>
      </c>
      <c r="AA20" s="20">
        <v>46149</v>
      </c>
      <c r="AB20" s="92">
        <f>AA20-Z20</f>
        <v>-3</v>
      </c>
      <c r="AC20" s="12" t="s">
        <v>6645</v>
      </c>
      <c r="AD20" s="12"/>
      <c r="AE20" s="20"/>
      <c r="AF20" s="12"/>
      <c r="AG20" s="12"/>
      <c r="AH20" s="20"/>
      <c r="AI20" s="20"/>
      <c r="AJ20" s="12"/>
      <c r="AK20" s="10"/>
      <c r="AL20" s="14"/>
      <c r="AM20" s="12"/>
      <c r="AN20" s="12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2"/>
      <c r="BF20" s="473"/>
    </row>
    <row r="21" spans="1:58" s="381" customFormat="1" ht="42" customHeight="1" x14ac:dyDescent="0.25">
      <c r="A21" s="367">
        <v>730007</v>
      </c>
      <c r="B21" s="16" t="s">
        <v>18</v>
      </c>
      <c r="C21" s="56" t="s">
        <v>588</v>
      </c>
      <c r="D21" s="12" t="s">
        <v>6509</v>
      </c>
      <c r="E21" s="12" t="s">
        <v>6512</v>
      </c>
      <c r="F21" s="16" t="s">
        <v>6511</v>
      </c>
      <c r="G21" s="16" t="s">
        <v>179</v>
      </c>
      <c r="H21" s="10" t="s">
        <v>132</v>
      </c>
      <c r="I21" s="16" t="s">
        <v>3</v>
      </c>
      <c r="J21" s="14">
        <v>46137</v>
      </c>
      <c r="K21" s="12" t="s">
        <v>6508</v>
      </c>
      <c r="L21" s="20">
        <f t="shared" si="0"/>
        <v>46144</v>
      </c>
      <c r="M21" s="14">
        <v>46146</v>
      </c>
      <c r="N21" s="92">
        <f t="shared" si="1"/>
        <v>2</v>
      </c>
      <c r="O21" s="12" t="s">
        <v>6519</v>
      </c>
      <c r="P21" s="16" t="s">
        <v>18</v>
      </c>
      <c r="Q21" s="20">
        <v>46154</v>
      </c>
      <c r="R21" s="12" t="s">
        <v>6739</v>
      </c>
      <c r="S21" s="20">
        <f t="shared" si="4"/>
        <v>46161</v>
      </c>
      <c r="T21" s="14">
        <v>46165</v>
      </c>
      <c r="U21" s="92">
        <f t="shared" si="5"/>
        <v>4</v>
      </c>
      <c r="V21" s="12" t="s">
        <v>6779</v>
      </c>
      <c r="W21" s="16" t="s">
        <v>18</v>
      </c>
      <c r="X21" s="20">
        <v>46165</v>
      </c>
      <c r="Y21" s="12" t="s">
        <v>6900</v>
      </c>
      <c r="Z21" s="20">
        <f>X21+7</f>
        <v>46172</v>
      </c>
      <c r="AA21" s="20">
        <v>46174</v>
      </c>
      <c r="AB21" s="92">
        <f>AA21-Z21</f>
        <v>2</v>
      </c>
      <c r="AC21" s="12" t="s">
        <v>6910</v>
      </c>
      <c r="AD21" s="12"/>
      <c r="AE21" s="20"/>
      <c r="AF21" s="12"/>
      <c r="AG21" s="12"/>
      <c r="AH21" s="20"/>
      <c r="AI21" s="20"/>
      <c r="AJ21" s="12"/>
      <c r="AK21" s="10"/>
      <c r="AL21" s="14"/>
      <c r="AM21" s="12"/>
      <c r="AN21" s="12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2"/>
      <c r="BF21" s="473"/>
    </row>
    <row r="22" spans="1:58" s="381" customFormat="1" ht="42" customHeight="1" x14ac:dyDescent="0.25">
      <c r="A22" s="367">
        <v>730007</v>
      </c>
      <c r="B22" s="16" t="s">
        <v>5</v>
      </c>
      <c r="C22" s="56" t="s">
        <v>208</v>
      </c>
      <c r="D22" s="12" t="s">
        <v>6575</v>
      </c>
      <c r="E22" s="12" t="s">
        <v>6576</v>
      </c>
      <c r="F22" s="16" t="s">
        <v>6577</v>
      </c>
      <c r="G22" s="16" t="s">
        <v>179</v>
      </c>
      <c r="H22" s="10" t="s">
        <v>132</v>
      </c>
      <c r="I22" s="16" t="s">
        <v>3</v>
      </c>
      <c r="J22" s="14">
        <v>46141</v>
      </c>
      <c r="K22" s="12" t="s">
        <v>6578</v>
      </c>
      <c r="L22" s="20">
        <f>J22+7</f>
        <v>46148</v>
      </c>
      <c r="M22" s="14">
        <v>46147</v>
      </c>
      <c r="N22" s="92">
        <f>M22-L22</f>
        <v>-1</v>
      </c>
      <c r="O22" s="12" t="s">
        <v>6608</v>
      </c>
      <c r="P22" s="16" t="s">
        <v>5</v>
      </c>
      <c r="Q22" s="20">
        <v>46148</v>
      </c>
      <c r="R22" s="12" t="s">
        <v>6680</v>
      </c>
      <c r="S22" s="20">
        <f t="shared" si="4"/>
        <v>46155</v>
      </c>
      <c r="T22" s="14">
        <v>46149</v>
      </c>
      <c r="U22" s="92">
        <f t="shared" si="5"/>
        <v>-6</v>
      </c>
      <c r="V22" s="12" t="s">
        <v>6699</v>
      </c>
      <c r="W22" s="12"/>
      <c r="X22" s="20"/>
      <c r="Y22" s="12"/>
      <c r="Z22" s="12"/>
      <c r="AA22" s="20"/>
      <c r="AB22" s="20"/>
      <c r="AC22" s="12"/>
      <c r="AD22" s="12"/>
      <c r="AE22" s="20"/>
      <c r="AF22" s="12"/>
      <c r="AG22" s="12"/>
      <c r="AH22" s="20"/>
      <c r="AI22" s="20"/>
      <c r="AJ22" s="12"/>
      <c r="AK22" s="10"/>
      <c r="AL22" s="14"/>
      <c r="AM22" s="12"/>
      <c r="AN22" s="12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2"/>
      <c r="BF22" s="473"/>
    </row>
    <row r="23" spans="1:58" s="381" customFormat="1" ht="42" customHeight="1" x14ac:dyDescent="0.25">
      <c r="A23" s="367">
        <v>100008</v>
      </c>
      <c r="B23" s="11" t="s">
        <v>5</v>
      </c>
      <c r="C23" s="56" t="s">
        <v>208</v>
      </c>
      <c r="D23" s="12" t="s">
        <v>5071</v>
      </c>
      <c r="E23" s="12" t="s">
        <v>5070</v>
      </c>
      <c r="F23" s="16" t="s">
        <v>5072</v>
      </c>
      <c r="G23" s="16" t="s">
        <v>179</v>
      </c>
      <c r="H23" s="10" t="s">
        <v>132</v>
      </c>
      <c r="I23" s="16" t="s">
        <v>3</v>
      </c>
      <c r="J23" s="14">
        <v>45991</v>
      </c>
      <c r="K23" s="12" t="s">
        <v>5073</v>
      </c>
      <c r="L23" s="20">
        <f t="shared" si="0"/>
        <v>45998</v>
      </c>
      <c r="M23" s="14">
        <v>46008</v>
      </c>
      <c r="N23" s="92">
        <f t="shared" si="1"/>
        <v>10</v>
      </c>
      <c r="O23" s="12" t="s">
        <v>5186</v>
      </c>
      <c r="P23" s="16" t="s">
        <v>5</v>
      </c>
      <c r="Q23" s="20">
        <v>46226</v>
      </c>
      <c r="R23" s="150" t="s">
        <v>7324</v>
      </c>
      <c r="S23" s="20">
        <f t="shared" si="4"/>
        <v>46233</v>
      </c>
      <c r="T23" s="20">
        <v>46236</v>
      </c>
      <c r="U23" s="92">
        <f t="shared" si="5"/>
        <v>3</v>
      </c>
      <c r="V23" s="151" t="s">
        <v>7326</v>
      </c>
      <c r="W23" s="12"/>
      <c r="X23" s="20"/>
      <c r="Y23" s="12"/>
      <c r="Z23" s="12"/>
      <c r="AA23" s="20"/>
      <c r="AB23" s="20"/>
      <c r="AC23" s="12"/>
      <c r="AD23" s="12"/>
      <c r="AE23" s="20"/>
      <c r="AF23" s="12"/>
      <c r="AG23" s="12"/>
      <c r="AH23" s="20"/>
      <c r="AI23" s="20"/>
      <c r="AJ23" s="12"/>
      <c r="AK23" s="10"/>
      <c r="AL23" s="14"/>
      <c r="AM23" s="12"/>
      <c r="AN23" s="12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2"/>
      <c r="BF23" s="473"/>
    </row>
    <row r="24" spans="1:58" s="381" customFormat="1" ht="42" customHeight="1" x14ac:dyDescent="0.25">
      <c r="A24" s="367">
        <v>100008</v>
      </c>
      <c r="B24" s="11" t="s">
        <v>5</v>
      </c>
      <c r="C24" s="56" t="s">
        <v>208</v>
      </c>
      <c r="D24" s="12" t="s">
        <v>5187</v>
      </c>
      <c r="E24" s="12" t="s">
        <v>5189</v>
      </c>
      <c r="F24" s="16" t="s">
        <v>5191</v>
      </c>
      <c r="G24" s="16" t="s">
        <v>179</v>
      </c>
      <c r="H24" s="10" t="s">
        <v>132</v>
      </c>
      <c r="I24" s="16" t="s">
        <v>3</v>
      </c>
      <c r="J24" s="14">
        <v>46004</v>
      </c>
      <c r="K24" s="12" t="s">
        <v>5195</v>
      </c>
      <c r="L24" s="20">
        <f t="shared" si="0"/>
        <v>46011</v>
      </c>
      <c r="M24" s="14">
        <v>46026</v>
      </c>
      <c r="N24" s="92">
        <f t="shared" si="1"/>
        <v>15</v>
      </c>
      <c r="O24" s="12" t="s">
        <v>5217</v>
      </c>
      <c r="P24" s="16" t="s">
        <v>5</v>
      </c>
      <c r="Q24" s="20">
        <v>46106</v>
      </c>
      <c r="R24" s="12" t="s">
        <v>6129</v>
      </c>
      <c r="S24" s="20">
        <f t="shared" si="4"/>
        <v>46113</v>
      </c>
      <c r="T24" s="20">
        <v>46106</v>
      </c>
      <c r="U24" s="92">
        <f t="shared" si="5"/>
        <v>-7</v>
      </c>
      <c r="V24" s="12"/>
      <c r="W24" s="12"/>
      <c r="X24" s="20"/>
      <c r="Y24" s="12"/>
      <c r="Z24" s="12"/>
      <c r="AA24" s="20"/>
      <c r="AB24" s="20"/>
      <c r="AC24" s="12"/>
      <c r="AD24" s="12"/>
      <c r="AE24" s="20"/>
      <c r="AF24" s="12"/>
      <c r="AG24" s="12"/>
      <c r="AH24" s="20"/>
      <c r="AI24" s="20"/>
      <c r="AJ24" s="12"/>
      <c r="AK24" s="10"/>
      <c r="AL24" s="14"/>
      <c r="AM24" s="12"/>
      <c r="AN24" s="12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2"/>
      <c r="BF24" s="473"/>
    </row>
    <row r="25" spans="1:58" s="381" customFormat="1" ht="42" customHeight="1" x14ac:dyDescent="0.25">
      <c r="A25" s="367">
        <v>100008</v>
      </c>
      <c r="B25" s="58" t="s">
        <v>508</v>
      </c>
      <c r="C25" s="56" t="s">
        <v>627</v>
      </c>
      <c r="D25" s="12" t="s">
        <v>5188</v>
      </c>
      <c r="E25" s="12" t="s">
        <v>5190</v>
      </c>
      <c r="F25" s="16" t="s">
        <v>5192</v>
      </c>
      <c r="G25" s="16" t="s">
        <v>179</v>
      </c>
      <c r="H25" s="10" t="s">
        <v>132</v>
      </c>
      <c r="I25" s="16" t="s">
        <v>3</v>
      </c>
      <c r="J25" s="14">
        <v>46004</v>
      </c>
      <c r="K25" s="12" t="s">
        <v>5196</v>
      </c>
      <c r="L25" s="20">
        <f t="shared" si="0"/>
        <v>46011</v>
      </c>
      <c r="M25" s="14">
        <v>46025</v>
      </c>
      <c r="N25" s="92">
        <f t="shared" si="1"/>
        <v>14</v>
      </c>
      <c r="O25" s="12" t="s">
        <v>5218</v>
      </c>
      <c r="P25" s="16" t="s">
        <v>508</v>
      </c>
      <c r="Q25" s="20">
        <v>46060</v>
      </c>
      <c r="R25" s="12" t="s">
        <v>5791</v>
      </c>
      <c r="S25" s="12" t="s">
        <v>626</v>
      </c>
      <c r="T25" s="20" t="s">
        <v>626</v>
      </c>
      <c r="U25" s="91" t="s">
        <v>626</v>
      </c>
      <c r="V25" s="12" t="s">
        <v>626</v>
      </c>
      <c r="W25" s="12"/>
      <c r="X25" s="20"/>
      <c r="Y25" s="12"/>
      <c r="Z25" s="12"/>
      <c r="AA25" s="20"/>
      <c r="AB25" s="20"/>
      <c r="AC25" s="12"/>
      <c r="AD25" s="12"/>
      <c r="AE25" s="20"/>
      <c r="AF25" s="12"/>
      <c r="AG25" s="12"/>
      <c r="AH25" s="20"/>
      <c r="AI25" s="20"/>
      <c r="AJ25" s="12"/>
      <c r="AK25" s="10"/>
      <c r="AL25" s="14"/>
      <c r="AM25" s="12"/>
      <c r="AN25" s="12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2"/>
      <c r="BF25" s="473"/>
    </row>
    <row r="26" spans="1:58" s="381" customFormat="1" ht="42" customHeight="1" x14ac:dyDescent="0.25">
      <c r="A26" s="367">
        <v>100008</v>
      </c>
      <c r="B26" s="11" t="s">
        <v>5</v>
      </c>
      <c r="C26" s="56" t="s">
        <v>208</v>
      </c>
      <c r="D26" s="12" t="s">
        <v>5254</v>
      </c>
      <c r="E26" s="12" t="s">
        <v>5257</v>
      </c>
      <c r="F26" s="16" t="s">
        <v>5258</v>
      </c>
      <c r="G26" s="16" t="s">
        <v>179</v>
      </c>
      <c r="H26" s="10" t="s">
        <v>132</v>
      </c>
      <c r="I26" s="16" t="s">
        <v>18</v>
      </c>
      <c r="J26" s="14">
        <v>46006</v>
      </c>
      <c r="K26" s="12" t="s">
        <v>5259</v>
      </c>
      <c r="L26" s="20">
        <f t="shared" si="0"/>
        <v>46013</v>
      </c>
      <c r="M26" s="14">
        <v>46027</v>
      </c>
      <c r="N26" s="92">
        <f t="shared" si="1"/>
        <v>14</v>
      </c>
      <c r="O26" s="12" t="s">
        <v>5300</v>
      </c>
      <c r="P26" s="16" t="s">
        <v>5</v>
      </c>
      <c r="Q26" s="20">
        <v>46047</v>
      </c>
      <c r="R26" s="12" t="s">
        <v>5658</v>
      </c>
      <c r="S26" s="20">
        <f>Q26+7</f>
        <v>46054</v>
      </c>
      <c r="T26" s="20">
        <v>46068</v>
      </c>
      <c r="U26" s="92">
        <f>T26-S26</f>
        <v>14</v>
      </c>
      <c r="V26" s="12" t="s">
        <v>5670</v>
      </c>
      <c r="W26" s="12"/>
      <c r="X26" s="20"/>
      <c r="Y26" s="12"/>
      <c r="Z26" s="12"/>
      <c r="AA26" s="20"/>
      <c r="AB26" s="20"/>
      <c r="AC26" s="12"/>
      <c r="AD26" s="12"/>
      <c r="AE26" s="20"/>
      <c r="AF26" s="12"/>
      <c r="AG26" s="12"/>
      <c r="AH26" s="20"/>
      <c r="AI26" s="20"/>
      <c r="AJ26" s="12"/>
      <c r="AK26" s="10"/>
      <c r="AL26" s="14"/>
      <c r="AM26" s="12"/>
      <c r="AN26" s="12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2"/>
      <c r="BF26" s="473"/>
    </row>
    <row r="27" spans="1:58" s="381" customFormat="1" ht="42" customHeight="1" x14ac:dyDescent="0.25">
      <c r="A27" s="367">
        <v>100008</v>
      </c>
      <c r="B27" s="58" t="s">
        <v>508</v>
      </c>
      <c r="C27" s="56" t="s">
        <v>627</v>
      </c>
      <c r="D27" s="12" t="s">
        <v>5255</v>
      </c>
      <c r="E27" s="12" t="s">
        <v>5260</v>
      </c>
      <c r="F27" s="16" t="s">
        <v>5261</v>
      </c>
      <c r="G27" s="16" t="s">
        <v>179</v>
      </c>
      <c r="H27" s="10" t="s">
        <v>132</v>
      </c>
      <c r="I27" s="16" t="s">
        <v>3</v>
      </c>
      <c r="J27" s="14">
        <v>46006</v>
      </c>
      <c r="K27" s="12" t="s">
        <v>5262</v>
      </c>
      <c r="L27" s="20">
        <f>J27+7</f>
        <v>46013</v>
      </c>
      <c r="M27" s="14">
        <v>46025</v>
      </c>
      <c r="N27" s="92">
        <f>M27-L27</f>
        <v>12</v>
      </c>
      <c r="O27" s="12" t="s">
        <v>5301</v>
      </c>
      <c r="P27" s="16" t="s">
        <v>508</v>
      </c>
      <c r="Q27" s="20">
        <v>46096</v>
      </c>
      <c r="R27" s="12" t="s">
        <v>6064</v>
      </c>
      <c r="S27" s="12" t="s">
        <v>626</v>
      </c>
      <c r="T27" s="20" t="s">
        <v>626</v>
      </c>
      <c r="U27" s="91" t="s">
        <v>626</v>
      </c>
      <c r="V27" s="12" t="s">
        <v>626</v>
      </c>
      <c r="W27" s="12"/>
      <c r="X27" s="20"/>
      <c r="Y27" s="12"/>
      <c r="Z27" s="12"/>
      <c r="AA27" s="20"/>
      <c r="AB27" s="20"/>
      <c r="AC27" s="12"/>
      <c r="AD27" s="12"/>
      <c r="AE27" s="20"/>
      <c r="AF27" s="12"/>
      <c r="AG27" s="12"/>
      <c r="AH27" s="20"/>
      <c r="AI27" s="20"/>
      <c r="AJ27" s="12"/>
      <c r="AK27" s="10"/>
      <c r="AL27" s="14"/>
      <c r="AM27" s="12"/>
      <c r="AN27" s="12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2"/>
      <c r="BF27" s="473"/>
    </row>
    <row r="28" spans="1:58" s="381" customFormat="1" ht="42" customHeight="1" x14ac:dyDescent="0.25">
      <c r="A28" s="367">
        <v>100008</v>
      </c>
      <c r="B28" s="11" t="s">
        <v>5</v>
      </c>
      <c r="C28" s="56" t="s">
        <v>208</v>
      </c>
      <c r="D28" s="12" t="s">
        <v>5256</v>
      </c>
      <c r="E28" s="12" t="s">
        <v>5263</v>
      </c>
      <c r="F28" s="16" t="s">
        <v>5597</v>
      </c>
      <c r="G28" s="16" t="s">
        <v>179</v>
      </c>
      <c r="H28" s="10" t="s">
        <v>132</v>
      </c>
      <c r="I28" s="16" t="s">
        <v>3</v>
      </c>
      <c r="J28" s="14">
        <v>46006</v>
      </c>
      <c r="K28" s="13" t="s">
        <v>5264</v>
      </c>
      <c r="L28" s="20">
        <f>J28+7</f>
        <v>46013</v>
      </c>
      <c r="M28" s="14">
        <v>46027</v>
      </c>
      <c r="N28" s="92">
        <f>M28-L28</f>
        <v>14</v>
      </c>
      <c r="O28" s="10" t="s">
        <v>5303</v>
      </c>
      <c r="P28" s="12" t="s">
        <v>5</v>
      </c>
      <c r="Q28" s="21">
        <v>46042</v>
      </c>
      <c r="R28" s="10" t="s">
        <v>5598</v>
      </c>
      <c r="S28" s="20">
        <f>Q28+7</f>
        <v>46049</v>
      </c>
      <c r="T28" s="20">
        <v>46049</v>
      </c>
      <c r="U28" s="92">
        <f>T28-S28</f>
        <v>0</v>
      </c>
      <c r="V28" s="10" t="s">
        <v>5616</v>
      </c>
      <c r="W28" s="10"/>
      <c r="X28" s="21"/>
      <c r="Y28" s="10"/>
      <c r="Z28" s="10"/>
      <c r="AA28" s="21"/>
      <c r="AB28" s="21"/>
      <c r="AC28" s="10"/>
      <c r="AD28" s="10"/>
      <c r="AE28" s="21"/>
      <c r="AF28" s="10"/>
      <c r="AG28" s="10"/>
      <c r="AH28" s="21"/>
      <c r="AI28" s="21"/>
      <c r="AJ28" s="10"/>
      <c r="AK28" s="10"/>
      <c r="AL28" s="17"/>
      <c r="AM28" s="11"/>
      <c r="AN28" s="11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1"/>
      <c r="BF28" s="473"/>
    </row>
    <row r="29" spans="1:58" s="381" customFormat="1" ht="42" customHeight="1" thickBot="1" x14ac:dyDescent="0.3">
      <c r="A29" s="369"/>
      <c r="B29" s="371"/>
      <c r="C29" s="371"/>
      <c r="D29" s="370"/>
      <c r="E29" s="370"/>
      <c r="F29" s="262"/>
      <c r="G29" s="263"/>
      <c r="H29" s="263"/>
      <c r="I29" s="262"/>
      <c r="J29" s="474"/>
      <c r="K29" s="373"/>
      <c r="L29" s="373"/>
      <c r="M29" s="474"/>
      <c r="N29" s="474"/>
      <c r="O29" s="263"/>
      <c r="P29" s="263"/>
      <c r="Q29" s="374"/>
      <c r="R29" s="263"/>
      <c r="S29" s="263"/>
      <c r="T29" s="374"/>
      <c r="U29" s="375"/>
      <c r="V29" s="263"/>
      <c r="W29" s="263"/>
      <c r="X29" s="374"/>
      <c r="Y29" s="263"/>
      <c r="Z29" s="263"/>
      <c r="AA29" s="374"/>
      <c r="AB29" s="374"/>
      <c r="AC29" s="263"/>
      <c r="AD29" s="263"/>
      <c r="AE29" s="374"/>
      <c r="AF29" s="263"/>
      <c r="AG29" s="263"/>
      <c r="AH29" s="374"/>
      <c r="AI29" s="374"/>
      <c r="AJ29" s="263"/>
      <c r="AK29" s="263"/>
      <c r="AL29" s="376"/>
      <c r="AM29" s="371"/>
      <c r="AN29" s="371"/>
      <c r="AO29" s="376"/>
      <c r="AP29" s="376"/>
      <c r="AQ29" s="376"/>
      <c r="AR29" s="376"/>
      <c r="AS29" s="376"/>
      <c r="AT29" s="376"/>
      <c r="AU29" s="376"/>
      <c r="AV29" s="376"/>
      <c r="AW29" s="376"/>
      <c r="AX29" s="376"/>
      <c r="AY29" s="376"/>
      <c r="AZ29" s="376"/>
      <c r="BA29" s="376"/>
      <c r="BB29" s="376"/>
      <c r="BC29" s="376"/>
      <c r="BD29" s="376"/>
      <c r="BE29" s="371"/>
      <c r="BF29" s="475"/>
    </row>
  </sheetData>
  <autoFilter ref="A11:BF11" xr:uid="{00000000-0001-0000-1900-000000000000}"/>
  <mergeCells count="18">
    <mergeCell ref="A10:A11"/>
    <mergeCell ref="H1:H2"/>
    <mergeCell ref="I1:I2"/>
    <mergeCell ref="G10:G11"/>
    <mergeCell ref="B10:B11"/>
    <mergeCell ref="C10:C11"/>
    <mergeCell ref="D10:D11"/>
    <mergeCell ref="E10:E11"/>
    <mergeCell ref="F10:F11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0:A29">
    <cfRule type="cellIs" dxfId="2226" priority="5" operator="equal">
      <formula>"E - Review not Required - Proceed"</formula>
    </cfRule>
    <cfRule type="cellIs" dxfId="2225" priority="6" operator="equal">
      <formula>"D - Rejected"</formula>
    </cfRule>
    <cfRule type="cellIs" dxfId="2224" priority="7" operator="equal">
      <formula>"B- Incorporate Comments - Proceed"</formula>
    </cfRule>
    <cfRule type="cellIs" dxfId="2223" priority="8" operator="equal">
      <formula>"C - Revise and Resubmit - Do Not Proceed"</formula>
    </cfRule>
    <cfRule type="cellIs" dxfId="2222" priority="9" operator="equal">
      <formula>"A - Work May Proceed"</formula>
    </cfRule>
  </conditionalFormatting>
  <conditionalFormatting sqref="B12:XFD12 B13:X13 Z13:XFD13 B14:XFD14 B15:Q15 S15:XFD15 B16:XFD22 B23:Q23 S23:U23 W23:XFD23 B24:XFD1048576">
    <cfRule type="cellIs" dxfId="2221" priority="34" operator="equal">
      <formula>"E - Review not Required - Proceed"</formula>
    </cfRule>
    <cfRule type="cellIs" dxfId="2220" priority="35" operator="equal">
      <formula>"D - Rejected"</formula>
    </cfRule>
    <cfRule type="cellIs" dxfId="2219" priority="36" operator="equal">
      <formula>"B- Incorporate Comments - Proceed"</formula>
    </cfRule>
    <cfRule type="cellIs" dxfId="2218" priority="37" operator="equal">
      <formula>"C - Revise and Resubmit - Do Not Proceed"</formula>
    </cfRule>
    <cfRule type="cellIs" dxfId="2217" priority="38" operator="equal">
      <formula>"A - Work May Proceed"</formula>
    </cfRule>
  </conditionalFormatting>
  <conditionalFormatting sqref="D11:BE11 B1:G2 W1:XFD9 B3:H4 B9:H9 B10:XFD10 B11">
    <cfRule type="cellIs" dxfId="2216" priority="86" operator="equal">
      <formula>"B- Incorporate Comments - Proceed"</formula>
    </cfRule>
    <cfRule type="cellIs" dxfId="2215" priority="85" operator="equal">
      <formula>"D - Rejected"</formula>
    </cfRule>
    <cfRule type="cellIs" dxfId="2214" priority="84" operator="equal">
      <formula>"E - Review not Required - Proceed"</formula>
    </cfRule>
    <cfRule type="cellIs" dxfId="2213" priority="88" operator="equal">
      <formula>"A - Work May Proceed"</formula>
    </cfRule>
    <cfRule type="cellIs" dxfId="2212" priority="87" operator="equal">
      <formula>"C - Revise and Resubmit - Do Not Proceed"</formula>
    </cfRule>
  </conditionalFormatting>
  <conditionalFormatting sqref="I11">
    <cfRule type="cellIs" dxfId="2211" priority="154" operator="equal">
      <formula>"For Information"</formula>
    </cfRule>
    <cfRule type="cellIs" dxfId="2210" priority="153" operator="equal">
      <formula>"B - Incorporate Comments - Proceed"</formula>
    </cfRule>
    <cfRule type="cellIs" dxfId="2209" priority="158" operator="between">
      <formula>"'D - Rejected "</formula>
      <formula>"'D - Rejected "</formula>
    </cfRule>
    <cfRule type="cellIs" dxfId="2208" priority="165" operator="between">
      <formula>"CANCELLED"</formula>
      <formula>"CANCELLED"</formula>
    </cfRule>
    <cfRule type="cellIs" dxfId="2207" priority="164" operator="between">
      <formula>"D - Rejected "</formula>
      <formula>"D - Rejected "</formula>
    </cfRule>
    <cfRule type="cellIs" dxfId="2206" priority="168" stopIfTrue="1" operator="between">
      <formula>"B - Incorporate Comments - Proceed "</formula>
      <formula>"B - Incorporate Comments - Proceed "</formula>
    </cfRule>
    <cfRule type="cellIs" dxfId="2205" priority="163" operator="between">
      <formula>"E - Review not Required - Proceed"</formula>
      <formula>"E - Review not Required - Proceed"</formula>
    </cfRule>
    <cfRule type="cellIs" dxfId="2204" priority="162" operator="between">
      <formula>"B - Incorporate Comments - Proceed"</formula>
      <formula>"B - Incorporate Comments - Proceed"</formula>
    </cfRule>
    <cfRule type="cellIs" dxfId="2203" priority="161" operator="between">
      <formula>"A - Work May Proceed"</formula>
      <formula>"A - Work May Proceed"</formula>
    </cfRule>
    <cfRule type="cellIs" dxfId="2202" priority="160" operator="between">
      <formula>"B - Incorporate Comments - Proceed"</formula>
      <formula>"B - Incorporate Comments - Proceed"</formula>
    </cfRule>
    <cfRule type="cellIs" dxfId="2201" priority="159" operator="between">
      <formula>"C - Revise and Resubmit - Do Not Proceed"</formula>
      <formula>"C - Revise and Resubmit - Do Not Proceed"</formula>
    </cfRule>
    <cfRule type="cellIs" dxfId="2200" priority="157" operator="between">
      <formula>"E - Review not Required - Proceed"</formula>
      <formula>"E - Review not Required - Proceed"</formula>
    </cfRule>
    <cfRule type="cellIs" dxfId="2199" priority="156" operator="equal">
      <formula>"E - Review Not Required - Proceed"</formula>
    </cfRule>
    <cfRule type="cellIs" dxfId="2198" priority="155" operator="equal">
      <formula>"B - Incorporate Comments - Proceed "</formula>
    </cfRule>
    <cfRule type="cellIs" dxfId="2197" priority="166" operator="between">
      <formula>"A - Work May Proceed"</formula>
      <formula>"A - Work May Proceed"</formula>
    </cfRule>
    <cfRule type="cellIs" dxfId="2196" priority="167" operator="between">
      <formula>"C - Revise and Resubmit - Do Not Proceed"</formula>
      <formula>"C - Revise and Resubmit - Do Not Proceed"</formula>
    </cfRule>
  </conditionalFormatting>
  <conditionalFormatting sqref="J5:J6 B5:I7 B8:J8">
    <cfRule type="cellIs" dxfId="2195" priority="39" operator="equal">
      <formula>"E - Review not Required - Proceed"</formula>
    </cfRule>
    <cfRule type="cellIs" dxfId="2194" priority="40" operator="equal">
      <formula>"D - Rejected"</formula>
    </cfRule>
    <cfRule type="cellIs" dxfId="2193" priority="41" operator="equal">
      <formula>"B- Incorporate Comments - Proceed"</formula>
    </cfRule>
    <cfRule type="cellIs" dxfId="2192" priority="42" operator="equal">
      <formula>"C - Revise and Resubmit - Do Not Proceed"</formula>
    </cfRule>
    <cfRule type="cellIs" dxfId="2191" priority="43" stopIfTrue="1" operator="equal">
      <formula>"A - Work May Proceed"</formula>
    </cfRule>
  </conditionalFormatting>
  <conditionalFormatting sqref="P11">
    <cfRule type="cellIs" dxfId="2190" priority="151" operator="between">
      <formula>"C - Revise and Resubmit - Do Not Proceed"</formula>
      <formula>"C - Revise and Resubmit - Do Not Proceed"</formula>
    </cfRule>
    <cfRule type="cellIs" dxfId="2189" priority="141" operator="between">
      <formula>"E - Review not Required - Proceed"</formula>
      <formula>"E - Review not Required - Proceed"</formula>
    </cfRule>
    <cfRule type="cellIs" dxfId="2188" priority="140" operator="equal">
      <formula>"E - Review Not Required - Proceed"</formula>
    </cfRule>
    <cfRule type="cellIs" dxfId="2187" priority="139" operator="equal">
      <formula>"B - Incorporate Comments - Proceed "</formula>
    </cfRule>
    <cfRule type="cellIs" dxfId="2186" priority="138" operator="equal">
      <formula>"For Information"</formula>
    </cfRule>
    <cfRule type="cellIs" dxfId="2185" priority="137" operator="equal">
      <formula>"B - Incorporate Comments - Proceed"</formula>
    </cfRule>
    <cfRule type="cellIs" dxfId="2184" priority="147" operator="between">
      <formula>"E - Review not Required - Proceed"</formula>
      <formula>"E - Review not Required - Proceed"</formula>
    </cfRule>
    <cfRule type="cellIs" dxfId="2183" priority="144" operator="between">
      <formula>"B - Incorporate Comments - Proceed"</formula>
      <formula>"B - Incorporate Comments - Proceed"</formula>
    </cfRule>
    <cfRule type="cellIs" dxfId="2182" priority="145" operator="between">
      <formula>"A - Work May Proceed"</formula>
      <formula>"A - Work May Proceed"</formula>
    </cfRule>
    <cfRule type="cellIs" dxfId="2181" priority="146" operator="between">
      <formula>"B - Incorporate Comments - Proceed"</formula>
      <formula>"B - Incorporate Comments - Proceed"</formula>
    </cfRule>
    <cfRule type="cellIs" dxfId="2180" priority="148" operator="between">
      <formula>"D - Rejected "</formula>
      <formula>"D - Rejected "</formula>
    </cfRule>
    <cfRule type="cellIs" dxfId="2179" priority="149" operator="between">
      <formula>"CANCELLED"</formula>
      <formula>"CANCELLED"</formula>
    </cfRule>
    <cfRule type="cellIs" dxfId="2178" priority="150" operator="between">
      <formula>"A - Work May Proceed"</formula>
      <formula>"A - Work May Proceed"</formula>
    </cfRule>
    <cfRule type="cellIs" dxfId="2177" priority="152" stopIfTrue="1" operator="between">
      <formula>"B - Incorporate Comments - Proceed "</formula>
      <formula>"B - Incorporate Comments - Proceed "</formula>
    </cfRule>
    <cfRule type="cellIs" dxfId="2176" priority="143" operator="between">
      <formula>"C - Revise and Resubmit - Do Not Proceed"</formula>
      <formula>"C - Revise and Resubmit - Do Not Proceed"</formula>
    </cfRule>
    <cfRule type="cellIs" dxfId="2175" priority="142" operator="between">
      <formula>"'D - Rejected "</formula>
      <formula>"'D - Rejected "</formula>
    </cfRule>
  </conditionalFormatting>
  <conditionalFormatting sqref="W11">
    <cfRule type="cellIs" dxfId="2174" priority="121" operator="equal">
      <formula>"B - Incorporate Comments - Proceed"</formula>
    </cfRule>
    <cfRule type="cellIs" dxfId="2173" priority="122" operator="equal">
      <formula>"For Information"</formula>
    </cfRule>
    <cfRule type="cellIs" dxfId="2172" priority="123" operator="equal">
      <formula>"B - Incorporate Comments - Proceed "</formula>
    </cfRule>
    <cfRule type="cellIs" dxfId="2171" priority="124" operator="equal">
      <formula>"E - Review Not Required - Proceed"</formula>
    </cfRule>
    <cfRule type="cellIs" dxfId="2170" priority="125" operator="between">
      <formula>"E - Review not Required - Proceed"</formula>
      <formula>"E - Review not Required - Proceed"</formula>
    </cfRule>
    <cfRule type="cellIs" dxfId="2169" priority="126" operator="between">
      <formula>"'D - Rejected "</formula>
      <formula>"'D - Rejected "</formula>
    </cfRule>
    <cfRule type="cellIs" dxfId="2168" priority="127" operator="between">
      <formula>"C - Revise and Resubmit - Do Not Proceed"</formula>
      <formula>"C - Revise and Resubmit - Do Not Proceed"</formula>
    </cfRule>
    <cfRule type="cellIs" dxfId="2167" priority="128" operator="between">
      <formula>"B - Incorporate Comments - Proceed"</formula>
      <formula>"B - Incorporate Comments - Proceed"</formula>
    </cfRule>
    <cfRule type="cellIs" dxfId="2166" priority="129" operator="between">
      <formula>"A - Work May Proceed"</formula>
      <formula>"A - Work May Proceed"</formula>
    </cfRule>
    <cfRule type="cellIs" dxfId="2165" priority="130" operator="between">
      <formula>"B - Incorporate Comments - Proceed"</formula>
      <formula>"B - Incorporate Comments - Proceed"</formula>
    </cfRule>
    <cfRule type="cellIs" dxfId="2164" priority="131" operator="between">
      <formula>"E - Review not Required - Proceed"</formula>
      <formula>"E - Review not Required - Proceed"</formula>
    </cfRule>
    <cfRule type="cellIs" dxfId="2163" priority="132" operator="between">
      <formula>"D - Rejected "</formula>
      <formula>"D - Rejected "</formula>
    </cfRule>
    <cfRule type="cellIs" dxfId="2162" priority="133" operator="between">
      <formula>"CANCELLED"</formula>
      <formula>"CANCELLED"</formula>
    </cfRule>
    <cfRule type="cellIs" dxfId="2161" priority="135" operator="between">
      <formula>"C - Revise and Resubmit - Do Not Proceed"</formula>
      <formula>"C - Revise and Resubmit - Do Not Proceed"</formula>
    </cfRule>
    <cfRule type="cellIs" dxfId="2160" priority="136" stopIfTrue="1" operator="between">
      <formula>"B - Incorporate Comments - Proceed "</formula>
      <formula>"B - Incorporate Comments - Proceed "</formula>
    </cfRule>
    <cfRule type="cellIs" dxfId="2159" priority="134" operator="between">
      <formula>"A - Work May Proceed"</formula>
      <formula>"A - Work May Proceed"</formula>
    </cfRule>
  </conditionalFormatting>
  <conditionalFormatting sqref="AD11">
    <cfRule type="cellIs" dxfId="2158" priority="106" operator="equal">
      <formula>"For Information"</formula>
    </cfRule>
    <cfRule type="cellIs" dxfId="2157" priority="116" operator="between">
      <formula>"D - Rejected "</formula>
      <formula>"D - Rejected "</formula>
    </cfRule>
    <cfRule type="cellIs" dxfId="2156" priority="105" operator="equal">
      <formula>"B - Incorporate Comments - Proceed"</formula>
    </cfRule>
    <cfRule type="cellIs" dxfId="2155" priority="118" operator="between">
      <formula>"A - Work May Proceed"</formula>
      <formula>"A - Work May Proceed"</formula>
    </cfRule>
    <cfRule type="cellIs" dxfId="2154" priority="119" operator="between">
      <formula>"C - Revise and Resubmit - Do Not Proceed"</formula>
      <formula>"C - Revise and Resubmit - Do Not Proceed"</formula>
    </cfRule>
    <cfRule type="cellIs" dxfId="2153" priority="120" stopIfTrue="1" operator="between">
      <formula>"B - Incorporate Comments - Proceed "</formula>
      <formula>"B - Incorporate Comments - Proceed "</formula>
    </cfRule>
    <cfRule type="cellIs" dxfId="2152" priority="115" operator="between">
      <formula>"E - Review not Required - Proceed"</formula>
      <formula>"E - Review not Required - Proceed"</formula>
    </cfRule>
    <cfRule type="cellIs" dxfId="2151" priority="114" operator="between">
      <formula>"B - Incorporate Comments - Proceed"</formula>
      <formula>"B - Incorporate Comments - Proceed"</formula>
    </cfRule>
    <cfRule type="cellIs" dxfId="2150" priority="113" operator="between">
      <formula>"A - Work May Proceed"</formula>
      <formula>"A - Work May Proceed"</formula>
    </cfRule>
    <cfRule type="cellIs" dxfId="2149" priority="112" operator="between">
      <formula>"B - Incorporate Comments - Proceed"</formula>
      <formula>"B - Incorporate Comments - Proceed"</formula>
    </cfRule>
    <cfRule type="cellIs" dxfId="2148" priority="111" operator="between">
      <formula>"C - Revise and Resubmit - Do Not Proceed"</formula>
      <formula>"C - Revise and Resubmit - Do Not Proceed"</formula>
    </cfRule>
    <cfRule type="cellIs" dxfId="2147" priority="110" operator="between">
      <formula>"'D - Rejected "</formula>
      <formula>"'D - Rejected "</formula>
    </cfRule>
    <cfRule type="cellIs" dxfId="2146" priority="109" operator="between">
      <formula>"E - Review not Required - Proceed"</formula>
      <formula>"E - Review not Required - Proceed"</formula>
    </cfRule>
    <cfRule type="cellIs" dxfId="2145" priority="117" operator="between">
      <formula>"CANCELLED"</formula>
      <formula>"CANCELLED"</formula>
    </cfRule>
    <cfRule type="cellIs" dxfId="2144" priority="108" operator="equal">
      <formula>"E - Review Not Required - Proceed"</formula>
    </cfRule>
    <cfRule type="cellIs" dxfId="2143" priority="107" operator="equal">
      <formula>"B - Incorporate Comments - Proceed "</formula>
    </cfRule>
  </conditionalFormatting>
  <conditionalFormatting sqref="AK11">
    <cfRule type="cellIs" dxfId="2142" priority="97" operator="between">
      <formula>"A - Work May Proceed"</formula>
      <formula>"A - Work May Proceed"</formula>
    </cfRule>
    <cfRule type="cellIs" dxfId="2141" priority="98" operator="between">
      <formula>"B - Incorporate Comments - Proceed"</formula>
      <formula>"B - Incorporate Comments - Proceed"</formula>
    </cfRule>
    <cfRule type="cellIs" dxfId="2140" priority="99" operator="between">
      <formula>"E - Review not Required - Proceed"</formula>
      <formula>"E - Review not Required - Proceed"</formula>
    </cfRule>
    <cfRule type="cellIs" dxfId="2139" priority="100" operator="between">
      <formula>"D - Rejected "</formula>
      <formula>"D - Rejected "</formula>
    </cfRule>
    <cfRule type="cellIs" dxfId="2138" priority="101" operator="between">
      <formula>"CANCELLED"</formula>
      <formula>"CANCELLED"</formula>
    </cfRule>
    <cfRule type="cellIs" dxfId="2137" priority="102" operator="between">
      <formula>"A - Work May Proceed"</formula>
      <formula>"A - Work May Proceed"</formula>
    </cfRule>
    <cfRule type="cellIs" dxfId="2136" priority="103" operator="between">
      <formula>"C - Revise and Resubmit - Do Not Proceed"</formula>
      <formula>"C - Revise and Resubmit - Do Not Proceed"</formula>
    </cfRule>
    <cfRule type="cellIs" dxfId="2135" priority="104" stopIfTrue="1" operator="between">
      <formula>"B - Incorporate Comments - Proceed "</formula>
      <formula>"B - Incorporate Comments - Proceed "</formula>
    </cfRule>
    <cfRule type="cellIs" dxfId="2134" priority="89" operator="equal">
      <formula>"B - Incorporate Comments - Proceed"</formula>
    </cfRule>
    <cfRule type="cellIs" dxfId="2133" priority="90" operator="equal">
      <formula>"For Information"</formula>
    </cfRule>
    <cfRule type="cellIs" dxfId="2132" priority="91" operator="equal">
      <formula>"B - Incorporate Comments - Proceed "</formula>
    </cfRule>
    <cfRule type="cellIs" dxfId="2131" priority="92" operator="equal">
      <formula>"E - Review Not Required - Proceed"</formula>
    </cfRule>
    <cfRule type="cellIs" dxfId="2130" priority="93" operator="between">
      <formula>"E - Review not Required - Proceed"</formula>
      <formula>"E - Review not Required - Proceed"</formula>
    </cfRule>
    <cfRule type="cellIs" dxfId="2129" priority="94" operator="between">
      <formula>"'D - Rejected "</formula>
      <formula>"'D - Rejected "</formula>
    </cfRule>
    <cfRule type="cellIs" dxfId="2128" priority="95" operator="between">
      <formula>"C - Revise and Resubmit - Do Not Proceed"</formula>
      <formula>"C - Revise and Resubmit - Do Not Proceed"</formula>
    </cfRule>
    <cfRule type="cellIs" dxfId="2127" priority="96" operator="between">
      <formula>"B - Incorporate Comments - Proceed"</formula>
      <formula>"B - Incorporate Comments - Proceed"</formula>
    </cfRule>
  </conditionalFormatting>
  <conditionalFormatting sqref="AR11">
    <cfRule type="cellIs" dxfId="2126" priority="59" operator="between">
      <formula>"D - Rejected "</formula>
      <formula>"D - Rejected "</formula>
    </cfRule>
    <cfRule type="cellIs" dxfId="2125" priority="58" operator="between">
      <formula>"E - Review not Required - Proceed"</formula>
      <formula>"E - Review not Required - Proceed"</formula>
    </cfRule>
    <cfRule type="cellIs" dxfId="2124" priority="57" operator="between">
      <formula>"B - Incorporate Comments - Proceed"</formula>
      <formula>"B - Incorporate Comments - Proceed"</formula>
    </cfRule>
    <cfRule type="cellIs" dxfId="2123" priority="56" operator="between">
      <formula>"A - Work May Proceed"</formula>
      <formula>"A - Work May Proceed"</formula>
    </cfRule>
    <cfRule type="cellIs" dxfId="2122" priority="55" operator="between">
      <formula>"B - Incorporate Comments - Proceed"</formula>
      <formula>"B - Incorporate Comments - Proceed"</formula>
    </cfRule>
    <cfRule type="cellIs" dxfId="2121" priority="54" operator="between">
      <formula>"C - Revise and Resubmit - Do Not Proceed"</formula>
      <formula>"C - Revise and Resubmit - Do Not Proceed"</formula>
    </cfRule>
    <cfRule type="cellIs" dxfId="2120" priority="53" operator="between">
      <formula>"'D - Rejected "</formula>
      <formula>"'D - Rejected "</formula>
    </cfRule>
    <cfRule type="cellIs" dxfId="2119" priority="52" operator="between">
      <formula>"E - Review not Required - Proceed"</formula>
      <formula>"E - Review not Required - Proceed"</formula>
    </cfRule>
    <cfRule type="cellIs" dxfId="2118" priority="51" operator="equal">
      <formula>"E - Review Not Required - Proceed"</formula>
    </cfRule>
    <cfRule type="cellIs" dxfId="2117" priority="50" operator="equal">
      <formula>"B - Incorporate Comments - Proceed "</formula>
    </cfRule>
    <cfRule type="cellIs" dxfId="2116" priority="49" operator="equal">
      <formula>"For Information"</formula>
    </cfRule>
    <cfRule type="cellIs" dxfId="2115" priority="48" operator="equal">
      <formula>"A - Work May Proceed"</formula>
    </cfRule>
    <cfRule type="cellIs" dxfId="2114" priority="47" operator="equal">
      <formula>"C - Revise and Resubmit - Do Not Proceed"</formula>
    </cfRule>
    <cfRule type="cellIs" dxfId="2113" priority="45" operator="equal">
      <formula>"D - Rejected"</formula>
    </cfRule>
    <cfRule type="cellIs" dxfId="2112" priority="44" operator="equal">
      <formula>"E - Review not Required - Proceed"</formula>
    </cfRule>
    <cfRule type="cellIs" dxfId="2111" priority="60" operator="between">
      <formula>"CANCELLED"</formula>
      <formula>"CANCELLED"</formula>
    </cfRule>
    <cfRule type="cellIs" dxfId="2110" priority="46" operator="equal">
      <formula>"B - Incorporate Comments - Proceed"</formula>
    </cfRule>
    <cfRule type="cellIs" dxfId="2109" priority="63" stopIfTrue="1" operator="between">
      <formula>"B - Incorporate Comments - Proceed "</formula>
      <formula>"B - Incorporate Comments - Proceed "</formula>
    </cfRule>
    <cfRule type="cellIs" dxfId="2108" priority="62" operator="between">
      <formula>"C - Revise and Resubmit - Do Not Proceed"</formula>
      <formula>"C - Revise and Resubmit - Do Not Proceed"</formula>
    </cfRule>
    <cfRule type="cellIs" dxfId="2107" priority="61" operator="between">
      <formula>"A - Work May Proceed"</formula>
      <formula>"A - Work May Proceed"</formula>
    </cfRule>
  </conditionalFormatting>
  <conditionalFormatting sqref="AY11">
    <cfRule type="cellIs" dxfId="2106" priority="83" stopIfTrue="1" operator="between">
      <formula>"B - Incorporate Comments - Proceed "</formula>
      <formula>"B - Incorporate Comments - Proceed "</formula>
    </cfRule>
    <cfRule type="cellIs" dxfId="2105" priority="81" operator="between">
      <formula>"A - Work May Proceed"</formula>
      <formula>"A - Work May Proceed"</formula>
    </cfRule>
    <cfRule type="cellIs" dxfId="2104" priority="80" operator="between">
      <formula>"CANCELLED"</formula>
      <formula>"CANCELLED"</formula>
    </cfRule>
    <cfRule type="cellIs" dxfId="2103" priority="79" operator="between">
      <formula>"D - Rejected "</formula>
      <formula>"D - Rejected "</formula>
    </cfRule>
    <cfRule type="cellIs" dxfId="2102" priority="78" operator="between">
      <formula>"E - Review not Required - Proceed"</formula>
      <formula>"E - Review not Required - Proceed"</formula>
    </cfRule>
    <cfRule type="cellIs" dxfId="2101" priority="73" operator="between">
      <formula>"'D - Rejected "</formula>
      <formula>"'D - Rejected "</formula>
    </cfRule>
    <cfRule type="cellIs" dxfId="2100" priority="72" operator="between">
      <formula>"E - Review not Required - Proceed"</formula>
      <formula>"E - Review not Required - Proceed"</formula>
    </cfRule>
    <cfRule type="cellIs" dxfId="2099" priority="82" operator="between">
      <formula>"C - Revise and Resubmit - Do Not Proceed"</formula>
      <formula>"C - Revise and Resubmit - Do Not Proceed"</formula>
    </cfRule>
    <cfRule type="cellIs" dxfId="2098" priority="71" operator="equal">
      <formula>"E - Review Not Required - Proceed"</formula>
    </cfRule>
    <cfRule type="cellIs" dxfId="2097" priority="70" operator="equal">
      <formula>"B - Incorporate Comments - Proceed "</formula>
    </cfRule>
    <cfRule type="cellIs" dxfId="2096" priority="69" operator="equal">
      <formula>"For Information"</formula>
    </cfRule>
    <cfRule type="cellIs" dxfId="2095" priority="68" operator="equal">
      <formula>"A - Work May Proceed"</formula>
    </cfRule>
    <cfRule type="cellIs" dxfId="2094" priority="67" operator="equal">
      <formula>"C - Revise and Resubmit - Do Not Proceed"</formula>
    </cfRule>
    <cfRule type="cellIs" dxfId="2093" priority="66" operator="equal">
      <formula>"B - Incorporate Comments - Proceed"</formula>
    </cfRule>
    <cfRule type="cellIs" dxfId="2092" priority="65" operator="equal">
      <formula>"D - Rejected"</formula>
    </cfRule>
    <cfRule type="cellIs" dxfId="2091" priority="64" operator="equal">
      <formula>"E - Review not Required - Proceed"</formula>
    </cfRule>
    <cfRule type="cellIs" dxfId="2090" priority="76" operator="between">
      <formula>"A - Work May Proceed"</formula>
      <formula>"A - Work May Proceed"</formula>
    </cfRule>
    <cfRule type="cellIs" dxfId="2089" priority="75" operator="between">
      <formula>"B - Incorporate Comments - Proceed"</formula>
      <formula>"B - Incorporate Comments - Proceed"</formula>
    </cfRule>
    <cfRule type="cellIs" dxfId="2088" priority="74" operator="between">
      <formula>"C - Revise and Resubmit - Do Not Proceed"</formula>
      <formula>"C - Revise and Resubmit - Do Not Proceed"</formula>
    </cfRule>
    <cfRule type="cellIs" dxfId="2087" priority="77" operator="between">
      <formula>"B - Incorporate Comments - Proceed"</formula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>
    <tabColor theme="9"/>
  </sheetPr>
  <dimension ref="A1:BF20"/>
  <sheetViews>
    <sheetView zoomScale="55" zoomScaleNormal="55" zoomScaleSheetLayoutView="55" workbookViewId="0">
      <pane ySplit="11" topLeftCell="A12" activePane="bottomLeft" state="frozen"/>
      <selection activeCell="A14" sqref="A14"/>
      <selection pane="bottomLeft" activeCell="E21" sqref="E21"/>
    </sheetView>
  </sheetViews>
  <sheetFormatPr defaultColWidth="9.140625" defaultRowHeight="15" x14ac:dyDescent="0.25"/>
  <cols>
    <col min="1" max="1" width="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0.140625" style="398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8.28515625" style="401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 s="111"/>
      <c r="V1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"/>
    </row>
    <row r="2" spans="1:58" s="379" customFormat="1" ht="24" customHeight="1" x14ac:dyDescent="0.35">
      <c r="A2" s="8"/>
      <c r="B2" s="25" t="s">
        <v>28</v>
      </c>
      <c r="C2" s="26" t="s">
        <v>181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 s="111"/>
      <c r="V2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"/>
    </row>
    <row r="3" spans="1:58" s="379" customFormat="1" ht="24" customHeight="1" x14ac:dyDescent="0.35">
      <c r="A3" s="8"/>
      <c r="B3" s="25" t="s">
        <v>507</v>
      </c>
      <c r="C3" s="49" t="s">
        <v>1073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 s="111"/>
      <c r="V3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 s="111"/>
      <c r="V4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 s="111"/>
      <c r="V5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"/>
    </row>
    <row r="6" spans="1:58" s="379" customFormat="1" ht="24" customHeight="1" x14ac:dyDescent="0.35">
      <c r="A6" s="8"/>
      <c r="B6" s="64">
        <f>COUNTIF(B11:B20,"A - Work May Proceed")</f>
        <v>8</v>
      </c>
      <c r="C6" s="65">
        <f>COUNTIF(B11:B20,"B- Incorporate Comments - Proceed")</f>
        <v>0</v>
      </c>
      <c r="D6" s="65">
        <f>COUNTIF(B11:B20,"C - Revise and Resubmit - Do Not Proceed")</f>
        <v>0</v>
      </c>
      <c r="E6" s="65">
        <f>COUNTIF(B11:B20,"D - Rejected")</f>
        <v>0</v>
      </c>
      <c r="F6" s="65">
        <f>COUNTIF(B11:B20,"E - Review not Required - Proceed")</f>
        <v>0</v>
      </c>
      <c r="G6" s="66">
        <f>COUNTIF(B11:B20,"UR")</f>
        <v>0</v>
      </c>
      <c r="H6" s="66">
        <f>COUNTIF(B11:B20,"FA")</f>
        <v>0</v>
      </c>
      <c r="I6" s="66">
        <f>COUNTIF(B11:B20,"Terminated")</f>
        <v>0</v>
      </c>
      <c r="J6" s="66">
        <f>COUNTIF(B11:B20,"Cancelled")</f>
        <v>0</v>
      </c>
      <c r="K6"/>
      <c r="L6"/>
      <c r="M6"/>
      <c r="N6"/>
      <c r="O6"/>
      <c r="P6"/>
      <c r="Q6"/>
      <c r="R6"/>
      <c r="S6"/>
      <c r="T6"/>
      <c r="U6" s="111"/>
      <c r="V6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 s="111"/>
      <c r="V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"/>
    </row>
    <row r="8" spans="1:58" s="379" customFormat="1" ht="24" customHeight="1" x14ac:dyDescent="0.35">
      <c r="A8" s="8"/>
      <c r="B8" s="72" t="s">
        <v>509</v>
      </c>
      <c r="C8" s="73">
        <f>SUM(B6:J6)</f>
        <v>8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 s="111"/>
      <c r="V8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 s="111"/>
      <c r="V9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"/>
    </row>
    <row r="10" spans="1:58" s="405" customFormat="1" ht="36.75" customHeight="1" x14ac:dyDescent="0.2">
      <c r="A10" s="559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113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56" t="s">
        <v>5</v>
      </c>
      <c r="C12" s="56" t="s">
        <v>208</v>
      </c>
      <c r="D12" s="12" t="s">
        <v>1144</v>
      </c>
      <c r="E12" s="12" t="s">
        <v>1145</v>
      </c>
      <c r="F12" s="16" t="s">
        <v>1146</v>
      </c>
      <c r="G12" s="16" t="s">
        <v>179</v>
      </c>
      <c r="H12" s="10" t="s">
        <v>1073</v>
      </c>
      <c r="I12" s="60" t="s">
        <v>3</v>
      </c>
      <c r="J12" s="14">
        <v>45626</v>
      </c>
      <c r="K12" s="12" t="s">
        <v>1147</v>
      </c>
      <c r="L12" s="20">
        <f t="shared" ref="L12:L19" si="0">J12+7</f>
        <v>45633</v>
      </c>
      <c r="M12" s="14">
        <v>45635</v>
      </c>
      <c r="N12" s="92">
        <f t="shared" ref="N12:N19" si="1">M12-L12</f>
        <v>2</v>
      </c>
      <c r="O12" s="12" t="s">
        <v>1156</v>
      </c>
      <c r="P12" s="60" t="s">
        <v>5</v>
      </c>
      <c r="Q12" s="20">
        <v>45654</v>
      </c>
      <c r="R12" s="12" t="s">
        <v>1687</v>
      </c>
      <c r="S12" s="20">
        <f t="shared" ref="S12:S19" si="2">Q12+7</f>
        <v>45661</v>
      </c>
      <c r="T12" s="20">
        <v>45678</v>
      </c>
      <c r="U12" s="91">
        <f t="shared" ref="U12:U19" si="3">T12-S12</f>
        <v>17</v>
      </c>
      <c r="V12" s="12" t="s">
        <v>1693</v>
      </c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368"/>
    </row>
    <row r="13" spans="1:58" s="381" customFormat="1" ht="42" customHeight="1" x14ac:dyDescent="0.25">
      <c r="A13" s="367">
        <v>730007</v>
      </c>
      <c r="B13" s="11" t="s">
        <v>5</v>
      </c>
      <c r="C13" s="56" t="s">
        <v>725</v>
      </c>
      <c r="D13" s="12" t="s">
        <v>4192</v>
      </c>
      <c r="E13" s="12" t="s">
        <v>4194</v>
      </c>
      <c r="F13" s="16" t="s">
        <v>4193</v>
      </c>
      <c r="G13" s="16" t="s">
        <v>179</v>
      </c>
      <c r="H13" s="10" t="s">
        <v>1073</v>
      </c>
      <c r="I13" s="11" t="s">
        <v>18</v>
      </c>
      <c r="J13" s="14">
        <v>45915</v>
      </c>
      <c r="K13" s="12" t="s">
        <v>4195</v>
      </c>
      <c r="L13" s="20">
        <f t="shared" si="0"/>
        <v>45922</v>
      </c>
      <c r="M13" s="14">
        <v>45925</v>
      </c>
      <c r="N13" s="92">
        <f t="shared" si="1"/>
        <v>3</v>
      </c>
      <c r="O13" s="12" t="s">
        <v>4199</v>
      </c>
      <c r="P13" s="11" t="s">
        <v>18</v>
      </c>
      <c r="Q13" s="20">
        <v>46047</v>
      </c>
      <c r="R13" s="12" t="s">
        <v>5659</v>
      </c>
      <c r="S13" s="20">
        <f t="shared" si="2"/>
        <v>46054</v>
      </c>
      <c r="T13" s="20">
        <v>46051</v>
      </c>
      <c r="U13" s="91">
        <f t="shared" si="3"/>
        <v>-3</v>
      </c>
      <c r="V13" s="12" t="s">
        <v>5672</v>
      </c>
      <c r="W13" s="11" t="s">
        <v>18</v>
      </c>
      <c r="X13" s="20">
        <v>46053</v>
      </c>
      <c r="Y13" s="12" t="s">
        <v>5703</v>
      </c>
      <c r="Z13" s="20">
        <f>X13+7</f>
        <v>46060</v>
      </c>
      <c r="AA13" s="20">
        <v>46058</v>
      </c>
      <c r="AB13" s="91">
        <f>AA13-Z13</f>
        <v>-2</v>
      </c>
      <c r="AC13" s="12" t="s">
        <v>5727</v>
      </c>
      <c r="AD13" s="60" t="s">
        <v>5</v>
      </c>
      <c r="AE13" s="20">
        <v>46096</v>
      </c>
      <c r="AF13" s="12" t="s">
        <v>6072</v>
      </c>
      <c r="AG13" s="20">
        <f>AE13+7</f>
        <v>46103</v>
      </c>
      <c r="AH13" s="20">
        <v>46100</v>
      </c>
      <c r="AI13" s="91">
        <f>AH13-AG13</f>
        <v>-3</v>
      </c>
      <c r="AJ13" s="12" t="s">
        <v>6089</v>
      </c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368"/>
    </row>
    <row r="14" spans="1:58" s="381" customFormat="1" ht="42" customHeight="1" x14ac:dyDescent="0.25">
      <c r="A14" s="367">
        <v>730007</v>
      </c>
      <c r="B14" s="11" t="s">
        <v>5</v>
      </c>
      <c r="C14" s="56" t="s">
        <v>725</v>
      </c>
      <c r="D14" s="12" t="s">
        <v>5652</v>
      </c>
      <c r="E14" s="12" t="s">
        <v>5651</v>
      </c>
      <c r="F14" s="16" t="s">
        <v>5192</v>
      </c>
      <c r="G14" s="16" t="s">
        <v>179</v>
      </c>
      <c r="H14" s="10" t="s">
        <v>1073</v>
      </c>
      <c r="I14" s="11" t="s">
        <v>18</v>
      </c>
      <c r="J14" s="14">
        <v>46047</v>
      </c>
      <c r="K14" s="12" t="s">
        <v>5656</v>
      </c>
      <c r="L14" s="20">
        <f t="shared" si="0"/>
        <v>46054</v>
      </c>
      <c r="M14" s="14">
        <v>46057</v>
      </c>
      <c r="N14" s="92">
        <f t="shared" si="1"/>
        <v>3</v>
      </c>
      <c r="O14" s="12" t="s">
        <v>5666</v>
      </c>
      <c r="P14" s="16" t="s">
        <v>18</v>
      </c>
      <c r="Q14" s="20">
        <v>46058</v>
      </c>
      <c r="R14" s="12" t="s">
        <v>5751</v>
      </c>
      <c r="S14" s="20">
        <f t="shared" si="2"/>
        <v>46065</v>
      </c>
      <c r="T14" s="20">
        <v>46063</v>
      </c>
      <c r="U14" s="91">
        <f t="shared" si="3"/>
        <v>-2</v>
      </c>
      <c r="V14" s="12" t="s">
        <v>5752</v>
      </c>
      <c r="W14" s="12" t="s">
        <v>18</v>
      </c>
      <c r="X14" s="20">
        <v>46064</v>
      </c>
      <c r="Y14" s="12" t="s">
        <v>5819</v>
      </c>
      <c r="Z14" s="20">
        <f>X14+7</f>
        <v>46071</v>
      </c>
      <c r="AA14" s="20">
        <v>46076</v>
      </c>
      <c r="AB14" s="91">
        <f>AA14-Z14</f>
        <v>5</v>
      </c>
      <c r="AC14" s="12" t="s">
        <v>5837</v>
      </c>
      <c r="AD14" s="12" t="s">
        <v>5</v>
      </c>
      <c r="AE14" s="20">
        <v>46107</v>
      </c>
      <c r="AF14" s="12" t="s">
        <v>6141</v>
      </c>
      <c r="AG14" s="20">
        <f>AE14+7</f>
        <v>46114</v>
      </c>
      <c r="AH14" s="20">
        <v>46109</v>
      </c>
      <c r="AI14" s="91">
        <f>AH14-AG14</f>
        <v>-5</v>
      </c>
      <c r="AJ14" s="12" t="s">
        <v>6143</v>
      </c>
      <c r="AK14" s="10"/>
      <c r="AL14" s="14"/>
      <c r="AM14" s="12"/>
      <c r="AN14" s="12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/>
      <c r="BF14" s="368"/>
    </row>
    <row r="15" spans="1:58" s="381" customFormat="1" ht="42" customHeight="1" x14ac:dyDescent="0.25">
      <c r="A15" s="367">
        <v>730007</v>
      </c>
      <c r="B15" s="60" t="s">
        <v>5</v>
      </c>
      <c r="C15" s="56" t="s">
        <v>208</v>
      </c>
      <c r="D15" s="12" t="s">
        <v>5940</v>
      </c>
      <c r="E15" s="12" t="s">
        <v>5943</v>
      </c>
      <c r="F15" s="16" t="s">
        <v>5941</v>
      </c>
      <c r="G15" s="16" t="s">
        <v>179</v>
      </c>
      <c r="H15" s="10" t="s">
        <v>1073</v>
      </c>
      <c r="I15" s="60" t="s">
        <v>3</v>
      </c>
      <c r="J15" s="14">
        <v>46084</v>
      </c>
      <c r="K15" s="12" t="s">
        <v>5944</v>
      </c>
      <c r="L15" s="20">
        <f t="shared" si="0"/>
        <v>46091</v>
      </c>
      <c r="M15" s="14">
        <v>46107</v>
      </c>
      <c r="N15" s="92">
        <f t="shared" si="1"/>
        <v>16</v>
      </c>
      <c r="O15" s="12" t="s">
        <v>5952</v>
      </c>
      <c r="P15" s="16" t="s">
        <v>5</v>
      </c>
      <c r="Q15" s="20">
        <v>46117</v>
      </c>
      <c r="R15" s="12" t="s">
        <v>6244</v>
      </c>
      <c r="S15" s="20">
        <f t="shared" si="2"/>
        <v>46124</v>
      </c>
      <c r="T15" s="20">
        <v>46120</v>
      </c>
      <c r="U15" s="91">
        <f t="shared" si="3"/>
        <v>-4</v>
      </c>
      <c r="V15" s="12" t="s">
        <v>6262</v>
      </c>
      <c r="W15" s="12"/>
      <c r="X15" s="20"/>
      <c r="Y15" s="12"/>
      <c r="Z15" s="20"/>
      <c r="AA15" s="20"/>
      <c r="AB15" s="91"/>
      <c r="AC15" s="12"/>
      <c r="AD15" s="12"/>
      <c r="AE15" s="20"/>
      <c r="AF15" s="12"/>
      <c r="AG15" s="12"/>
      <c r="AH15" s="20"/>
      <c r="AI15" s="20"/>
      <c r="AJ15" s="12"/>
      <c r="AK15" s="10"/>
      <c r="AL15" s="14"/>
      <c r="AM15" s="12"/>
      <c r="AN15" s="12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2"/>
      <c r="BF15" s="368"/>
    </row>
    <row r="16" spans="1:58" s="381" customFormat="1" ht="42" customHeight="1" x14ac:dyDescent="0.25">
      <c r="A16" s="367">
        <v>730007</v>
      </c>
      <c r="B16" s="11" t="s">
        <v>5</v>
      </c>
      <c r="C16" s="56" t="s">
        <v>208</v>
      </c>
      <c r="D16" s="12" t="s">
        <v>6012</v>
      </c>
      <c r="E16" s="12" t="s">
        <v>6011</v>
      </c>
      <c r="F16" s="16" t="s">
        <v>6232</v>
      </c>
      <c r="G16" s="16" t="s">
        <v>179</v>
      </c>
      <c r="H16" s="10" t="s">
        <v>1073</v>
      </c>
      <c r="I16" s="11" t="s">
        <v>3</v>
      </c>
      <c r="J16" s="14">
        <v>46092</v>
      </c>
      <c r="K16" s="12" t="s">
        <v>6013</v>
      </c>
      <c r="L16" s="20">
        <f t="shared" si="0"/>
        <v>46099</v>
      </c>
      <c r="M16" s="14">
        <v>46111</v>
      </c>
      <c r="N16" s="92">
        <f t="shared" si="1"/>
        <v>12</v>
      </c>
      <c r="O16" s="12" t="s">
        <v>6033</v>
      </c>
      <c r="P16" s="16" t="s">
        <v>5</v>
      </c>
      <c r="Q16" s="20">
        <v>46116</v>
      </c>
      <c r="R16" s="12" t="s">
        <v>6233</v>
      </c>
      <c r="S16" s="20">
        <f t="shared" si="2"/>
        <v>46123</v>
      </c>
      <c r="T16" s="20">
        <v>46119</v>
      </c>
      <c r="U16" s="91">
        <f t="shared" si="3"/>
        <v>-4</v>
      </c>
      <c r="V16" s="12" t="s">
        <v>6242</v>
      </c>
      <c r="W16" s="12"/>
      <c r="X16" s="20"/>
      <c r="Y16" s="12"/>
      <c r="Z16" s="20"/>
      <c r="AA16" s="20"/>
      <c r="AB16" s="91"/>
      <c r="AC16" s="12"/>
      <c r="AD16" s="12"/>
      <c r="AE16" s="20"/>
      <c r="AF16" s="12"/>
      <c r="AG16" s="12"/>
      <c r="AH16" s="20"/>
      <c r="AI16" s="20"/>
      <c r="AJ16" s="12"/>
      <c r="AK16" s="10"/>
      <c r="AL16" s="14"/>
      <c r="AM16" s="12"/>
      <c r="AN16" s="12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2"/>
      <c r="BF16" s="368"/>
    </row>
    <row r="17" spans="1:58" s="381" customFormat="1" ht="42" customHeight="1" x14ac:dyDescent="0.25">
      <c r="A17" s="367">
        <v>730007</v>
      </c>
      <c r="B17" s="11" t="s">
        <v>5</v>
      </c>
      <c r="C17" s="56" t="s">
        <v>588</v>
      </c>
      <c r="D17" s="12" t="s">
        <v>6337</v>
      </c>
      <c r="E17" s="12" t="s">
        <v>6339</v>
      </c>
      <c r="F17" s="16" t="s">
        <v>6338</v>
      </c>
      <c r="G17" s="16" t="s">
        <v>179</v>
      </c>
      <c r="H17" s="10" t="s">
        <v>1073</v>
      </c>
      <c r="I17" s="16" t="s">
        <v>18</v>
      </c>
      <c r="J17" s="14">
        <v>46125</v>
      </c>
      <c r="K17" s="12" t="s">
        <v>6340</v>
      </c>
      <c r="L17" s="20">
        <f t="shared" si="0"/>
        <v>46132</v>
      </c>
      <c r="M17" s="14">
        <v>46137</v>
      </c>
      <c r="N17" s="92">
        <f t="shared" si="1"/>
        <v>5</v>
      </c>
      <c r="O17" s="12" t="s">
        <v>6345</v>
      </c>
      <c r="P17" s="11" t="s">
        <v>18</v>
      </c>
      <c r="Q17" s="20">
        <v>46137</v>
      </c>
      <c r="R17" s="12" t="s">
        <v>6513</v>
      </c>
      <c r="S17" s="20">
        <f t="shared" si="2"/>
        <v>46144</v>
      </c>
      <c r="T17" s="20">
        <v>46142</v>
      </c>
      <c r="U17" s="91">
        <f t="shared" si="3"/>
        <v>-2</v>
      </c>
      <c r="V17" s="12" t="s">
        <v>6523</v>
      </c>
      <c r="W17" s="12" t="s">
        <v>5</v>
      </c>
      <c r="X17" s="20">
        <v>46145</v>
      </c>
      <c r="Y17" s="12" t="s">
        <v>6626</v>
      </c>
      <c r="Z17" s="20">
        <f>X17+7</f>
        <v>46152</v>
      </c>
      <c r="AA17" s="20">
        <v>46146</v>
      </c>
      <c r="AB17" s="91">
        <f>AA17-Z17</f>
        <v>-6</v>
      </c>
      <c r="AC17" s="12" t="s">
        <v>6639</v>
      </c>
      <c r="AD17" s="12"/>
      <c r="AE17" s="20"/>
      <c r="AF17" s="12"/>
      <c r="AG17" s="12"/>
      <c r="AH17" s="20"/>
      <c r="AI17" s="20"/>
      <c r="AJ17" s="12"/>
      <c r="AK17" s="10"/>
      <c r="AL17" s="14"/>
      <c r="AM17" s="12"/>
      <c r="AN17" s="12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2"/>
      <c r="BF17" s="368"/>
    </row>
    <row r="18" spans="1:58" s="381" customFormat="1" ht="42" customHeight="1" x14ac:dyDescent="0.25">
      <c r="A18" s="367">
        <v>730007</v>
      </c>
      <c r="B18" s="11" t="s">
        <v>5</v>
      </c>
      <c r="C18" s="56" t="s">
        <v>208</v>
      </c>
      <c r="D18" s="12" t="s">
        <v>6461</v>
      </c>
      <c r="E18" s="12" t="s">
        <v>6462</v>
      </c>
      <c r="F18" s="16" t="s">
        <v>6463</v>
      </c>
      <c r="G18" s="16" t="s">
        <v>179</v>
      </c>
      <c r="H18" s="10" t="s">
        <v>1073</v>
      </c>
      <c r="I18" s="11" t="s">
        <v>18</v>
      </c>
      <c r="J18" s="14">
        <v>46132</v>
      </c>
      <c r="K18" s="12" t="s">
        <v>6464</v>
      </c>
      <c r="L18" s="20">
        <f>J18+7</f>
        <v>46139</v>
      </c>
      <c r="M18" s="14">
        <v>46142</v>
      </c>
      <c r="N18" s="92">
        <f>M18-L18</f>
        <v>3</v>
      </c>
      <c r="O18" s="12" t="s">
        <v>6468</v>
      </c>
      <c r="P18" s="16" t="s">
        <v>5</v>
      </c>
      <c r="Q18" s="20">
        <v>46147</v>
      </c>
      <c r="R18" s="12" t="s">
        <v>6652</v>
      </c>
      <c r="S18" s="20">
        <f t="shared" si="2"/>
        <v>46154</v>
      </c>
      <c r="T18" s="20">
        <v>46154</v>
      </c>
      <c r="U18" s="91">
        <f t="shared" si="3"/>
        <v>0</v>
      </c>
      <c r="V18" s="12" t="s">
        <v>6658</v>
      </c>
      <c r="W18" s="12"/>
      <c r="X18" s="20"/>
      <c r="Y18" s="12"/>
      <c r="Z18" s="20"/>
      <c r="AA18" s="20"/>
      <c r="AB18" s="91"/>
      <c r="AC18" s="12"/>
      <c r="AD18" s="12"/>
      <c r="AE18" s="20"/>
      <c r="AF18" s="12"/>
      <c r="AG18" s="12"/>
      <c r="AH18" s="20"/>
      <c r="AI18" s="20"/>
      <c r="AJ18" s="12"/>
      <c r="AK18" s="10"/>
      <c r="AL18" s="14"/>
      <c r="AM18" s="12"/>
      <c r="AN18" s="12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2"/>
      <c r="BF18" s="368"/>
    </row>
    <row r="19" spans="1:58" s="381" customFormat="1" ht="42" customHeight="1" x14ac:dyDescent="0.25">
      <c r="A19" s="367">
        <v>310002</v>
      </c>
      <c r="B19" s="16" t="s">
        <v>5</v>
      </c>
      <c r="C19" s="56" t="s">
        <v>588</v>
      </c>
      <c r="D19" s="10" t="s">
        <v>5271</v>
      </c>
      <c r="E19" s="12" t="s">
        <v>5270</v>
      </c>
      <c r="F19" s="16" t="s">
        <v>5272</v>
      </c>
      <c r="G19" s="16" t="s">
        <v>179</v>
      </c>
      <c r="H19" s="10" t="s">
        <v>1073</v>
      </c>
      <c r="I19" s="16" t="s">
        <v>18</v>
      </c>
      <c r="J19" s="14">
        <v>46006</v>
      </c>
      <c r="K19" s="12" t="s">
        <v>5273</v>
      </c>
      <c r="L19" s="20">
        <f t="shared" si="0"/>
        <v>46013</v>
      </c>
      <c r="M19" s="14">
        <v>46027</v>
      </c>
      <c r="N19" s="92">
        <f t="shared" si="1"/>
        <v>14</v>
      </c>
      <c r="O19" s="12" t="s">
        <v>5325</v>
      </c>
      <c r="P19" s="16" t="s">
        <v>18</v>
      </c>
      <c r="Q19" s="20">
        <v>46047</v>
      </c>
      <c r="R19" s="12" t="s">
        <v>5660</v>
      </c>
      <c r="S19" s="20">
        <f t="shared" si="2"/>
        <v>46054</v>
      </c>
      <c r="T19" s="20">
        <v>46056</v>
      </c>
      <c r="U19" s="91">
        <f t="shared" si="3"/>
        <v>2</v>
      </c>
      <c r="V19" s="12" t="s">
        <v>5711</v>
      </c>
      <c r="W19" s="60" t="s">
        <v>5</v>
      </c>
      <c r="X19" s="20">
        <v>46057</v>
      </c>
      <c r="Y19" s="12" t="s">
        <v>5746</v>
      </c>
      <c r="Z19" s="20">
        <f>X19+7</f>
        <v>46064</v>
      </c>
      <c r="AA19" s="20">
        <v>46063</v>
      </c>
      <c r="AB19" s="91">
        <f>AA19-Z19</f>
        <v>-1</v>
      </c>
      <c r="AC19" s="12" t="s">
        <v>5761</v>
      </c>
      <c r="AD19" s="12"/>
      <c r="AE19" s="20"/>
      <c r="AF19" s="12"/>
      <c r="AG19" s="12"/>
      <c r="AH19" s="20"/>
      <c r="AI19" s="20"/>
      <c r="AJ19" s="12"/>
      <c r="AK19" s="10"/>
      <c r="AL19" s="14"/>
      <c r="AM19" s="12"/>
      <c r="AN19" s="12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2"/>
      <c r="BF19" s="368"/>
    </row>
    <row r="20" spans="1:58" s="381" customFormat="1" ht="42" customHeight="1" thickBot="1" x14ac:dyDescent="0.3">
      <c r="A20" s="369"/>
      <c r="B20" s="371"/>
      <c r="C20" s="444"/>
      <c r="D20" s="370"/>
      <c r="E20" s="370"/>
      <c r="F20" s="262"/>
      <c r="G20" s="263"/>
      <c r="H20" s="263"/>
      <c r="I20" s="262"/>
      <c r="J20" s="474"/>
      <c r="K20" s="370"/>
      <c r="L20" s="370"/>
      <c r="M20" s="474"/>
      <c r="N20" s="474"/>
      <c r="O20" s="370"/>
      <c r="P20" s="262"/>
      <c r="Q20" s="476"/>
      <c r="R20" s="370"/>
      <c r="S20" s="370"/>
      <c r="T20" s="476"/>
      <c r="U20" s="481"/>
      <c r="V20" s="370"/>
      <c r="W20" s="370"/>
      <c r="X20" s="476"/>
      <c r="Y20" s="370"/>
      <c r="Z20" s="370"/>
      <c r="AA20" s="476"/>
      <c r="AB20" s="476"/>
      <c r="AC20" s="370"/>
      <c r="AD20" s="370"/>
      <c r="AE20" s="476"/>
      <c r="AF20" s="370"/>
      <c r="AG20" s="370"/>
      <c r="AH20" s="476"/>
      <c r="AI20" s="476"/>
      <c r="AJ20" s="370"/>
      <c r="AK20" s="263"/>
      <c r="AL20" s="474"/>
      <c r="AM20" s="370"/>
      <c r="AN20" s="370"/>
      <c r="AO20" s="474"/>
      <c r="AP20" s="474"/>
      <c r="AQ20" s="474"/>
      <c r="AR20" s="474"/>
      <c r="AS20" s="474"/>
      <c r="AT20" s="474"/>
      <c r="AU20" s="474"/>
      <c r="AV20" s="474"/>
      <c r="AW20" s="474"/>
      <c r="AX20" s="474"/>
      <c r="AY20" s="474"/>
      <c r="AZ20" s="474"/>
      <c r="BA20" s="474"/>
      <c r="BB20" s="474"/>
      <c r="BC20" s="474"/>
      <c r="BD20" s="474"/>
      <c r="BE20" s="370"/>
      <c r="BF20" s="378"/>
    </row>
  </sheetData>
  <autoFilter ref="A11:BF11" xr:uid="{00000000-0001-0000-1A00-000000000000}"/>
  <mergeCells count="18">
    <mergeCell ref="A10:A11"/>
    <mergeCell ref="H1:H2"/>
    <mergeCell ref="I1:I2"/>
    <mergeCell ref="G10:G11"/>
    <mergeCell ref="B10:B11"/>
    <mergeCell ref="C10:C11"/>
    <mergeCell ref="D10:D11"/>
    <mergeCell ref="E10:E11"/>
    <mergeCell ref="F10:F11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0:A20">
    <cfRule type="cellIs" dxfId="2086" priority="6" operator="equal">
      <formula>"E - Review not Required - Proceed"</formula>
    </cfRule>
    <cfRule type="cellIs" dxfId="2085" priority="7" operator="equal">
      <formula>"D - Rejected"</formula>
    </cfRule>
    <cfRule type="cellIs" dxfId="2084" priority="8" operator="equal">
      <formula>"B- Incorporate Comments - Proceed"</formula>
    </cfRule>
    <cfRule type="cellIs" dxfId="2083" priority="9" operator="equal">
      <formula>"C - Revise and Resubmit - Do Not Proceed"</formula>
    </cfRule>
    <cfRule type="cellIs" dxfId="2082" priority="10" operator="equal">
      <formula>"A - Work May Proceed"</formula>
    </cfRule>
  </conditionalFormatting>
  <conditionalFormatting sqref="B12:XFD1048576">
    <cfRule type="cellIs" dxfId="2081" priority="22" operator="equal">
      <formula>"E - Review not Required - Proceed"</formula>
    </cfRule>
    <cfRule type="cellIs" dxfId="2080" priority="23" operator="equal">
      <formula>"D - Rejected"</formula>
    </cfRule>
    <cfRule type="cellIs" dxfId="2079" priority="24" operator="equal">
      <formula>"B- Incorporate Comments - Proceed"</formula>
    </cfRule>
    <cfRule type="cellIs" dxfId="2078" priority="25" operator="equal">
      <formula>"C - Revise and Resubmit - Do Not Proceed"</formula>
    </cfRule>
    <cfRule type="cellIs" dxfId="2077" priority="26" operator="equal">
      <formula>"A - Work May Proceed"</formula>
    </cfRule>
  </conditionalFormatting>
  <conditionalFormatting sqref="D11:BE11 B1:G2 W1:XFD9 B3:H4 B9:H9 B10:XFD10 B11">
    <cfRule type="cellIs" dxfId="2076" priority="74" operator="equal">
      <formula>"B- Incorporate Comments - Proceed"</formula>
    </cfRule>
    <cfRule type="cellIs" dxfId="2075" priority="73" operator="equal">
      <formula>"D - Rejected"</formula>
    </cfRule>
    <cfRule type="cellIs" dxfId="2074" priority="72" operator="equal">
      <formula>"E - Review not Required - Proceed"</formula>
    </cfRule>
    <cfRule type="cellIs" dxfId="2073" priority="76" operator="equal">
      <formula>"A - Work May Proceed"</formula>
    </cfRule>
    <cfRule type="cellIs" dxfId="2072" priority="75" operator="equal">
      <formula>"C - Revise and Resubmit - Do Not Proceed"</formula>
    </cfRule>
  </conditionalFormatting>
  <conditionalFormatting sqref="I11">
    <cfRule type="cellIs" dxfId="2071" priority="142" operator="equal">
      <formula>"For Information"</formula>
    </cfRule>
    <cfRule type="cellIs" dxfId="2070" priority="141" operator="equal">
      <formula>"B - Incorporate Comments - Proceed"</formula>
    </cfRule>
    <cfRule type="cellIs" dxfId="2069" priority="146" operator="between">
      <formula>"'D - Rejected "</formula>
      <formula>"'D - Rejected "</formula>
    </cfRule>
    <cfRule type="cellIs" dxfId="2068" priority="153" operator="between">
      <formula>"CANCELLED"</formula>
      <formula>"CANCELLED"</formula>
    </cfRule>
    <cfRule type="cellIs" dxfId="2067" priority="152" operator="between">
      <formula>"D - Rejected "</formula>
      <formula>"D - Rejected "</formula>
    </cfRule>
    <cfRule type="cellIs" dxfId="2066" priority="156" stopIfTrue="1" operator="between">
      <formula>"B - Incorporate Comments - Proceed "</formula>
      <formula>"B - Incorporate Comments - Proceed "</formula>
    </cfRule>
    <cfRule type="cellIs" dxfId="2065" priority="151" operator="between">
      <formula>"E - Review not Required - Proceed"</formula>
      <formula>"E - Review not Required - Proceed"</formula>
    </cfRule>
    <cfRule type="cellIs" dxfId="2064" priority="150" operator="between">
      <formula>"B - Incorporate Comments - Proceed"</formula>
      <formula>"B - Incorporate Comments - Proceed"</formula>
    </cfRule>
    <cfRule type="cellIs" dxfId="2063" priority="149" operator="between">
      <formula>"A - Work May Proceed"</formula>
      <formula>"A - Work May Proceed"</formula>
    </cfRule>
    <cfRule type="cellIs" dxfId="2062" priority="148" operator="between">
      <formula>"B - Incorporate Comments - Proceed"</formula>
      <formula>"B - Incorporate Comments - Proceed"</formula>
    </cfRule>
    <cfRule type="cellIs" dxfId="2061" priority="147" operator="between">
      <formula>"C - Revise and Resubmit - Do Not Proceed"</formula>
      <formula>"C - Revise and Resubmit - Do Not Proceed"</formula>
    </cfRule>
    <cfRule type="cellIs" dxfId="2060" priority="145" operator="between">
      <formula>"E - Review not Required - Proceed"</formula>
      <formula>"E - Review not Required - Proceed"</formula>
    </cfRule>
    <cfRule type="cellIs" dxfId="2059" priority="144" operator="equal">
      <formula>"E - Review Not Required - Proceed"</formula>
    </cfRule>
    <cfRule type="cellIs" dxfId="2058" priority="143" operator="equal">
      <formula>"B - Incorporate Comments - Proceed "</formula>
    </cfRule>
    <cfRule type="cellIs" dxfId="2057" priority="154" operator="between">
      <formula>"A - Work May Proceed"</formula>
      <formula>"A - Work May Proceed"</formula>
    </cfRule>
    <cfRule type="cellIs" dxfId="2056" priority="155" operator="between">
      <formula>"C - Revise and Resubmit - Do Not Proceed"</formula>
      <formula>"C - Revise and Resubmit - Do Not Proceed"</formula>
    </cfRule>
  </conditionalFormatting>
  <conditionalFormatting sqref="J5:J6 B5:I7 B8:J8">
    <cfRule type="cellIs" dxfId="2055" priority="27" operator="equal">
      <formula>"E - Review not Required - Proceed"</formula>
    </cfRule>
    <cfRule type="cellIs" dxfId="2054" priority="28" operator="equal">
      <formula>"D - Rejected"</formula>
    </cfRule>
    <cfRule type="cellIs" dxfId="2053" priority="29" operator="equal">
      <formula>"B- Incorporate Comments - Proceed"</formula>
    </cfRule>
    <cfRule type="cellIs" dxfId="2052" priority="30" operator="equal">
      <formula>"C - Revise and Resubmit - Do Not Proceed"</formula>
    </cfRule>
    <cfRule type="cellIs" dxfId="2051" priority="31" stopIfTrue="1" operator="equal">
      <formula>"A - Work May Proceed"</formula>
    </cfRule>
  </conditionalFormatting>
  <conditionalFormatting sqref="P11">
    <cfRule type="cellIs" dxfId="2050" priority="139" operator="between">
      <formula>"C - Revise and Resubmit - Do Not Proceed"</formula>
      <formula>"C - Revise and Resubmit - Do Not Proceed"</formula>
    </cfRule>
    <cfRule type="cellIs" dxfId="2049" priority="129" operator="between">
      <formula>"E - Review not Required - Proceed"</formula>
      <formula>"E - Review not Required - Proceed"</formula>
    </cfRule>
    <cfRule type="cellIs" dxfId="2048" priority="128" operator="equal">
      <formula>"E - Review Not Required - Proceed"</formula>
    </cfRule>
    <cfRule type="cellIs" dxfId="2047" priority="127" operator="equal">
      <formula>"B - Incorporate Comments - Proceed "</formula>
    </cfRule>
    <cfRule type="cellIs" dxfId="2046" priority="126" operator="equal">
      <formula>"For Information"</formula>
    </cfRule>
    <cfRule type="cellIs" dxfId="2045" priority="125" operator="equal">
      <formula>"B - Incorporate Comments - Proceed"</formula>
    </cfRule>
    <cfRule type="cellIs" dxfId="2044" priority="135" operator="between">
      <formula>"E - Review not Required - Proceed"</formula>
      <formula>"E - Review not Required - Proceed"</formula>
    </cfRule>
    <cfRule type="cellIs" dxfId="2043" priority="132" operator="between">
      <formula>"B - Incorporate Comments - Proceed"</formula>
      <formula>"B - Incorporate Comments - Proceed"</formula>
    </cfRule>
    <cfRule type="cellIs" dxfId="2042" priority="133" operator="between">
      <formula>"A - Work May Proceed"</formula>
      <formula>"A - Work May Proceed"</formula>
    </cfRule>
    <cfRule type="cellIs" dxfId="2041" priority="134" operator="between">
      <formula>"B - Incorporate Comments - Proceed"</formula>
      <formula>"B - Incorporate Comments - Proceed"</formula>
    </cfRule>
    <cfRule type="cellIs" dxfId="2040" priority="136" operator="between">
      <formula>"D - Rejected "</formula>
      <formula>"D - Rejected "</formula>
    </cfRule>
    <cfRule type="cellIs" dxfId="2039" priority="137" operator="between">
      <formula>"CANCELLED"</formula>
      <formula>"CANCELLED"</formula>
    </cfRule>
    <cfRule type="cellIs" dxfId="2038" priority="138" operator="between">
      <formula>"A - Work May Proceed"</formula>
      <formula>"A - Work May Proceed"</formula>
    </cfRule>
    <cfRule type="cellIs" dxfId="2037" priority="140" stopIfTrue="1" operator="between">
      <formula>"B - Incorporate Comments - Proceed "</formula>
      <formula>"B - Incorporate Comments - Proceed "</formula>
    </cfRule>
    <cfRule type="cellIs" dxfId="2036" priority="131" operator="between">
      <formula>"C - Revise and Resubmit - Do Not Proceed"</formula>
      <formula>"C - Revise and Resubmit - Do Not Proceed"</formula>
    </cfRule>
    <cfRule type="cellIs" dxfId="2035" priority="130" operator="between">
      <formula>"'D - Rejected "</formula>
      <formula>"'D - Rejected "</formula>
    </cfRule>
  </conditionalFormatting>
  <conditionalFormatting sqref="W11">
    <cfRule type="cellIs" dxfId="2034" priority="109" operator="equal">
      <formula>"B - Incorporate Comments - Proceed"</formula>
    </cfRule>
    <cfRule type="cellIs" dxfId="2033" priority="110" operator="equal">
      <formula>"For Information"</formula>
    </cfRule>
    <cfRule type="cellIs" dxfId="2032" priority="111" operator="equal">
      <formula>"B - Incorporate Comments - Proceed "</formula>
    </cfRule>
    <cfRule type="cellIs" dxfId="2031" priority="112" operator="equal">
      <formula>"E - Review Not Required - Proceed"</formula>
    </cfRule>
    <cfRule type="cellIs" dxfId="2030" priority="113" operator="between">
      <formula>"E - Review not Required - Proceed"</formula>
      <formula>"E - Review not Required - Proceed"</formula>
    </cfRule>
    <cfRule type="cellIs" dxfId="2029" priority="114" operator="between">
      <formula>"'D - Rejected "</formula>
      <formula>"'D - Rejected "</formula>
    </cfRule>
    <cfRule type="cellIs" dxfId="2028" priority="115" operator="between">
      <formula>"C - Revise and Resubmit - Do Not Proceed"</formula>
      <formula>"C - Revise and Resubmit - Do Not Proceed"</formula>
    </cfRule>
    <cfRule type="cellIs" dxfId="2027" priority="116" operator="between">
      <formula>"B - Incorporate Comments - Proceed"</formula>
      <formula>"B - Incorporate Comments - Proceed"</formula>
    </cfRule>
    <cfRule type="cellIs" dxfId="2026" priority="117" operator="between">
      <formula>"A - Work May Proceed"</formula>
      <formula>"A - Work May Proceed"</formula>
    </cfRule>
    <cfRule type="cellIs" dxfId="2025" priority="118" operator="between">
      <formula>"B - Incorporate Comments - Proceed"</formula>
      <formula>"B - Incorporate Comments - Proceed"</formula>
    </cfRule>
    <cfRule type="cellIs" dxfId="2024" priority="119" operator="between">
      <formula>"E - Review not Required - Proceed"</formula>
      <formula>"E - Review not Required - Proceed"</formula>
    </cfRule>
    <cfRule type="cellIs" dxfId="2023" priority="120" operator="between">
      <formula>"D - Rejected "</formula>
      <formula>"D - Rejected "</formula>
    </cfRule>
    <cfRule type="cellIs" dxfId="2022" priority="121" operator="between">
      <formula>"CANCELLED"</formula>
      <formula>"CANCELLED"</formula>
    </cfRule>
    <cfRule type="cellIs" dxfId="2021" priority="123" operator="between">
      <formula>"C - Revise and Resubmit - Do Not Proceed"</formula>
      <formula>"C - Revise and Resubmit - Do Not Proceed"</formula>
    </cfRule>
    <cfRule type="cellIs" dxfId="2020" priority="124" stopIfTrue="1" operator="between">
      <formula>"B - Incorporate Comments - Proceed "</formula>
      <formula>"B - Incorporate Comments - Proceed "</formula>
    </cfRule>
    <cfRule type="cellIs" dxfId="2019" priority="122" operator="between">
      <formula>"A - Work May Proceed"</formula>
      <formula>"A - Work May Proceed"</formula>
    </cfRule>
  </conditionalFormatting>
  <conditionalFormatting sqref="AD11">
    <cfRule type="cellIs" dxfId="2018" priority="94" operator="equal">
      <formula>"For Information"</formula>
    </cfRule>
    <cfRule type="cellIs" dxfId="2017" priority="104" operator="between">
      <formula>"D - Rejected "</formula>
      <formula>"D - Rejected "</formula>
    </cfRule>
    <cfRule type="cellIs" dxfId="2016" priority="93" operator="equal">
      <formula>"B - Incorporate Comments - Proceed"</formula>
    </cfRule>
    <cfRule type="cellIs" dxfId="2015" priority="106" operator="between">
      <formula>"A - Work May Proceed"</formula>
      <formula>"A - Work May Proceed"</formula>
    </cfRule>
    <cfRule type="cellIs" dxfId="2014" priority="107" operator="between">
      <formula>"C - Revise and Resubmit - Do Not Proceed"</formula>
      <formula>"C - Revise and Resubmit - Do Not Proceed"</formula>
    </cfRule>
    <cfRule type="cellIs" dxfId="2013" priority="108" stopIfTrue="1" operator="between">
      <formula>"B - Incorporate Comments - Proceed "</formula>
      <formula>"B - Incorporate Comments - Proceed "</formula>
    </cfRule>
    <cfRule type="cellIs" dxfId="2012" priority="103" operator="between">
      <formula>"E - Review not Required - Proceed"</formula>
      <formula>"E - Review not Required - Proceed"</formula>
    </cfRule>
    <cfRule type="cellIs" dxfId="2011" priority="102" operator="between">
      <formula>"B - Incorporate Comments - Proceed"</formula>
      <formula>"B - Incorporate Comments - Proceed"</formula>
    </cfRule>
    <cfRule type="cellIs" dxfId="2010" priority="101" operator="between">
      <formula>"A - Work May Proceed"</formula>
      <formula>"A - Work May Proceed"</formula>
    </cfRule>
    <cfRule type="cellIs" dxfId="2009" priority="100" operator="between">
      <formula>"B - Incorporate Comments - Proceed"</formula>
      <formula>"B - Incorporate Comments - Proceed"</formula>
    </cfRule>
    <cfRule type="cellIs" dxfId="2008" priority="99" operator="between">
      <formula>"C - Revise and Resubmit - Do Not Proceed"</formula>
      <formula>"C - Revise and Resubmit - Do Not Proceed"</formula>
    </cfRule>
    <cfRule type="cellIs" dxfId="2007" priority="98" operator="between">
      <formula>"'D - Rejected "</formula>
      <formula>"'D - Rejected "</formula>
    </cfRule>
    <cfRule type="cellIs" dxfId="2006" priority="97" operator="between">
      <formula>"E - Review not Required - Proceed"</formula>
      <formula>"E - Review not Required - Proceed"</formula>
    </cfRule>
    <cfRule type="cellIs" dxfId="2005" priority="105" operator="between">
      <formula>"CANCELLED"</formula>
      <formula>"CANCELLED"</formula>
    </cfRule>
    <cfRule type="cellIs" dxfId="2004" priority="96" operator="equal">
      <formula>"E - Review Not Required - Proceed"</formula>
    </cfRule>
    <cfRule type="cellIs" dxfId="2003" priority="95" operator="equal">
      <formula>"B - Incorporate Comments - Proceed "</formula>
    </cfRule>
  </conditionalFormatting>
  <conditionalFormatting sqref="AK11">
    <cfRule type="cellIs" dxfId="2002" priority="85" operator="between">
      <formula>"A - Work May Proceed"</formula>
      <formula>"A - Work May Proceed"</formula>
    </cfRule>
    <cfRule type="cellIs" dxfId="2001" priority="86" operator="between">
      <formula>"B - Incorporate Comments - Proceed"</formula>
      <formula>"B - Incorporate Comments - Proceed"</formula>
    </cfRule>
    <cfRule type="cellIs" dxfId="2000" priority="87" operator="between">
      <formula>"E - Review not Required - Proceed"</formula>
      <formula>"E - Review not Required - Proceed"</formula>
    </cfRule>
    <cfRule type="cellIs" dxfId="1999" priority="88" operator="between">
      <formula>"D - Rejected "</formula>
      <formula>"D - Rejected "</formula>
    </cfRule>
    <cfRule type="cellIs" dxfId="1998" priority="89" operator="between">
      <formula>"CANCELLED"</formula>
      <formula>"CANCELLED"</formula>
    </cfRule>
    <cfRule type="cellIs" dxfId="1997" priority="90" operator="between">
      <formula>"A - Work May Proceed"</formula>
      <formula>"A - Work May Proceed"</formula>
    </cfRule>
    <cfRule type="cellIs" dxfId="1996" priority="91" operator="between">
      <formula>"C - Revise and Resubmit - Do Not Proceed"</formula>
      <formula>"C - Revise and Resubmit - Do Not Proceed"</formula>
    </cfRule>
    <cfRule type="cellIs" dxfId="1995" priority="92" stopIfTrue="1" operator="between">
      <formula>"B - Incorporate Comments - Proceed "</formula>
      <formula>"B - Incorporate Comments - Proceed "</formula>
    </cfRule>
    <cfRule type="cellIs" dxfId="1994" priority="77" operator="equal">
      <formula>"B - Incorporate Comments - Proceed"</formula>
    </cfRule>
    <cfRule type="cellIs" dxfId="1993" priority="78" operator="equal">
      <formula>"For Information"</formula>
    </cfRule>
    <cfRule type="cellIs" dxfId="1992" priority="79" operator="equal">
      <formula>"B - Incorporate Comments - Proceed "</formula>
    </cfRule>
    <cfRule type="cellIs" dxfId="1991" priority="80" operator="equal">
      <formula>"E - Review Not Required - Proceed"</formula>
    </cfRule>
    <cfRule type="cellIs" dxfId="1990" priority="81" operator="between">
      <formula>"E - Review not Required - Proceed"</formula>
      <formula>"E - Review not Required - Proceed"</formula>
    </cfRule>
    <cfRule type="cellIs" dxfId="1989" priority="82" operator="between">
      <formula>"'D - Rejected "</formula>
      <formula>"'D - Rejected "</formula>
    </cfRule>
    <cfRule type="cellIs" dxfId="1988" priority="83" operator="between">
      <formula>"C - Revise and Resubmit - Do Not Proceed"</formula>
      <formula>"C - Revise and Resubmit - Do Not Proceed"</formula>
    </cfRule>
    <cfRule type="cellIs" dxfId="1987" priority="84" operator="between">
      <formula>"B - Incorporate Comments - Proceed"</formula>
      <formula>"B - Incorporate Comments - Proceed"</formula>
    </cfRule>
  </conditionalFormatting>
  <conditionalFormatting sqref="AR11">
    <cfRule type="cellIs" dxfId="1986" priority="47" operator="between">
      <formula>"D - Rejected "</formula>
      <formula>"D - Rejected "</formula>
    </cfRule>
    <cfRule type="cellIs" dxfId="1985" priority="46" operator="between">
      <formula>"E - Review not Required - Proceed"</formula>
      <formula>"E - Review not Required - Proceed"</formula>
    </cfRule>
    <cfRule type="cellIs" dxfId="1984" priority="45" operator="between">
      <formula>"B - Incorporate Comments - Proceed"</formula>
      <formula>"B - Incorporate Comments - Proceed"</formula>
    </cfRule>
    <cfRule type="cellIs" dxfId="1983" priority="44" operator="between">
      <formula>"A - Work May Proceed"</formula>
      <formula>"A - Work May Proceed"</formula>
    </cfRule>
    <cfRule type="cellIs" dxfId="1982" priority="43" operator="between">
      <formula>"B - Incorporate Comments - Proceed"</formula>
      <formula>"B - Incorporate Comments - Proceed"</formula>
    </cfRule>
    <cfRule type="cellIs" dxfId="1981" priority="42" operator="between">
      <formula>"C - Revise and Resubmit - Do Not Proceed"</formula>
      <formula>"C - Revise and Resubmit - Do Not Proceed"</formula>
    </cfRule>
    <cfRule type="cellIs" dxfId="1980" priority="41" operator="between">
      <formula>"'D - Rejected "</formula>
      <formula>"'D - Rejected "</formula>
    </cfRule>
    <cfRule type="cellIs" dxfId="1979" priority="40" operator="between">
      <formula>"E - Review not Required - Proceed"</formula>
      <formula>"E - Review not Required - Proceed"</formula>
    </cfRule>
    <cfRule type="cellIs" dxfId="1978" priority="39" operator="equal">
      <formula>"E - Review Not Required - Proceed"</formula>
    </cfRule>
    <cfRule type="cellIs" dxfId="1977" priority="38" operator="equal">
      <formula>"B - Incorporate Comments - Proceed "</formula>
    </cfRule>
    <cfRule type="cellIs" dxfId="1976" priority="37" operator="equal">
      <formula>"For Information"</formula>
    </cfRule>
    <cfRule type="cellIs" dxfId="1975" priority="36" operator="equal">
      <formula>"A - Work May Proceed"</formula>
    </cfRule>
    <cfRule type="cellIs" dxfId="1974" priority="35" operator="equal">
      <formula>"C - Revise and Resubmit - Do Not Proceed"</formula>
    </cfRule>
    <cfRule type="cellIs" dxfId="1973" priority="33" operator="equal">
      <formula>"D - Rejected"</formula>
    </cfRule>
    <cfRule type="cellIs" dxfId="1972" priority="32" operator="equal">
      <formula>"E - Review not Required - Proceed"</formula>
    </cfRule>
    <cfRule type="cellIs" dxfId="1971" priority="48" operator="between">
      <formula>"CANCELLED"</formula>
      <formula>"CANCELLED"</formula>
    </cfRule>
    <cfRule type="cellIs" dxfId="1970" priority="34" operator="equal">
      <formula>"B - Incorporate Comments - Proceed"</formula>
    </cfRule>
    <cfRule type="cellIs" dxfId="1969" priority="51" stopIfTrue="1" operator="between">
      <formula>"B - Incorporate Comments - Proceed "</formula>
      <formula>"B - Incorporate Comments - Proceed "</formula>
    </cfRule>
    <cfRule type="cellIs" dxfId="1968" priority="50" operator="between">
      <formula>"C - Revise and Resubmit - Do Not Proceed"</formula>
      <formula>"C - Revise and Resubmit - Do Not Proceed"</formula>
    </cfRule>
    <cfRule type="cellIs" dxfId="1967" priority="49" operator="between">
      <formula>"A - Work May Proceed"</formula>
      <formula>"A - Work May Proceed"</formula>
    </cfRule>
  </conditionalFormatting>
  <conditionalFormatting sqref="AY11">
    <cfRule type="cellIs" dxfId="1966" priority="71" stopIfTrue="1" operator="between">
      <formula>"B - Incorporate Comments - Proceed "</formula>
      <formula>"B - Incorporate Comments - Proceed "</formula>
    </cfRule>
    <cfRule type="cellIs" dxfId="1965" priority="69" operator="between">
      <formula>"A - Work May Proceed"</formula>
      <formula>"A - Work May Proceed"</formula>
    </cfRule>
    <cfRule type="cellIs" dxfId="1964" priority="68" operator="between">
      <formula>"CANCELLED"</formula>
      <formula>"CANCELLED"</formula>
    </cfRule>
    <cfRule type="cellIs" dxfId="1963" priority="67" operator="between">
      <formula>"D - Rejected "</formula>
      <formula>"D - Rejected "</formula>
    </cfRule>
    <cfRule type="cellIs" dxfId="1962" priority="66" operator="between">
      <formula>"E - Review not Required - Proceed"</formula>
      <formula>"E - Review not Required - Proceed"</formula>
    </cfRule>
    <cfRule type="cellIs" dxfId="1961" priority="61" operator="between">
      <formula>"'D - Rejected "</formula>
      <formula>"'D - Rejected "</formula>
    </cfRule>
    <cfRule type="cellIs" dxfId="1960" priority="60" operator="between">
      <formula>"E - Review not Required - Proceed"</formula>
      <formula>"E - Review not Required - Proceed"</formula>
    </cfRule>
    <cfRule type="cellIs" dxfId="1959" priority="70" operator="between">
      <formula>"C - Revise and Resubmit - Do Not Proceed"</formula>
      <formula>"C - Revise and Resubmit - Do Not Proceed"</formula>
    </cfRule>
    <cfRule type="cellIs" dxfId="1958" priority="59" operator="equal">
      <formula>"E - Review Not Required - Proceed"</formula>
    </cfRule>
    <cfRule type="cellIs" dxfId="1957" priority="58" operator="equal">
      <formula>"B - Incorporate Comments - Proceed "</formula>
    </cfRule>
    <cfRule type="cellIs" dxfId="1956" priority="57" operator="equal">
      <formula>"For Information"</formula>
    </cfRule>
    <cfRule type="cellIs" dxfId="1955" priority="56" operator="equal">
      <formula>"A - Work May Proceed"</formula>
    </cfRule>
    <cfRule type="cellIs" dxfId="1954" priority="55" operator="equal">
      <formula>"C - Revise and Resubmit - Do Not Proceed"</formula>
    </cfRule>
    <cfRule type="cellIs" dxfId="1953" priority="54" operator="equal">
      <formula>"B - Incorporate Comments - Proceed"</formula>
    </cfRule>
    <cfRule type="cellIs" dxfId="1952" priority="53" operator="equal">
      <formula>"D - Rejected"</formula>
    </cfRule>
    <cfRule type="cellIs" dxfId="1951" priority="52" operator="equal">
      <formula>"E - Review not Required - Proceed"</formula>
    </cfRule>
    <cfRule type="cellIs" dxfId="1950" priority="64" operator="between">
      <formula>"A - Work May Proceed"</formula>
      <formula>"A - Work May Proceed"</formula>
    </cfRule>
    <cfRule type="cellIs" dxfId="1949" priority="63" operator="between">
      <formula>"B - Incorporate Comments - Proceed"</formula>
      <formula>"B - Incorporate Comments - Proceed"</formula>
    </cfRule>
    <cfRule type="cellIs" dxfId="1948" priority="62" operator="between">
      <formula>"C - Revise and Resubmit - Do Not Proceed"</formula>
      <formula>"C - Revise and Resubmit - Do Not Proceed"</formula>
    </cfRule>
    <cfRule type="cellIs" dxfId="1947" priority="65" operator="between">
      <formula>"B - Incorporate Comments - Proceed"</formula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98B3-02CF-486F-B737-F3D9CC9914A7}">
  <sheetPr codeName="Sheet2">
    <tabColor theme="9"/>
  </sheetPr>
  <dimension ref="A1:BF17"/>
  <sheetViews>
    <sheetView zoomScale="55" zoomScaleNormal="55" zoomScaleSheetLayoutView="70" workbookViewId="0">
      <pane ySplit="11" topLeftCell="A12" activePane="bottomLeft" state="frozen"/>
      <selection activeCell="A14" sqref="A14"/>
      <selection pane="bottomLeft" activeCell="F32" sqref="F32"/>
    </sheetView>
  </sheetViews>
  <sheetFormatPr defaultColWidth="9.140625" defaultRowHeight="15" x14ac:dyDescent="0.25"/>
  <cols>
    <col min="1" max="1" width="23.425781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3" width="30.140625" style="471" customWidth="1"/>
    <col min="14" max="14" width="30.140625" style="396" customWidth="1"/>
    <col min="15" max="16" width="30.140625" style="393" customWidth="1"/>
    <col min="17" max="17" width="30.140625" style="397" customWidth="1"/>
    <col min="18" max="19" width="30.140625" style="393" customWidth="1"/>
    <col min="20" max="21" width="30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1.5703125" style="401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 s="16"/>
      <c r="L1"/>
      <c r="M1"/>
      <c r="N1" s="111"/>
      <c r="O1"/>
      <c r="P1"/>
      <c r="Q1"/>
      <c r="R1"/>
      <c r="S1"/>
      <c r="T1"/>
      <c r="U1"/>
      <c r="V1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"/>
    </row>
    <row r="2" spans="1:58" s="379" customFormat="1" ht="24" customHeight="1" x14ac:dyDescent="0.35">
      <c r="A2" s="8"/>
      <c r="B2" s="25" t="s">
        <v>28</v>
      </c>
      <c r="C2" s="26" t="s">
        <v>181</v>
      </c>
      <c r="D2" s="26"/>
      <c r="E2" s="26"/>
      <c r="F2" s="27"/>
      <c r="G2" s="8"/>
      <c r="H2" s="548"/>
      <c r="I2" s="558"/>
      <c r="J2"/>
      <c r="K2"/>
      <c r="L2"/>
      <c r="M2"/>
      <c r="N2" s="111"/>
      <c r="O2"/>
      <c r="P2"/>
      <c r="Q2"/>
      <c r="R2"/>
      <c r="S2"/>
      <c r="T2"/>
      <c r="U2"/>
      <c r="V2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"/>
    </row>
    <row r="3" spans="1:58" s="379" customFormat="1" ht="24" customHeight="1" x14ac:dyDescent="0.35">
      <c r="A3" s="8"/>
      <c r="B3" s="25" t="s">
        <v>507</v>
      </c>
      <c r="C3" s="49" t="s">
        <v>4359</v>
      </c>
      <c r="D3" s="26"/>
      <c r="E3" s="26"/>
      <c r="F3" s="27"/>
      <c r="G3" s="8"/>
      <c r="H3" s="8"/>
      <c r="I3"/>
      <c r="J3"/>
      <c r="K3"/>
      <c r="L3"/>
      <c r="M3"/>
      <c r="N3" s="111"/>
      <c r="O3"/>
      <c r="P3"/>
      <c r="Q3"/>
      <c r="R3"/>
      <c r="S3"/>
      <c r="T3"/>
      <c r="U3"/>
      <c r="V3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 s="111"/>
      <c r="O4"/>
      <c r="P4"/>
      <c r="Q4"/>
      <c r="R4"/>
      <c r="S4"/>
      <c r="T4"/>
      <c r="U4"/>
      <c r="V4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 s="111"/>
      <c r="O5"/>
      <c r="P5"/>
      <c r="Q5"/>
      <c r="R5"/>
      <c r="S5"/>
      <c r="T5"/>
      <c r="U5"/>
      <c r="V5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"/>
    </row>
    <row r="6" spans="1:58" s="379" customFormat="1" ht="24" customHeight="1" x14ac:dyDescent="0.35">
      <c r="A6" s="8"/>
      <c r="B6" s="64">
        <f>COUNTIF(B11:B17,"A - Work May Proceed")</f>
        <v>2</v>
      </c>
      <c r="C6" s="65">
        <f>COUNTIF(B11:B17,"B- Incorporate Comments - Proceed")</f>
        <v>0</v>
      </c>
      <c r="D6" s="65">
        <f>COUNTIF(B11:B17,"C - Revise and Resubmit - Do Not Proceed")</f>
        <v>1</v>
      </c>
      <c r="E6" s="65">
        <f>COUNTIF(B11:B17,"D - Rejected")</f>
        <v>0</v>
      </c>
      <c r="F6" s="65">
        <f>COUNTIF(B11:B17,"E - Review not Required - Proceed")</f>
        <v>0</v>
      </c>
      <c r="G6" s="66">
        <f>COUNTIF(B11:B17,"UR")</f>
        <v>2</v>
      </c>
      <c r="H6" s="66">
        <f>COUNTIF(B11:B17,"FA")</f>
        <v>0</v>
      </c>
      <c r="I6" s="66">
        <f>COUNTIF(B11:B17,"Terminated")</f>
        <v>0</v>
      </c>
      <c r="J6" s="66">
        <f>COUNTIF(B11:B17,"Cancelled")</f>
        <v>0</v>
      </c>
      <c r="K6"/>
      <c r="L6"/>
      <c r="M6"/>
      <c r="N6" s="111"/>
      <c r="O6"/>
      <c r="P6"/>
      <c r="Q6"/>
      <c r="R6"/>
      <c r="S6"/>
      <c r="T6"/>
      <c r="U6"/>
      <c r="V6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 s="111"/>
      <c r="O7"/>
      <c r="P7"/>
      <c r="Q7"/>
      <c r="R7"/>
      <c r="S7"/>
      <c r="T7"/>
      <c r="U7"/>
      <c r="V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"/>
    </row>
    <row r="8" spans="1:58" s="379" customFormat="1" ht="24" customHeight="1" x14ac:dyDescent="0.35">
      <c r="A8" s="8"/>
      <c r="B8" s="72" t="s">
        <v>509</v>
      </c>
      <c r="C8" s="73">
        <f>SUM(B6:I6)</f>
        <v>5</v>
      </c>
      <c r="D8" s="69"/>
      <c r="E8" s="70"/>
      <c r="F8" s="70"/>
      <c r="G8" s="74"/>
      <c r="H8" s="75"/>
      <c r="I8" s="76"/>
      <c r="J8" s="75"/>
      <c r="K8"/>
      <c r="L8"/>
      <c r="M8"/>
      <c r="N8" s="111"/>
      <c r="O8"/>
      <c r="P8"/>
      <c r="Q8"/>
      <c r="R8"/>
      <c r="S8"/>
      <c r="T8"/>
      <c r="U8"/>
      <c r="V8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 s="111"/>
      <c r="O9"/>
      <c r="P9"/>
      <c r="Q9"/>
      <c r="R9"/>
      <c r="S9"/>
      <c r="T9"/>
      <c r="U9"/>
      <c r="V9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"/>
    </row>
    <row r="10" spans="1:58" s="405" customFormat="1" ht="36.75" customHeight="1" x14ac:dyDescent="0.2">
      <c r="A10" s="559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112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100008</v>
      </c>
      <c r="B12" s="56" t="s">
        <v>5</v>
      </c>
      <c r="C12" s="56" t="s">
        <v>725</v>
      </c>
      <c r="D12" s="12" t="s">
        <v>4358</v>
      </c>
      <c r="E12" s="12" t="s">
        <v>4357</v>
      </c>
      <c r="F12" s="16" t="s">
        <v>4360</v>
      </c>
      <c r="G12" s="16" t="s">
        <v>179</v>
      </c>
      <c r="H12" s="10" t="s">
        <v>4359</v>
      </c>
      <c r="I12" s="16" t="s">
        <v>18</v>
      </c>
      <c r="J12" s="14">
        <v>45932</v>
      </c>
      <c r="K12" s="12" t="s">
        <v>4364</v>
      </c>
      <c r="L12" s="20">
        <f>J12+7</f>
        <v>45939</v>
      </c>
      <c r="M12" s="14">
        <v>45941</v>
      </c>
      <c r="N12" s="92">
        <f>M12-L12</f>
        <v>2</v>
      </c>
      <c r="O12" s="12" t="s">
        <v>4369</v>
      </c>
      <c r="P12" s="55" t="s">
        <v>18</v>
      </c>
      <c r="Q12" s="20">
        <v>45942</v>
      </c>
      <c r="R12" s="12" t="s">
        <v>4457</v>
      </c>
      <c r="S12" s="20">
        <f>Q12+7</f>
        <v>45949</v>
      </c>
      <c r="T12" s="20">
        <v>45955</v>
      </c>
      <c r="U12" s="92">
        <f>T12-S12</f>
        <v>6</v>
      </c>
      <c r="V12" s="12" t="s">
        <v>4468</v>
      </c>
      <c r="W12" s="12" t="s">
        <v>18</v>
      </c>
      <c r="X12" s="20">
        <v>45958</v>
      </c>
      <c r="Y12" s="12" t="s">
        <v>4616</v>
      </c>
      <c r="Z12" s="20">
        <f>X12+7</f>
        <v>45965</v>
      </c>
      <c r="AA12" s="20">
        <v>45965</v>
      </c>
      <c r="AB12" s="92">
        <f>AA12-Z12</f>
        <v>0</v>
      </c>
      <c r="AC12" s="12" t="s">
        <v>4634</v>
      </c>
      <c r="AD12" s="13" t="s">
        <v>5</v>
      </c>
      <c r="AE12" s="20">
        <v>45977</v>
      </c>
      <c r="AF12" s="12" t="s">
        <v>4955</v>
      </c>
      <c r="AG12" s="20">
        <f>AE12+7</f>
        <v>45984</v>
      </c>
      <c r="AH12" s="20">
        <v>45979</v>
      </c>
      <c r="AI12" s="92">
        <f>AH12-AG12</f>
        <v>-5</v>
      </c>
      <c r="AJ12" s="12" t="s">
        <v>4954</v>
      </c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440" t="s">
        <v>4438</v>
      </c>
    </row>
    <row r="13" spans="1:58" s="381" customFormat="1" ht="42" customHeight="1" x14ac:dyDescent="0.25">
      <c r="A13" s="367">
        <v>100008</v>
      </c>
      <c r="B13" s="16" t="s">
        <v>3</v>
      </c>
      <c r="C13" s="56" t="s">
        <v>588</v>
      </c>
      <c r="D13" s="12" t="s">
        <v>4671</v>
      </c>
      <c r="E13" s="12" t="s">
        <v>4672</v>
      </c>
      <c r="F13" s="16" t="s">
        <v>4673</v>
      </c>
      <c r="G13" s="16" t="s">
        <v>179</v>
      </c>
      <c r="H13" s="10" t="s">
        <v>4359</v>
      </c>
      <c r="I13" s="16" t="s">
        <v>3</v>
      </c>
      <c r="J13" s="14">
        <v>45963</v>
      </c>
      <c r="K13" s="12" t="s">
        <v>4674</v>
      </c>
      <c r="L13" s="20">
        <f>J13+7</f>
        <v>45970</v>
      </c>
      <c r="M13" s="14">
        <v>45973</v>
      </c>
      <c r="N13" s="92">
        <f>M13-L13</f>
        <v>3</v>
      </c>
      <c r="O13" s="12" t="s">
        <v>4719</v>
      </c>
      <c r="P13" s="16" t="s">
        <v>3</v>
      </c>
      <c r="Q13" s="20">
        <v>45973</v>
      </c>
      <c r="R13" s="12" t="s">
        <v>4874</v>
      </c>
      <c r="S13" s="20">
        <f>Q13+7</f>
        <v>45980</v>
      </c>
      <c r="T13" s="20">
        <v>45988</v>
      </c>
      <c r="U13" s="92">
        <f>T13-S13</f>
        <v>8</v>
      </c>
      <c r="V13" s="12" t="s">
        <v>4897</v>
      </c>
      <c r="W13" s="16" t="s">
        <v>3</v>
      </c>
      <c r="X13" s="20">
        <v>46004</v>
      </c>
      <c r="Y13" s="12" t="s">
        <v>5193</v>
      </c>
      <c r="Z13" s="20">
        <f>X13+7</f>
        <v>46011</v>
      </c>
      <c r="AA13" s="20">
        <v>46012</v>
      </c>
      <c r="AB13" s="92">
        <f>AA13-Z13</f>
        <v>1</v>
      </c>
      <c r="AC13" s="12" t="s">
        <v>5219</v>
      </c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440" t="s">
        <v>4438</v>
      </c>
    </row>
    <row r="14" spans="1:58" s="381" customFormat="1" ht="42" customHeight="1" x14ac:dyDescent="0.25">
      <c r="A14" s="367">
        <v>100008</v>
      </c>
      <c r="B14" s="16" t="s">
        <v>5</v>
      </c>
      <c r="C14" s="56" t="s">
        <v>588</v>
      </c>
      <c r="D14" s="12" t="s">
        <v>5873</v>
      </c>
      <c r="E14" s="12" t="s">
        <v>5874</v>
      </c>
      <c r="F14" s="16" t="s">
        <v>5875</v>
      </c>
      <c r="G14" s="16" t="s">
        <v>179</v>
      </c>
      <c r="H14" s="10" t="s">
        <v>4359</v>
      </c>
      <c r="I14" s="16" t="s">
        <v>18</v>
      </c>
      <c r="J14" s="14">
        <v>46072</v>
      </c>
      <c r="K14" s="12" t="s">
        <v>5878</v>
      </c>
      <c r="L14" s="20">
        <f>J14+7</f>
        <v>46079</v>
      </c>
      <c r="M14" s="14">
        <v>46081</v>
      </c>
      <c r="N14" s="92">
        <f>M14-L14</f>
        <v>2</v>
      </c>
      <c r="O14" s="12" t="s">
        <v>5880</v>
      </c>
      <c r="P14" s="16" t="s">
        <v>18</v>
      </c>
      <c r="Q14" s="20">
        <v>46201</v>
      </c>
      <c r="R14" s="150" t="s">
        <v>7112</v>
      </c>
      <c r="S14" s="20">
        <f>Q14+7</f>
        <v>46208</v>
      </c>
      <c r="T14" s="20">
        <v>46208</v>
      </c>
      <c r="U14" s="92">
        <f>T14-S14</f>
        <v>0</v>
      </c>
      <c r="V14" s="12" t="s">
        <v>7130</v>
      </c>
      <c r="W14" s="12" t="s">
        <v>5</v>
      </c>
      <c r="X14" s="20">
        <v>46208</v>
      </c>
      <c r="Y14" s="12" t="s">
        <v>7207</v>
      </c>
      <c r="Z14" s="20">
        <f>X14+7</f>
        <v>46215</v>
      </c>
      <c r="AA14" s="20">
        <v>46209</v>
      </c>
      <c r="AB14" s="92">
        <f>AA14-Z14</f>
        <v>-6</v>
      </c>
      <c r="AC14" s="12" t="s">
        <v>7218</v>
      </c>
      <c r="AD14" s="12"/>
      <c r="AE14" s="20"/>
      <c r="AF14" s="12"/>
      <c r="AG14" s="12"/>
      <c r="AH14" s="20"/>
      <c r="AI14" s="20"/>
      <c r="AJ14" s="12"/>
      <c r="AK14" s="10"/>
      <c r="AL14" s="14"/>
      <c r="AM14" s="12"/>
      <c r="AN14" s="12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/>
      <c r="BF14" s="368"/>
    </row>
    <row r="15" spans="1:58" s="381" customFormat="1" ht="42" customHeight="1" x14ac:dyDescent="0.25">
      <c r="A15" s="367">
        <v>100008</v>
      </c>
      <c r="B15" s="11" t="s">
        <v>4</v>
      </c>
      <c r="C15" s="56" t="s">
        <v>588</v>
      </c>
      <c r="D15" s="12" t="s">
        <v>7426</v>
      </c>
      <c r="E15" s="12" t="s">
        <v>7427</v>
      </c>
      <c r="F15" s="16" t="s">
        <v>7473</v>
      </c>
      <c r="G15" s="16" t="s">
        <v>179</v>
      </c>
      <c r="H15" s="10" t="s">
        <v>4359</v>
      </c>
      <c r="I15" s="16" t="s">
        <v>3</v>
      </c>
      <c r="J15" s="14">
        <v>46239</v>
      </c>
      <c r="K15" s="150" t="s">
        <v>7428</v>
      </c>
      <c r="L15" s="20">
        <f>J15+7</f>
        <v>46246</v>
      </c>
      <c r="M15" s="14">
        <v>46250</v>
      </c>
      <c r="N15" s="92">
        <f>M15-L15</f>
        <v>4</v>
      </c>
      <c r="O15" s="12" t="s">
        <v>7435</v>
      </c>
      <c r="P15" s="16" t="s">
        <v>3</v>
      </c>
      <c r="Q15" s="20">
        <v>46250</v>
      </c>
      <c r="R15" s="12" t="s">
        <v>7474</v>
      </c>
      <c r="S15" s="20">
        <f>Q15+7</f>
        <v>46257</v>
      </c>
      <c r="T15" s="20">
        <v>46259</v>
      </c>
      <c r="U15" s="92">
        <f>T15-S15</f>
        <v>2</v>
      </c>
      <c r="V15" s="12" t="s">
        <v>7481</v>
      </c>
      <c r="W15" s="12" t="s">
        <v>4</v>
      </c>
      <c r="X15" s="20">
        <v>46263</v>
      </c>
      <c r="Y15" s="12" t="s">
        <v>7545</v>
      </c>
      <c r="Z15" s="20">
        <f>X15+7</f>
        <v>46270</v>
      </c>
      <c r="AA15" s="20"/>
      <c r="AB15" s="92">
        <f>AA15-Z15</f>
        <v>-46270</v>
      </c>
      <c r="AC15" s="12"/>
      <c r="AD15" s="12"/>
      <c r="AE15" s="20"/>
      <c r="AF15" s="12"/>
      <c r="AG15" s="12"/>
      <c r="AH15" s="20"/>
      <c r="AI15" s="20"/>
      <c r="AJ15" s="12"/>
      <c r="AK15" s="10"/>
      <c r="AL15" s="14"/>
      <c r="AM15" s="12"/>
      <c r="AN15" s="12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2"/>
      <c r="BF15" s="368"/>
    </row>
    <row r="16" spans="1:58" s="381" customFormat="1" ht="42" customHeight="1" x14ac:dyDescent="0.25">
      <c r="A16" s="367">
        <v>100008</v>
      </c>
      <c r="B16" s="11" t="s">
        <v>4</v>
      </c>
      <c r="C16" s="512" t="s">
        <v>54</v>
      </c>
      <c r="D16" s="12" t="s">
        <v>7553</v>
      </c>
      <c r="E16" s="12" t="s">
        <v>7555</v>
      </c>
      <c r="F16" s="16" t="s">
        <v>7554</v>
      </c>
      <c r="G16" s="16" t="s">
        <v>179</v>
      </c>
      <c r="H16" s="10" t="s">
        <v>4359</v>
      </c>
      <c r="I16" s="494" t="s">
        <v>7543</v>
      </c>
      <c r="J16" s="510">
        <v>46264</v>
      </c>
      <c r="K16" s="515" t="s">
        <v>7556</v>
      </c>
      <c r="L16" s="20">
        <f>J16+7</f>
        <v>46271</v>
      </c>
      <c r="M16" s="510"/>
      <c r="N16" s="92">
        <f>M16-L16</f>
        <v>-46271</v>
      </c>
      <c r="O16" s="511"/>
      <c r="P16" s="494"/>
      <c r="Q16" s="516"/>
      <c r="R16" s="511"/>
      <c r="S16" s="516"/>
      <c r="T16" s="516"/>
      <c r="U16" s="513"/>
      <c r="V16" s="511"/>
      <c r="W16" s="511"/>
      <c r="X16" s="516"/>
      <c r="Y16" s="511"/>
      <c r="Z16" s="516"/>
      <c r="AA16" s="516"/>
      <c r="AB16" s="513"/>
      <c r="AC16" s="511"/>
      <c r="AD16" s="511"/>
      <c r="AE16" s="516"/>
      <c r="AF16" s="511"/>
      <c r="AG16" s="511"/>
      <c r="AH16" s="516"/>
      <c r="AI16" s="516"/>
      <c r="AJ16" s="511"/>
      <c r="AK16" s="496"/>
      <c r="AL16" s="510"/>
      <c r="AM16" s="511"/>
      <c r="AN16" s="511"/>
      <c r="AO16" s="510"/>
      <c r="AP16" s="510"/>
      <c r="AQ16" s="510"/>
      <c r="AR16" s="510"/>
      <c r="AS16" s="510"/>
      <c r="AT16" s="510"/>
      <c r="AU16" s="510"/>
      <c r="AV16" s="510"/>
      <c r="AW16" s="510"/>
      <c r="AX16" s="510"/>
      <c r="AY16" s="510"/>
      <c r="AZ16" s="510"/>
      <c r="BA16" s="510"/>
      <c r="BB16" s="510"/>
      <c r="BC16" s="510"/>
      <c r="BD16" s="510"/>
      <c r="BE16" s="511"/>
      <c r="BF16" s="514"/>
    </row>
    <row r="17" spans="1:58" s="381" customFormat="1" ht="42" customHeight="1" thickBot="1" x14ac:dyDescent="0.3">
      <c r="A17" s="369"/>
      <c r="B17" s="371"/>
      <c r="C17" s="444"/>
      <c r="D17" s="370"/>
      <c r="E17" s="370"/>
      <c r="F17" s="262"/>
      <c r="G17" s="263"/>
      <c r="H17" s="263"/>
      <c r="I17" s="262"/>
      <c r="J17" s="474"/>
      <c r="K17" s="370"/>
      <c r="L17" s="370"/>
      <c r="M17" s="474"/>
      <c r="N17" s="425"/>
      <c r="O17" s="370"/>
      <c r="P17" s="262"/>
      <c r="Q17" s="476"/>
      <c r="R17" s="370"/>
      <c r="S17" s="370"/>
      <c r="T17" s="476"/>
      <c r="U17" s="476"/>
      <c r="V17" s="370"/>
      <c r="W17" s="370"/>
      <c r="X17" s="476"/>
      <c r="Y17" s="370"/>
      <c r="Z17" s="370"/>
      <c r="AA17" s="476"/>
      <c r="AB17" s="476"/>
      <c r="AC17" s="370"/>
      <c r="AD17" s="370"/>
      <c r="AE17" s="476"/>
      <c r="AF17" s="370"/>
      <c r="AG17" s="370"/>
      <c r="AH17" s="476"/>
      <c r="AI17" s="476"/>
      <c r="AJ17" s="370"/>
      <c r="AK17" s="263"/>
      <c r="AL17" s="474"/>
      <c r="AM17" s="370"/>
      <c r="AN17" s="370"/>
      <c r="AO17" s="474"/>
      <c r="AP17" s="474"/>
      <c r="AQ17" s="474"/>
      <c r="AR17" s="474"/>
      <c r="AS17" s="474"/>
      <c r="AT17" s="474"/>
      <c r="AU17" s="474"/>
      <c r="AV17" s="474"/>
      <c r="AW17" s="474"/>
      <c r="AX17" s="474"/>
      <c r="AY17" s="474"/>
      <c r="AZ17" s="474"/>
      <c r="BA17" s="474"/>
      <c r="BB17" s="474"/>
      <c r="BC17" s="474"/>
      <c r="BD17" s="474"/>
      <c r="BE17" s="370"/>
      <c r="BF17" s="378"/>
    </row>
  </sheetData>
  <autoFilter ref="A11:BF11" xr:uid="{FA5098B3-02CF-486F-B737-F3D9CC9914A7}"/>
  <mergeCells count="18">
    <mergeCell ref="H1:H2"/>
    <mergeCell ref="I1:I2"/>
    <mergeCell ref="AK10:AQ10"/>
    <mergeCell ref="AR10:AX10"/>
    <mergeCell ref="AY10:BE10"/>
    <mergeCell ref="BF10:BF11"/>
    <mergeCell ref="AD10:AJ10"/>
    <mergeCell ref="A10:A11"/>
    <mergeCell ref="B10:B11"/>
    <mergeCell ref="C10:C11"/>
    <mergeCell ref="D10:D11"/>
    <mergeCell ref="E10:E11"/>
    <mergeCell ref="F10:F11"/>
    <mergeCell ref="G10:G11"/>
    <mergeCell ref="H10:H11"/>
    <mergeCell ref="I10:O10"/>
    <mergeCell ref="P10:V10"/>
    <mergeCell ref="W10:AC10"/>
  </mergeCells>
  <phoneticPr fontId="5" type="noConversion"/>
  <conditionalFormatting sqref="B10:XFD10">
    <cfRule type="cellIs" dxfId="1946" priority="6" operator="equal">
      <formula>"E - Review not Required - Proceed"</formula>
    </cfRule>
    <cfRule type="cellIs" dxfId="1945" priority="7" operator="equal">
      <formula>"D - Rejected"</formula>
    </cfRule>
    <cfRule type="cellIs" dxfId="1944" priority="8" operator="equal">
      <formula>"B- Incorporate Comments - Proceed"</formula>
    </cfRule>
    <cfRule type="cellIs" dxfId="1943" priority="9" operator="equal">
      <formula>"C - Revise and Resubmit - Do Not Proceed"</formula>
    </cfRule>
    <cfRule type="cellIs" dxfId="1942" priority="10" operator="equal">
      <formula>"A - Work May Proceed"</formula>
    </cfRule>
  </conditionalFormatting>
  <conditionalFormatting sqref="D11:BE11 B1:G2 W1:XFD9 B3:H4 B9:H9 B11">
    <cfRule type="cellIs" dxfId="1941" priority="60" operator="equal">
      <formula>"A - Work May Proceed"</formula>
    </cfRule>
    <cfRule type="cellIs" dxfId="1940" priority="59" operator="equal">
      <formula>"C - Revise and Resubmit - Do Not Proceed"</formula>
    </cfRule>
    <cfRule type="cellIs" dxfId="1939" priority="56" operator="equal">
      <formula>"E - Review not Required - Proceed"</formula>
    </cfRule>
    <cfRule type="cellIs" dxfId="1938" priority="57" operator="equal">
      <formula>"D - Rejected"</formula>
    </cfRule>
    <cfRule type="cellIs" dxfId="1937" priority="58" operator="equal">
      <formula>"B- Incorporate Comments - Proceed"</formula>
    </cfRule>
  </conditionalFormatting>
  <conditionalFormatting sqref="I11">
    <cfRule type="cellIs" dxfId="1936" priority="131" operator="between">
      <formula>"C - Revise and Resubmit - Do Not Proceed"</formula>
      <formula>"C - Revise and Resubmit - Do Not Proceed"</formula>
    </cfRule>
    <cfRule type="cellIs" dxfId="1935" priority="129" operator="between">
      <formula>"E - Review not Required - Proceed"</formula>
      <formula>"E - Review not Required - Proceed"</formula>
    </cfRule>
    <cfRule type="cellIs" dxfId="1934" priority="128" operator="equal">
      <formula>"E - Review Not Required - Proceed"</formula>
    </cfRule>
    <cfRule type="cellIs" dxfId="1933" priority="127" operator="equal">
      <formula>"B - Incorporate Comments - Proceed "</formula>
    </cfRule>
    <cfRule type="cellIs" dxfId="1932" priority="138" operator="between">
      <formula>"A - Work May Proceed"</formula>
      <formula>"A - Work May Proceed"</formula>
    </cfRule>
    <cfRule type="cellIs" dxfId="1931" priority="126" operator="equal">
      <formula>"For Information"</formula>
    </cfRule>
    <cfRule type="cellIs" dxfId="1930" priority="125" operator="equal">
      <formula>"B - Incorporate Comments - Proceed"</formula>
    </cfRule>
    <cfRule type="cellIs" dxfId="1929" priority="130" operator="between">
      <formula>"'D - Rejected "</formula>
      <formula>"'D - Rejected "</formula>
    </cfRule>
    <cfRule type="cellIs" dxfId="1928" priority="139" operator="between">
      <formula>"C - Revise and Resubmit - Do Not Proceed"</formula>
      <formula>"C - Revise and Resubmit - Do Not Proceed"</formula>
    </cfRule>
    <cfRule type="cellIs" dxfId="1927" priority="137" operator="between">
      <formula>"CANCELLED"</formula>
      <formula>"CANCELLED"</formula>
    </cfRule>
    <cfRule type="cellIs" dxfId="1926" priority="136" operator="between">
      <formula>"D - Rejected "</formula>
      <formula>"D - Rejected "</formula>
    </cfRule>
    <cfRule type="cellIs" dxfId="1925" priority="140" stopIfTrue="1" operator="between">
      <formula>"B - Incorporate Comments - Proceed "</formula>
      <formula>"B - Incorporate Comments - Proceed "</formula>
    </cfRule>
    <cfRule type="cellIs" dxfId="1924" priority="135" operator="between">
      <formula>"E - Review not Required - Proceed"</formula>
      <formula>"E - Review not Required - Proceed"</formula>
    </cfRule>
    <cfRule type="cellIs" dxfId="1923" priority="134" operator="between">
      <formula>"B - Incorporate Comments - Proceed"</formula>
      <formula>"B - Incorporate Comments - Proceed"</formula>
    </cfRule>
    <cfRule type="cellIs" dxfId="1922" priority="133" operator="between">
      <formula>"A - Work May Proceed"</formula>
      <formula>"A - Work May Proceed"</formula>
    </cfRule>
    <cfRule type="cellIs" dxfId="1921" priority="132" operator="between">
      <formula>"B - Incorporate Comments - Proceed"</formula>
      <formula>"B - Incorporate Comments - Proceed"</formula>
    </cfRule>
  </conditionalFormatting>
  <conditionalFormatting sqref="J5:J6 B5:I7 B8:J8">
    <cfRule type="cellIs" dxfId="1920" priority="15" stopIfTrue="1" operator="equal">
      <formula>"A - Work May Proceed"</formula>
    </cfRule>
    <cfRule type="cellIs" dxfId="1919" priority="14" operator="equal">
      <formula>"C - Revise and Resubmit - Do Not Proceed"</formula>
    </cfRule>
    <cfRule type="cellIs" dxfId="1918" priority="13" operator="equal">
      <formula>"B- Incorporate Comments - Proceed"</formula>
    </cfRule>
    <cfRule type="cellIs" dxfId="1917" priority="12" operator="equal">
      <formula>"D - Rejected"</formula>
    </cfRule>
    <cfRule type="cellIs" dxfId="1916" priority="11" operator="equal">
      <formula>"E - Review not Required - Proceed"</formula>
    </cfRule>
  </conditionalFormatting>
  <conditionalFormatting sqref="K1 A10:A11 A12:XFD13 A14:Q14 S14:XFD14 A15:J16 L15:XFD16 A17:XFD17">
    <cfRule type="cellIs" dxfId="1915" priority="2" operator="equal">
      <formula>"D - Rejected"</formula>
    </cfRule>
    <cfRule type="cellIs" dxfId="1914" priority="3" operator="equal">
      <formula>"B- Incorporate Comments - Proceed"</formula>
    </cfRule>
    <cfRule type="cellIs" dxfId="1913" priority="4" operator="equal">
      <formula>"C - Revise and Resubmit - Do Not Proceed"</formula>
    </cfRule>
    <cfRule type="cellIs" dxfId="1912" priority="5" operator="equal">
      <formula>"A - Work May Proceed"</formula>
    </cfRule>
    <cfRule type="cellIs" dxfId="1911" priority="1" operator="equal">
      <formula>"E - Review not Required - Proceed"</formula>
    </cfRule>
  </conditionalFormatting>
  <conditionalFormatting sqref="P11">
    <cfRule type="cellIs" dxfId="1910" priority="123" operator="between">
      <formula>"C - Revise and Resubmit - Do Not Proceed"</formula>
      <formula>"C - Revise and Resubmit - Do Not Proceed"</formula>
    </cfRule>
    <cfRule type="cellIs" dxfId="1909" priority="113" operator="between">
      <formula>"E - Review not Required - Proceed"</formula>
      <formula>"E - Review not Required - Proceed"</formula>
    </cfRule>
    <cfRule type="cellIs" dxfId="1908" priority="112" operator="equal">
      <formula>"E - Review Not Required - Proceed"</formula>
    </cfRule>
    <cfRule type="cellIs" dxfId="1907" priority="111" operator="equal">
      <formula>"B - Incorporate Comments - Proceed "</formula>
    </cfRule>
    <cfRule type="cellIs" dxfId="1906" priority="110" operator="equal">
      <formula>"For Information"</formula>
    </cfRule>
    <cfRule type="cellIs" dxfId="1905" priority="109" operator="equal">
      <formula>"B - Incorporate Comments - Proceed"</formula>
    </cfRule>
    <cfRule type="cellIs" dxfId="1904" priority="119" operator="between">
      <formula>"E - Review not Required - Proceed"</formula>
      <formula>"E - Review not Required - Proceed"</formula>
    </cfRule>
    <cfRule type="cellIs" dxfId="1903" priority="116" operator="between">
      <formula>"B - Incorporate Comments - Proceed"</formula>
      <formula>"B - Incorporate Comments - Proceed"</formula>
    </cfRule>
    <cfRule type="cellIs" dxfId="1902" priority="117" operator="between">
      <formula>"A - Work May Proceed"</formula>
      <formula>"A - Work May Proceed"</formula>
    </cfRule>
    <cfRule type="cellIs" dxfId="1901" priority="118" operator="between">
      <formula>"B - Incorporate Comments - Proceed"</formula>
      <formula>"B - Incorporate Comments - Proceed"</formula>
    </cfRule>
    <cfRule type="cellIs" dxfId="1900" priority="120" operator="between">
      <formula>"D - Rejected "</formula>
      <formula>"D - Rejected "</formula>
    </cfRule>
    <cfRule type="cellIs" dxfId="1899" priority="121" operator="between">
      <formula>"CANCELLED"</formula>
      <formula>"CANCELLED"</formula>
    </cfRule>
    <cfRule type="cellIs" dxfId="1898" priority="122" operator="between">
      <formula>"A - Work May Proceed"</formula>
      <formula>"A - Work May Proceed"</formula>
    </cfRule>
    <cfRule type="cellIs" dxfId="1897" priority="124" stopIfTrue="1" operator="between">
      <formula>"B - Incorporate Comments - Proceed "</formula>
      <formula>"B - Incorporate Comments - Proceed "</formula>
    </cfRule>
    <cfRule type="cellIs" dxfId="1896" priority="115" operator="between">
      <formula>"C - Revise and Resubmit - Do Not Proceed"</formula>
      <formula>"C - Revise and Resubmit - Do Not Proceed"</formula>
    </cfRule>
    <cfRule type="cellIs" dxfId="1895" priority="114" operator="between">
      <formula>"'D - Rejected "</formula>
      <formula>"'D - Rejected "</formula>
    </cfRule>
  </conditionalFormatting>
  <conditionalFormatting sqref="W11">
    <cfRule type="cellIs" dxfId="1894" priority="93" operator="equal">
      <formula>"B - Incorporate Comments - Proceed"</formula>
    </cfRule>
    <cfRule type="cellIs" dxfId="1893" priority="94" operator="equal">
      <formula>"For Information"</formula>
    </cfRule>
    <cfRule type="cellIs" dxfId="1892" priority="95" operator="equal">
      <formula>"B - Incorporate Comments - Proceed "</formula>
    </cfRule>
    <cfRule type="cellIs" dxfId="1891" priority="96" operator="equal">
      <formula>"E - Review Not Required - Proceed"</formula>
    </cfRule>
    <cfRule type="cellIs" dxfId="1890" priority="97" operator="between">
      <formula>"E - Review not Required - Proceed"</formula>
      <formula>"E - Review not Required - Proceed"</formula>
    </cfRule>
    <cfRule type="cellIs" dxfId="1889" priority="98" operator="between">
      <formula>"'D - Rejected "</formula>
      <formula>"'D - Rejected "</formula>
    </cfRule>
    <cfRule type="cellIs" dxfId="1888" priority="99" operator="between">
      <formula>"C - Revise and Resubmit - Do Not Proceed"</formula>
      <formula>"C - Revise and Resubmit - Do Not Proceed"</formula>
    </cfRule>
    <cfRule type="cellIs" dxfId="1887" priority="100" operator="between">
      <formula>"B - Incorporate Comments - Proceed"</formula>
      <formula>"B - Incorporate Comments - Proceed"</formula>
    </cfRule>
    <cfRule type="cellIs" dxfId="1886" priority="101" operator="between">
      <formula>"A - Work May Proceed"</formula>
      <formula>"A - Work May Proceed"</formula>
    </cfRule>
    <cfRule type="cellIs" dxfId="1885" priority="102" operator="between">
      <formula>"B - Incorporate Comments - Proceed"</formula>
      <formula>"B - Incorporate Comments - Proceed"</formula>
    </cfRule>
    <cfRule type="cellIs" dxfId="1884" priority="103" operator="between">
      <formula>"E - Review not Required - Proceed"</formula>
      <formula>"E - Review not Required - Proceed"</formula>
    </cfRule>
    <cfRule type="cellIs" dxfId="1883" priority="104" operator="between">
      <formula>"D - Rejected "</formula>
      <formula>"D - Rejected "</formula>
    </cfRule>
    <cfRule type="cellIs" dxfId="1882" priority="105" operator="between">
      <formula>"CANCELLED"</formula>
      <formula>"CANCELLED"</formula>
    </cfRule>
    <cfRule type="cellIs" dxfId="1881" priority="107" operator="between">
      <formula>"C - Revise and Resubmit - Do Not Proceed"</formula>
      <formula>"C - Revise and Resubmit - Do Not Proceed"</formula>
    </cfRule>
    <cfRule type="cellIs" dxfId="1880" priority="108" stopIfTrue="1" operator="between">
      <formula>"B - Incorporate Comments - Proceed "</formula>
      <formula>"B - Incorporate Comments - Proceed "</formula>
    </cfRule>
    <cfRule type="cellIs" dxfId="1879" priority="106" operator="between">
      <formula>"A - Work May Proceed"</formula>
      <formula>"A - Work May Proceed"</formula>
    </cfRule>
  </conditionalFormatting>
  <conditionalFormatting sqref="AD11">
    <cfRule type="cellIs" dxfId="1878" priority="78" operator="equal">
      <formula>"For Information"</formula>
    </cfRule>
    <cfRule type="cellIs" dxfId="1877" priority="88" operator="between">
      <formula>"D - Rejected "</formula>
      <formula>"D - Rejected "</formula>
    </cfRule>
    <cfRule type="cellIs" dxfId="1876" priority="77" operator="equal">
      <formula>"B - Incorporate Comments - Proceed"</formula>
    </cfRule>
    <cfRule type="cellIs" dxfId="1875" priority="90" operator="between">
      <formula>"A - Work May Proceed"</formula>
      <formula>"A - Work May Proceed"</formula>
    </cfRule>
    <cfRule type="cellIs" dxfId="1874" priority="91" operator="between">
      <formula>"C - Revise and Resubmit - Do Not Proceed"</formula>
      <formula>"C - Revise and Resubmit - Do Not Proceed"</formula>
    </cfRule>
    <cfRule type="cellIs" dxfId="1873" priority="92" stopIfTrue="1" operator="between">
      <formula>"B - Incorporate Comments - Proceed "</formula>
      <formula>"B - Incorporate Comments - Proceed "</formula>
    </cfRule>
    <cfRule type="cellIs" dxfId="1872" priority="87" operator="between">
      <formula>"E - Review not Required - Proceed"</formula>
      <formula>"E - Review not Required - Proceed"</formula>
    </cfRule>
    <cfRule type="cellIs" dxfId="1871" priority="86" operator="between">
      <formula>"B - Incorporate Comments - Proceed"</formula>
      <formula>"B - Incorporate Comments - Proceed"</formula>
    </cfRule>
    <cfRule type="cellIs" dxfId="1870" priority="85" operator="between">
      <formula>"A - Work May Proceed"</formula>
      <formula>"A - Work May Proceed"</formula>
    </cfRule>
    <cfRule type="cellIs" dxfId="1869" priority="84" operator="between">
      <formula>"B - Incorporate Comments - Proceed"</formula>
      <formula>"B - Incorporate Comments - Proceed"</formula>
    </cfRule>
    <cfRule type="cellIs" dxfId="1868" priority="83" operator="between">
      <formula>"C - Revise and Resubmit - Do Not Proceed"</formula>
      <formula>"C - Revise and Resubmit - Do Not Proceed"</formula>
    </cfRule>
    <cfRule type="cellIs" dxfId="1867" priority="82" operator="between">
      <formula>"'D - Rejected "</formula>
      <formula>"'D - Rejected "</formula>
    </cfRule>
    <cfRule type="cellIs" dxfId="1866" priority="81" operator="between">
      <formula>"E - Review not Required - Proceed"</formula>
      <formula>"E - Review not Required - Proceed"</formula>
    </cfRule>
    <cfRule type="cellIs" dxfId="1865" priority="89" operator="between">
      <formula>"CANCELLED"</formula>
      <formula>"CANCELLED"</formula>
    </cfRule>
    <cfRule type="cellIs" dxfId="1864" priority="80" operator="equal">
      <formula>"E - Review Not Required - Proceed"</formula>
    </cfRule>
    <cfRule type="cellIs" dxfId="1863" priority="79" operator="equal">
      <formula>"B - Incorporate Comments - Proceed "</formula>
    </cfRule>
  </conditionalFormatting>
  <conditionalFormatting sqref="AK11">
    <cfRule type="cellIs" dxfId="1862" priority="69" operator="between">
      <formula>"A - Work May Proceed"</formula>
      <formula>"A - Work May Proceed"</formula>
    </cfRule>
    <cfRule type="cellIs" dxfId="1861" priority="70" operator="between">
      <formula>"B - Incorporate Comments - Proceed"</formula>
      <formula>"B - Incorporate Comments - Proceed"</formula>
    </cfRule>
    <cfRule type="cellIs" dxfId="1860" priority="71" operator="between">
      <formula>"E - Review not Required - Proceed"</formula>
      <formula>"E - Review not Required - Proceed"</formula>
    </cfRule>
    <cfRule type="cellIs" dxfId="1859" priority="72" operator="between">
      <formula>"D - Rejected "</formula>
      <formula>"D - Rejected "</formula>
    </cfRule>
    <cfRule type="cellIs" dxfId="1858" priority="73" operator="between">
      <formula>"CANCELLED"</formula>
      <formula>"CANCELLED"</formula>
    </cfRule>
    <cfRule type="cellIs" dxfId="1857" priority="74" operator="between">
      <formula>"A - Work May Proceed"</formula>
      <formula>"A - Work May Proceed"</formula>
    </cfRule>
    <cfRule type="cellIs" dxfId="1856" priority="75" operator="between">
      <formula>"C - Revise and Resubmit - Do Not Proceed"</formula>
      <formula>"C - Revise and Resubmit - Do Not Proceed"</formula>
    </cfRule>
    <cfRule type="cellIs" dxfId="1855" priority="76" stopIfTrue="1" operator="between">
      <formula>"B - Incorporate Comments - Proceed "</formula>
      <formula>"B - Incorporate Comments - Proceed "</formula>
    </cfRule>
    <cfRule type="cellIs" dxfId="1854" priority="61" operator="equal">
      <formula>"B - Incorporate Comments - Proceed"</formula>
    </cfRule>
    <cfRule type="cellIs" dxfId="1853" priority="62" operator="equal">
      <formula>"For Information"</formula>
    </cfRule>
    <cfRule type="cellIs" dxfId="1852" priority="63" operator="equal">
      <formula>"B - Incorporate Comments - Proceed "</formula>
    </cfRule>
    <cfRule type="cellIs" dxfId="1851" priority="64" operator="equal">
      <formula>"E - Review Not Required - Proceed"</formula>
    </cfRule>
    <cfRule type="cellIs" dxfId="1850" priority="65" operator="between">
      <formula>"E - Review not Required - Proceed"</formula>
      <formula>"E - Review not Required - Proceed"</formula>
    </cfRule>
    <cfRule type="cellIs" dxfId="1849" priority="66" operator="between">
      <formula>"'D - Rejected "</formula>
      <formula>"'D - Rejected "</formula>
    </cfRule>
    <cfRule type="cellIs" dxfId="1848" priority="67" operator="between">
      <formula>"C - Revise and Resubmit - Do Not Proceed"</formula>
      <formula>"C - Revise and Resubmit - Do Not Proceed"</formula>
    </cfRule>
    <cfRule type="cellIs" dxfId="1847" priority="68" operator="between">
      <formula>"B - Incorporate Comments - Proceed"</formula>
      <formula>"B - Incorporate Comments - Proceed"</formula>
    </cfRule>
  </conditionalFormatting>
  <conditionalFormatting sqref="AR11">
    <cfRule type="cellIs" dxfId="1846" priority="31" operator="between">
      <formula>"D - Rejected "</formula>
      <formula>"D - Rejected "</formula>
    </cfRule>
    <cfRule type="cellIs" dxfId="1845" priority="30" operator="between">
      <formula>"E - Review not Required - Proceed"</formula>
      <formula>"E - Review not Required - Proceed"</formula>
    </cfRule>
    <cfRule type="cellIs" dxfId="1844" priority="29" operator="between">
      <formula>"B - Incorporate Comments - Proceed"</formula>
      <formula>"B - Incorporate Comments - Proceed"</formula>
    </cfRule>
    <cfRule type="cellIs" dxfId="1843" priority="28" operator="between">
      <formula>"A - Work May Proceed"</formula>
      <formula>"A - Work May Proceed"</formula>
    </cfRule>
    <cfRule type="cellIs" dxfId="1842" priority="27" operator="between">
      <formula>"B - Incorporate Comments - Proceed"</formula>
      <formula>"B - Incorporate Comments - Proceed"</formula>
    </cfRule>
    <cfRule type="cellIs" dxfId="1841" priority="26" operator="between">
      <formula>"C - Revise and Resubmit - Do Not Proceed"</formula>
      <formula>"C - Revise and Resubmit - Do Not Proceed"</formula>
    </cfRule>
    <cfRule type="cellIs" dxfId="1840" priority="25" operator="between">
      <formula>"'D - Rejected "</formula>
      <formula>"'D - Rejected "</formula>
    </cfRule>
    <cfRule type="cellIs" dxfId="1839" priority="24" operator="between">
      <formula>"E - Review not Required - Proceed"</formula>
      <formula>"E - Review not Required - Proceed"</formula>
    </cfRule>
    <cfRule type="cellIs" dxfId="1838" priority="23" operator="equal">
      <formula>"E - Review Not Required - Proceed"</formula>
    </cfRule>
    <cfRule type="cellIs" dxfId="1837" priority="22" operator="equal">
      <formula>"B - Incorporate Comments - Proceed "</formula>
    </cfRule>
    <cfRule type="cellIs" dxfId="1836" priority="21" operator="equal">
      <formula>"For Information"</formula>
    </cfRule>
    <cfRule type="cellIs" dxfId="1835" priority="20" operator="equal">
      <formula>"A - Work May Proceed"</formula>
    </cfRule>
    <cfRule type="cellIs" dxfId="1834" priority="19" operator="equal">
      <formula>"C - Revise and Resubmit - Do Not Proceed"</formula>
    </cfRule>
    <cfRule type="cellIs" dxfId="1833" priority="17" operator="equal">
      <formula>"D - Rejected"</formula>
    </cfRule>
    <cfRule type="cellIs" dxfId="1832" priority="16" operator="equal">
      <formula>"E - Review not Required - Proceed"</formula>
    </cfRule>
    <cfRule type="cellIs" dxfId="1831" priority="32" operator="between">
      <formula>"CANCELLED"</formula>
      <formula>"CANCELLED"</formula>
    </cfRule>
    <cfRule type="cellIs" dxfId="1830" priority="18" operator="equal">
      <formula>"B - Incorporate Comments - Proceed"</formula>
    </cfRule>
    <cfRule type="cellIs" dxfId="1829" priority="35" stopIfTrue="1" operator="between">
      <formula>"B - Incorporate Comments - Proceed "</formula>
      <formula>"B - Incorporate Comments - Proceed "</formula>
    </cfRule>
    <cfRule type="cellIs" dxfId="1828" priority="34" operator="between">
      <formula>"C - Revise and Resubmit - Do Not Proceed"</formula>
      <formula>"C - Revise and Resubmit - Do Not Proceed"</formula>
    </cfRule>
    <cfRule type="cellIs" dxfId="1827" priority="33" operator="between">
      <formula>"A - Work May Proceed"</formula>
      <formula>"A - Work May Proceed"</formula>
    </cfRule>
  </conditionalFormatting>
  <conditionalFormatting sqref="AY11">
    <cfRule type="cellIs" dxfId="1826" priority="55" stopIfTrue="1" operator="between">
      <formula>"B - Incorporate Comments - Proceed "</formula>
      <formula>"B - Incorporate Comments - Proceed "</formula>
    </cfRule>
    <cfRule type="cellIs" dxfId="1825" priority="53" operator="between">
      <formula>"A - Work May Proceed"</formula>
      <formula>"A - Work May Proceed"</formula>
    </cfRule>
    <cfRule type="cellIs" dxfId="1824" priority="52" operator="between">
      <formula>"CANCELLED"</formula>
      <formula>"CANCELLED"</formula>
    </cfRule>
    <cfRule type="cellIs" dxfId="1823" priority="51" operator="between">
      <formula>"D - Rejected "</formula>
      <formula>"D - Rejected "</formula>
    </cfRule>
    <cfRule type="cellIs" dxfId="1822" priority="50" operator="between">
      <formula>"E - Review not Required - Proceed"</formula>
      <formula>"E - Review not Required - Proceed"</formula>
    </cfRule>
    <cfRule type="cellIs" dxfId="1821" priority="45" operator="between">
      <formula>"'D - Rejected "</formula>
      <formula>"'D - Rejected "</formula>
    </cfRule>
    <cfRule type="cellIs" dxfId="1820" priority="44" operator="between">
      <formula>"E - Review not Required - Proceed"</formula>
      <formula>"E - Review not Required - Proceed"</formula>
    </cfRule>
    <cfRule type="cellIs" dxfId="1819" priority="54" operator="between">
      <formula>"C - Revise and Resubmit - Do Not Proceed"</formula>
      <formula>"C - Revise and Resubmit - Do Not Proceed"</formula>
    </cfRule>
    <cfRule type="cellIs" dxfId="1818" priority="43" operator="equal">
      <formula>"E - Review Not Required - Proceed"</formula>
    </cfRule>
    <cfRule type="cellIs" dxfId="1817" priority="42" operator="equal">
      <formula>"B - Incorporate Comments - Proceed "</formula>
    </cfRule>
    <cfRule type="cellIs" dxfId="1816" priority="41" operator="equal">
      <formula>"For Information"</formula>
    </cfRule>
    <cfRule type="cellIs" dxfId="1815" priority="40" operator="equal">
      <formula>"A - Work May Proceed"</formula>
    </cfRule>
    <cfRule type="cellIs" dxfId="1814" priority="39" operator="equal">
      <formula>"C - Revise and Resubmit - Do Not Proceed"</formula>
    </cfRule>
    <cfRule type="cellIs" dxfId="1813" priority="38" operator="equal">
      <formula>"B - Incorporate Comments - Proceed"</formula>
    </cfRule>
    <cfRule type="cellIs" dxfId="1812" priority="37" operator="equal">
      <formula>"D - Rejected"</formula>
    </cfRule>
    <cfRule type="cellIs" dxfId="1811" priority="36" operator="equal">
      <formula>"E - Review not Required - Proceed"</formula>
    </cfRule>
    <cfRule type="cellIs" dxfId="1810" priority="48" operator="between">
      <formula>"A - Work May Proceed"</formula>
      <formula>"A - Work May Proceed"</formula>
    </cfRule>
    <cfRule type="cellIs" dxfId="1809" priority="47" operator="between">
      <formula>"B - Incorporate Comments - Proceed"</formula>
      <formula>"B - Incorporate Comments - Proceed"</formula>
    </cfRule>
    <cfRule type="cellIs" dxfId="1808" priority="46" operator="between">
      <formula>"C - Revise and Resubmit - Do Not Proceed"</formula>
      <formula>"C - Revise and Resubmit - Do Not Proceed"</formula>
    </cfRule>
    <cfRule type="cellIs" dxfId="1807" priority="49" operator="between">
      <formula>"B - Incorporate Comments - Proceed"</formula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>
    <tabColor theme="9"/>
  </sheetPr>
  <dimension ref="A1:BF14"/>
  <sheetViews>
    <sheetView zoomScale="55" zoomScaleNormal="55" zoomScaleSheetLayoutView="59" workbookViewId="0">
      <pane ySplit="11" topLeftCell="A12" activePane="bottomLeft" state="frozen"/>
      <selection activeCell="A14" sqref="A14"/>
      <selection pane="bottomLeft" sqref="A1:A1048576"/>
    </sheetView>
  </sheetViews>
  <sheetFormatPr defaultColWidth="9.140625" defaultRowHeight="15" x14ac:dyDescent="0.25"/>
  <cols>
    <col min="1" max="1" width="23.425781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1" width="30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5.42578125" style="44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2"/>
    </row>
    <row r="2" spans="1:58" s="379" customFormat="1" ht="24" customHeight="1" x14ac:dyDescent="0.35">
      <c r="A2" s="8"/>
      <c r="B2" s="25" t="s">
        <v>28</v>
      </c>
      <c r="C2" s="26" t="s">
        <v>181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2"/>
    </row>
    <row r="3" spans="1:58" s="379" customFormat="1" ht="24" customHeight="1" x14ac:dyDescent="0.35">
      <c r="A3" s="8"/>
      <c r="B3" s="25" t="s">
        <v>507</v>
      </c>
      <c r="C3" s="49" t="s">
        <v>257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2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2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2"/>
    </row>
    <row r="6" spans="1:58" s="379" customFormat="1" ht="24" customHeight="1" x14ac:dyDescent="0.35">
      <c r="A6" s="8"/>
      <c r="B6" s="64">
        <f>COUNTIF(B11:B14,"A - Work May Proceed")</f>
        <v>0</v>
      </c>
      <c r="C6" s="65">
        <f>COUNTIF(B11:B14,"B- Incorporate Comments - Proceed")</f>
        <v>0</v>
      </c>
      <c r="D6" s="65">
        <f>COUNTIF(B11:B14,"C - Revise and Resubmit - Do Not Proceed")</f>
        <v>0</v>
      </c>
      <c r="E6" s="65">
        <f>COUNTIF(B11:B14,"D - Rejected")</f>
        <v>0</v>
      </c>
      <c r="F6" s="65">
        <f>COUNTIF(B11:B14,"E - Review not Required - Proceed")</f>
        <v>0</v>
      </c>
      <c r="G6" s="66">
        <f>COUNTIF(B11:B14,"UR")</f>
        <v>0</v>
      </c>
      <c r="H6" s="66">
        <f>COUNTIF(B11:B14,"FA")</f>
        <v>0</v>
      </c>
      <c r="I6" s="66">
        <f>COUNTIF(B11:B14,"Terminated")</f>
        <v>0</v>
      </c>
      <c r="J6" s="66">
        <f>COUNTIF(B11:B14,"Cancelled")</f>
        <v>1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2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2"/>
    </row>
    <row r="8" spans="1:58" s="379" customFormat="1" ht="24" customHeight="1" x14ac:dyDescent="0.35">
      <c r="A8" s="8"/>
      <c r="B8" s="72" t="s">
        <v>509</v>
      </c>
      <c r="C8" s="73">
        <f>SUM(B6:J6)</f>
        <v>1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/>
      <c r="V8"/>
      <c r="W8"/>
      <c r="X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2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2"/>
    </row>
    <row r="10" spans="1:58" s="405" customFormat="1" ht="36.75" customHeight="1" x14ac:dyDescent="0.2">
      <c r="A10" s="559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1.25" customHeight="1" x14ac:dyDescent="0.25">
      <c r="A12" s="367">
        <v>730007</v>
      </c>
      <c r="B12" s="58" t="s">
        <v>508</v>
      </c>
      <c r="C12" s="56" t="s">
        <v>627</v>
      </c>
      <c r="D12" s="12" t="s">
        <v>255</v>
      </c>
      <c r="E12" s="12" t="s">
        <v>256</v>
      </c>
      <c r="F12" s="16" t="s">
        <v>254</v>
      </c>
      <c r="G12" s="16" t="s">
        <v>179</v>
      </c>
      <c r="H12" s="10" t="s">
        <v>257</v>
      </c>
      <c r="I12" s="88" t="s">
        <v>508</v>
      </c>
      <c r="J12" s="14">
        <v>45612</v>
      </c>
      <c r="K12" s="12" t="s">
        <v>931</v>
      </c>
      <c r="L12" s="12" t="s">
        <v>626</v>
      </c>
      <c r="M12" s="14" t="s">
        <v>626</v>
      </c>
      <c r="N12" s="14" t="s">
        <v>626</v>
      </c>
      <c r="O12" s="12" t="s">
        <v>626</v>
      </c>
      <c r="P12" s="16" t="s">
        <v>508</v>
      </c>
      <c r="Q12" s="20">
        <v>45612</v>
      </c>
      <c r="R12" s="12" t="s">
        <v>931</v>
      </c>
      <c r="S12" s="12"/>
      <c r="T12" s="20"/>
      <c r="U12" s="20"/>
      <c r="V12" s="12"/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259" t="s">
        <v>932</v>
      </c>
    </row>
    <row r="13" spans="1:58" s="381" customFormat="1" ht="42" customHeight="1" x14ac:dyDescent="0.25">
      <c r="A13" s="367"/>
      <c r="B13" s="11"/>
      <c r="C13" s="56"/>
      <c r="D13" s="12" t="s">
        <v>5362</v>
      </c>
      <c r="E13" s="12"/>
      <c r="F13" s="16"/>
      <c r="G13" s="10"/>
      <c r="H13" s="10"/>
      <c r="I13" s="16" t="s">
        <v>5038</v>
      </c>
      <c r="J13" s="14"/>
      <c r="K13" s="12"/>
      <c r="L13" s="12"/>
      <c r="M13" s="14"/>
      <c r="N13" s="14"/>
      <c r="O13" s="12"/>
      <c r="P13" s="16"/>
      <c r="Q13" s="20"/>
      <c r="R13" s="12"/>
      <c r="S13" s="12"/>
      <c r="T13" s="20"/>
      <c r="U13" s="20"/>
      <c r="V13" s="12"/>
      <c r="W13" s="12"/>
      <c r="X13" s="20"/>
      <c r="Y13" s="12"/>
      <c r="Z13" s="12"/>
      <c r="AA13" s="20"/>
      <c r="AB13" s="20"/>
      <c r="AC13" s="12"/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259"/>
    </row>
    <row r="14" spans="1:58" s="381" customFormat="1" ht="42" customHeight="1" thickBot="1" x14ac:dyDescent="0.3">
      <c r="A14" s="369"/>
      <c r="B14" s="371"/>
      <c r="C14" s="444"/>
      <c r="D14" s="370"/>
      <c r="E14" s="370"/>
      <c r="F14" s="262"/>
      <c r="G14" s="263"/>
      <c r="H14" s="263"/>
      <c r="I14" s="262"/>
      <c r="J14" s="474"/>
      <c r="K14" s="370"/>
      <c r="L14" s="370"/>
      <c r="M14" s="474"/>
      <c r="N14" s="474"/>
      <c r="O14" s="370"/>
      <c r="P14" s="262"/>
      <c r="Q14" s="476"/>
      <c r="R14" s="370"/>
      <c r="S14" s="370"/>
      <c r="T14" s="476"/>
      <c r="U14" s="476"/>
      <c r="V14" s="370"/>
      <c r="W14" s="370"/>
      <c r="X14" s="476"/>
      <c r="Y14" s="370"/>
      <c r="Z14" s="370"/>
      <c r="AA14" s="476"/>
      <c r="AB14" s="476"/>
      <c r="AC14" s="370"/>
      <c r="AD14" s="370"/>
      <c r="AE14" s="476"/>
      <c r="AF14" s="370"/>
      <c r="AG14" s="370"/>
      <c r="AH14" s="476"/>
      <c r="AI14" s="476"/>
      <c r="AJ14" s="370"/>
      <c r="AK14" s="263"/>
      <c r="AL14" s="474"/>
      <c r="AM14" s="370"/>
      <c r="AN14" s="370"/>
      <c r="AO14" s="474"/>
      <c r="AP14" s="474"/>
      <c r="AQ14" s="474"/>
      <c r="AR14" s="474"/>
      <c r="AS14" s="474"/>
      <c r="AT14" s="474"/>
      <c r="AU14" s="474"/>
      <c r="AV14" s="474"/>
      <c r="AW14" s="474"/>
      <c r="AX14" s="474"/>
      <c r="AY14" s="474"/>
      <c r="AZ14" s="474"/>
      <c r="BA14" s="474"/>
      <c r="BB14" s="474"/>
      <c r="BC14" s="474"/>
      <c r="BD14" s="474"/>
      <c r="BE14" s="370"/>
      <c r="BF14" s="266"/>
    </row>
  </sheetData>
  <autoFilter ref="A11:BF11" xr:uid="{00000000-0001-0000-1C00-000000000000}"/>
  <mergeCells count="18">
    <mergeCell ref="A10:A11"/>
    <mergeCell ref="H1:H2"/>
    <mergeCell ref="I1:I2"/>
    <mergeCell ref="AR10:AX10"/>
    <mergeCell ref="AY10:BE10"/>
    <mergeCell ref="G10:G11"/>
    <mergeCell ref="B10:B11"/>
    <mergeCell ref="C10:C11"/>
    <mergeCell ref="D10:D11"/>
    <mergeCell ref="E10:E11"/>
    <mergeCell ref="F10:F11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0:A14">
    <cfRule type="cellIs" dxfId="1806" priority="1" operator="equal">
      <formula>"E - Review not Required - Proceed"</formula>
    </cfRule>
    <cfRule type="cellIs" dxfId="1805" priority="2" operator="equal">
      <formula>"D - Rejected"</formula>
    </cfRule>
    <cfRule type="cellIs" dxfId="1804" priority="3" operator="equal">
      <formula>"B- Incorporate Comments - Proceed"</formula>
    </cfRule>
    <cfRule type="cellIs" dxfId="1803" priority="4" operator="equal">
      <formula>"C - Revise and Resubmit - Do Not Proceed"</formula>
    </cfRule>
    <cfRule type="cellIs" dxfId="1802" priority="5" operator="equal">
      <formula>"A - Work May Proceed"</formula>
    </cfRule>
  </conditionalFormatting>
  <conditionalFormatting sqref="B12:XFD1048576">
    <cfRule type="cellIs" dxfId="1801" priority="11" operator="equal">
      <formula>"E - Review not Required - Proceed"</formula>
    </cfRule>
    <cfRule type="cellIs" dxfId="1800" priority="12" operator="equal">
      <formula>"D - Rejected"</formula>
    </cfRule>
    <cfRule type="cellIs" dxfId="1799" priority="13" operator="equal">
      <formula>"B- Incorporate Comments - Proceed"</formula>
    </cfRule>
    <cfRule type="cellIs" dxfId="1798" priority="14" operator="equal">
      <formula>"C - Revise and Resubmit - Do Not Proceed"</formula>
    </cfRule>
    <cfRule type="cellIs" dxfId="1797" priority="15" operator="equal">
      <formula>"A - Work May Proceed"</formula>
    </cfRule>
  </conditionalFormatting>
  <conditionalFormatting sqref="D11:BE11 B1:G2 Y1:XFD9 B3:H4 B9:H9 B10:XFD10 B11">
    <cfRule type="cellIs" dxfId="1796" priority="58" operator="equal">
      <formula>"B- Incorporate Comments - Proceed"</formula>
    </cfRule>
    <cfRule type="cellIs" dxfId="1795" priority="57" operator="equal">
      <formula>"D - Rejected"</formula>
    </cfRule>
    <cfRule type="cellIs" dxfId="1794" priority="56" operator="equal">
      <formula>"E - Review not Required - Proceed"</formula>
    </cfRule>
    <cfRule type="cellIs" dxfId="1793" priority="60" operator="equal">
      <formula>"A - Work May Proceed"</formula>
    </cfRule>
    <cfRule type="cellIs" dxfId="1792" priority="59" operator="equal">
      <formula>"C - Revise and Resubmit - Do Not Proceed"</formula>
    </cfRule>
  </conditionalFormatting>
  <conditionalFormatting sqref="I11">
    <cfRule type="cellIs" dxfId="1791" priority="126" operator="equal">
      <formula>"For Information"</formula>
    </cfRule>
    <cfRule type="cellIs" dxfId="1790" priority="125" operator="equal">
      <formula>"B - Incorporate Comments - Proceed"</formula>
    </cfRule>
    <cfRule type="cellIs" dxfId="1789" priority="130" operator="between">
      <formula>"'D - Rejected "</formula>
      <formula>"'D - Rejected "</formula>
    </cfRule>
    <cfRule type="cellIs" dxfId="1788" priority="137" operator="between">
      <formula>"CANCELLED"</formula>
      <formula>"CANCELLED"</formula>
    </cfRule>
    <cfRule type="cellIs" dxfId="1787" priority="136" operator="between">
      <formula>"D - Rejected "</formula>
      <formula>"D - Rejected "</formula>
    </cfRule>
    <cfRule type="cellIs" dxfId="1786" priority="140" stopIfTrue="1" operator="between">
      <formula>"B - Incorporate Comments - Proceed "</formula>
      <formula>"B - Incorporate Comments - Proceed "</formula>
    </cfRule>
    <cfRule type="cellIs" dxfId="1785" priority="135" operator="between">
      <formula>"E - Review not Required - Proceed"</formula>
      <formula>"E - Review not Required - Proceed"</formula>
    </cfRule>
    <cfRule type="cellIs" dxfId="1784" priority="134" operator="between">
      <formula>"B - Incorporate Comments - Proceed"</formula>
      <formula>"B - Incorporate Comments - Proceed"</formula>
    </cfRule>
    <cfRule type="cellIs" dxfId="1783" priority="133" operator="between">
      <formula>"A - Work May Proceed"</formula>
      <formula>"A - Work May Proceed"</formula>
    </cfRule>
    <cfRule type="cellIs" dxfId="1782" priority="132" operator="between">
      <formula>"B - Incorporate Comments - Proceed"</formula>
      <formula>"B - Incorporate Comments - Proceed"</formula>
    </cfRule>
    <cfRule type="cellIs" dxfId="1781" priority="131" operator="between">
      <formula>"C - Revise and Resubmit - Do Not Proceed"</formula>
      <formula>"C - Revise and Resubmit - Do Not Proceed"</formula>
    </cfRule>
    <cfRule type="cellIs" dxfId="1780" priority="129" operator="between">
      <formula>"E - Review not Required - Proceed"</formula>
      <formula>"E - Review not Required - Proceed"</formula>
    </cfRule>
    <cfRule type="cellIs" dxfId="1779" priority="128" operator="equal">
      <formula>"E - Review Not Required - Proceed"</formula>
    </cfRule>
    <cfRule type="cellIs" dxfId="1778" priority="127" operator="equal">
      <formula>"B - Incorporate Comments - Proceed "</formula>
    </cfRule>
    <cfRule type="cellIs" dxfId="1777" priority="138" operator="between">
      <formula>"A - Work May Proceed"</formula>
      <formula>"A - Work May Proceed"</formula>
    </cfRule>
    <cfRule type="cellIs" dxfId="1776" priority="139" operator="between">
      <formula>"C - Revise and Resubmit - Do Not Proceed"</formula>
      <formula>"C - Revise and Resubmit - Do Not Proceed"</formula>
    </cfRule>
  </conditionalFormatting>
  <conditionalFormatting sqref="J5:J6 B5:I7 B8:J8">
    <cfRule type="cellIs" dxfId="1775" priority="6" operator="equal">
      <formula>"E - Review not Required - Proceed"</formula>
    </cfRule>
    <cfRule type="cellIs" dxfId="1774" priority="7" operator="equal">
      <formula>"D - Rejected"</formula>
    </cfRule>
    <cfRule type="cellIs" dxfId="1773" priority="8" operator="equal">
      <formula>"B- Incorporate Comments - Proceed"</formula>
    </cfRule>
    <cfRule type="cellIs" dxfId="1772" priority="9" operator="equal">
      <formula>"C - Revise and Resubmit - Do Not Proceed"</formula>
    </cfRule>
    <cfRule type="cellIs" dxfId="1771" priority="10" stopIfTrue="1" operator="equal">
      <formula>"A - Work May Proceed"</formula>
    </cfRule>
  </conditionalFormatting>
  <conditionalFormatting sqref="P11">
    <cfRule type="cellIs" dxfId="1770" priority="123" operator="between">
      <formula>"C - Revise and Resubmit - Do Not Proceed"</formula>
      <formula>"C - Revise and Resubmit - Do Not Proceed"</formula>
    </cfRule>
    <cfRule type="cellIs" dxfId="1769" priority="113" operator="between">
      <formula>"E - Review not Required - Proceed"</formula>
      <formula>"E - Review not Required - Proceed"</formula>
    </cfRule>
    <cfRule type="cellIs" dxfId="1768" priority="112" operator="equal">
      <formula>"E - Review Not Required - Proceed"</formula>
    </cfRule>
    <cfRule type="cellIs" dxfId="1767" priority="111" operator="equal">
      <formula>"B - Incorporate Comments - Proceed "</formula>
    </cfRule>
    <cfRule type="cellIs" dxfId="1766" priority="110" operator="equal">
      <formula>"For Information"</formula>
    </cfRule>
    <cfRule type="cellIs" dxfId="1765" priority="109" operator="equal">
      <formula>"B - Incorporate Comments - Proceed"</formula>
    </cfRule>
    <cfRule type="cellIs" dxfId="1764" priority="119" operator="between">
      <formula>"E - Review not Required - Proceed"</formula>
      <formula>"E - Review not Required - Proceed"</formula>
    </cfRule>
    <cfRule type="cellIs" dxfId="1763" priority="116" operator="between">
      <formula>"B - Incorporate Comments - Proceed"</formula>
      <formula>"B - Incorporate Comments - Proceed"</formula>
    </cfRule>
    <cfRule type="cellIs" dxfId="1762" priority="117" operator="between">
      <formula>"A - Work May Proceed"</formula>
      <formula>"A - Work May Proceed"</formula>
    </cfRule>
    <cfRule type="cellIs" dxfId="1761" priority="118" operator="between">
      <formula>"B - Incorporate Comments - Proceed"</formula>
      <formula>"B - Incorporate Comments - Proceed"</formula>
    </cfRule>
    <cfRule type="cellIs" dxfId="1760" priority="120" operator="between">
      <formula>"D - Rejected "</formula>
      <formula>"D - Rejected "</formula>
    </cfRule>
    <cfRule type="cellIs" dxfId="1759" priority="121" operator="between">
      <formula>"CANCELLED"</formula>
      <formula>"CANCELLED"</formula>
    </cfRule>
    <cfRule type="cellIs" dxfId="1758" priority="122" operator="between">
      <formula>"A - Work May Proceed"</formula>
      <formula>"A - Work May Proceed"</formula>
    </cfRule>
    <cfRule type="cellIs" dxfId="1757" priority="124" stopIfTrue="1" operator="between">
      <formula>"B - Incorporate Comments - Proceed "</formula>
      <formula>"B - Incorporate Comments - Proceed "</formula>
    </cfRule>
    <cfRule type="cellIs" dxfId="1756" priority="115" operator="between">
      <formula>"C - Revise and Resubmit - Do Not Proceed"</formula>
      <formula>"C - Revise and Resubmit - Do Not Proceed"</formula>
    </cfRule>
    <cfRule type="cellIs" dxfId="1755" priority="114" operator="between">
      <formula>"'D - Rejected "</formula>
      <formula>"'D - Rejected "</formula>
    </cfRule>
  </conditionalFormatting>
  <conditionalFormatting sqref="W11">
    <cfRule type="cellIs" dxfId="1754" priority="93" operator="equal">
      <formula>"B - Incorporate Comments - Proceed"</formula>
    </cfRule>
    <cfRule type="cellIs" dxfId="1753" priority="94" operator="equal">
      <formula>"For Information"</formula>
    </cfRule>
    <cfRule type="cellIs" dxfId="1752" priority="95" operator="equal">
      <formula>"B - Incorporate Comments - Proceed "</formula>
    </cfRule>
    <cfRule type="cellIs" dxfId="1751" priority="96" operator="equal">
      <formula>"E - Review Not Required - Proceed"</formula>
    </cfRule>
    <cfRule type="cellIs" dxfId="1750" priority="97" operator="between">
      <formula>"E - Review not Required - Proceed"</formula>
      <formula>"E - Review not Required - Proceed"</formula>
    </cfRule>
    <cfRule type="cellIs" dxfId="1749" priority="98" operator="between">
      <formula>"'D - Rejected "</formula>
      <formula>"'D - Rejected "</formula>
    </cfRule>
    <cfRule type="cellIs" dxfId="1748" priority="99" operator="between">
      <formula>"C - Revise and Resubmit - Do Not Proceed"</formula>
      <formula>"C - Revise and Resubmit - Do Not Proceed"</formula>
    </cfRule>
    <cfRule type="cellIs" dxfId="1747" priority="100" operator="between">
      <formula>"B - Incorporate Comments - Proceed"</formula>
      <formula>"B - Incorporate Comments - Proceed"</formula>
    </cfRule>
    <cfRule type="cellIs" dxfId="1746" priority="101" operator="between">
      <formula>"A - Work May Proceed"</formula>
      <formula>"A - Work May Proceed"</formula>
    </cfRule>
    <cfRule type="cellIs" dxfId="1745" priority="102" operator="between">
      <formula>"B - Incorporate Comments - Proceed"</formula>
      <formula>"B - Incorporate Comments - Proceed"</formula>
    </cfRule>
    <cfRule type="cellIs" dxfId="1744" priority="103" operator="between">
      <formula>"E - Review not Required - Proceed"</formula>
      <formula>"E - Review not Required - Proceed"</formula>
    </cfRule>
    <cfRule type="cellIs" dxfId="1743" priority="104" operator="between">
      <formula>"D - Rejected "</formula>
      <formula>"D - Rejected "</formula>
    </cfRule>
    <cfRule type="cellIs" dxfId="1742" priority="105" operator="between">
      <formula>"CANCELLED"</formula>
      <formula>"CANCELLED"</formula>
    </cfRule>
    <cfRule type="cellIs" dxfId="1741" priority="107" operator="between">
      <formula>"C - Revise and Resubmit - Do Not Proceed"</formula>
      <formula>"C - Revise and Resubmit - Do Not Proceed"</formula>
    </cfRule>
    <cfRule type="cellIs" dxfId="1740" priority="108" stopIfTrue="1" operator="between">
      <formula>"B - Incorporate Comments - Proceed "</formula>
      <formula>"B - Incorporate Comments - Proceed "</formula>
    </cfRule>
    <cfRule type="cellIs" dxfId="1739" priority="106" operator="between">
      <formula>"A - Work May Proceed"</formula>
      <formula>"A - Work May Proceed"</formula>
    </cfRule>
  </conditionalFormatting>
  <conditionalFormatting sqref="AD11">
    <cfRule type="cellIs" dxfId="1738" priority="78" operator="equal">
      <formula>"For Information"</formula>
    </cfRule>
    <cfRule type="cellIs" dxfId="1737" priority="88" operator="between">
      <formula>"D - Rejected "</formula>
      <formula>"D - Rejected "</formula>
    </cfRule>
    <cfRule type="cellIs" dxfId="1736" priority="77" operator="equal">
      <formula>"B - Incorporate Comments - Proceed"</formula>
    </cfRule>
    <cfRule type="cellIs" dxfId="1735" priority="90" operator="between">
      <formula>"A - Work May Proceed"</formula>
      <formula>"A - Work May Proceed"</formula>
    </cfRule>
    <cfRule type="cellIs" dxfId="1734" priority="91" operator="between">
      <formula>"C - Revise and Resubmit - Do Not Proceed"</formula>
      <formula>"C - Revise and Resubmit - Do Not Proceed"</formula>
    </cfRule>
    <cfRule type="cellIs" dxfId="1733" priority="92" stopIfTrue="1" operator="between">
      <formula>"B - Incorporate Comments - Proceed "</formula>
      <formula>"B - Incorporate Comments - Proceed "</formula>
    </cfRule>
    <cfRule type="cellIs" dxfId="1732" priority="87" operator="between">
      <formula>"E - Review not Required - Proceed"</formula>
      <formula>"E - Review not Required - Proceed"</formula>
    </cfRule>
    <cfRule type="cellIs" dxfId="1731" priority="86" operator="between">
      <formula>"B - Incorporate Comments - Proceed"</formula>
      <formula>"B - Incorporate Comments - Proceed"</formula>
    </cfRule>
    <cfRule type="cellIs" dxfId="1730" priority="85" operator="between">
      <formula>"A - Work May Proceed"</formula>
      <formula>"A - Work May Proceed"</formula>
    </cfRule>
    <cfRule type="cellIs" dxfId="1729" priority="84" operator="between">
      <formula>"B - Incorporate Comments - Proceed"</formula>
      <formula>"B - Incorporate Comments - Proceed"</formula>
    </cfRule>
    <cfRule type="cellIs" dxfId="1728" priority="83" operator="between">
      <formula>"C - Revise and Resubmit - Do Not Proceed"</formula>
      <formula>"C - Revise and Resubmit - Do Not Proceed"</formula>
    </cfRule>
    <cfRule type="cellIs" dxfId="1727" priority="82" operator="between">
      <formula>"'D - Rejected "</formula>
      <formula>"'D - Rejected "</formula>
    </cfRule>
    <cfRule type="cellIs" dxfId="1726" priority="81" operator="between">
      <formula>"E - Review not Required - Proceed"</formula>
      <formula>"E - Review not Required - Proceed"</formula>
    </cfRule>
    <cfRule type="cellIs" dxfId="1725" priority="89" operator="between">
      <formula>"CANCELLED"</formula>
      <formula>"CANCELLED"</formula>
    </cfRule>
    <cfRule type="cellIs" dxfId="1724" priority="80" operator="equal">
      <formula>"E - Review Not Required - Proceed"</formula>
    </cfRule>
    <cfRule type="cellIs" dxfId="1723" priority="79" operator="equal">
      <formula>"B - Incorporate Comments - Proceed "</formula>
    </cfRule>
  </conditionalFormatting>
  <conditionalFormatting sqref="AK11">
    <cfRule type="cellIs" dxfId="1722" priority="69" operator="between">
      <formula>"A - Work May Proceed"</formula>
      <formula>"A - Work May Proceed"</formula>
    </cfRule>
    <cfRule type="cellIs" dxfId="1721" priority="70" operator="between">
      <formula>"B - Incorporate Comments - Proceed"</formula>
      <formula>"B - Incorporate Comments - Proceed"</formula>
    </cfRule>
    <cfRule type="cellIs" dxfId="1720" priority="71" operator="between">
      <formula>"E - Review not Required - Proceed"</formula>
      <formula>"E - Review not Required - Proceed"</formula>
    </cfRule>
    <cfRule type="cellIs" dxfId="1719" priority="72" operator="between">
      <formula>"D - Rejected "</formula>
      <formula>"D - Rejected "</formula>
    </cfRule>
    <cfRule type="cellIs" dxfId="1718" priority="73" operator="between">
      <formula>"CANCELLED"</formula>
      <formula>"CANCELLED"</formula>
    </cfRule>
    <cfRule type="cellIs" dxfId="1717" priority="74" operator="between">
      <formula>"A - Work May Proceed"</formula>
      <formula>"A - Work May Proceed"</formula>
    </cfRule>
    <cfRule type="cellIs" dxfId="1716" priority="75" operator="between">
      <formula>"C - Revise and Resubmit - Do Not Proceed"</formula>
      <formula>"C - Revise and Resubmit - Do Not Proceed"</formula>
    </cfRule>
    <cfRule type="cellIs" dxfId="1715" priority="76" stopIfTrue="1" operator="between">
      <formula>"B - Incorporate Comments - Proceed "</formula>
      <formula>"B - Incorporate Comments - Proceed "</formula>
    </cfRule>
    <cfRule type="cellIs" dxfId="1714" priority="61" operator="equal">
      <formula>"B - Incorporate Comments - Proceed"</formula>
    </cfRule>
    <cfRule type="cellIs" dxfId="1713" priority="62" operator="equal">
      <formula>"For Information"</formula>
    </cfRule>
    <cfRule type="cellIs" dxfId="1712" priority="63" operator="equal">
      <formula>"B - Incorporate Comments - Proceed "</formula>
    </cfRule>
    <cfRule type="cellIs" dxfId="1711" priority="64" operator="equal">
      <formula>"E - Review Not Required - Proceed"</formula>
    </cfRule>
    <cfRule type="cellIs" dxfId="1710" priority="65" operator="between">
      <formula>"E - Review not Required - Proceed"</formula>
      <formula>"E - Review not Required - Proceed"</formula>
    </cfRule>
    <cfRule type="cellIs" dxfId="1709" priority="66" operator="between">
      <formula>"'D - Rejected "</formula>
      <formula>"'D - Rejected "</formula>
    </cfRule>
    <cfRule type="cellIs" dxfId="1708" priority="67" operator="between">
      <formula>"C - Revise and Resubmit - Do Not Proceed"</formula>
      <formula>"C - Revise and Resubmit - Do Not Proceed"</formula>
    </cfRule>
    <cfRule type="cellIs" dxfId="1707" priority="68" operator="between">
      <formula>"B - Incorporate Comments - Proceed"</formula>
      <formula>"B - Incorporate Comments - Proceed"</formula>
    </cfRule>
  </conditionalFormatting>
  <conditionalFormatting sqref="AR11">
    <cfRule type="cellIs" dxfId="1706" priority="31" operator="between">
      <formula>"D - Rejected "</formula>
      <formula>"D - Rejected "</formula>
    </cfRule>
    <cfRule type="cellIs" dxfId="1705" priority="30" operator="between">
      <formula>"E - Review not Required - Proceed"</formula>
      <formula>"E - Review not Required - Proceed"</formula>
    </cfRule>
    <cfRule type="cellIs" dxfId="1704" priority="29" operator="between">
      <formula>"B - Incorporate Comments - Proceed"</formula>
      <formula>"B - Incorporate Comments - Proceed"</formula>
    </cfRule>
    <cfRule type="cellIs" dxfId="1703" priority="28" operator="between">
      <formula>"A - Work May Proceed"</formula>
      <formula>"A - Work May Proceed"</formula>
    </cfRule>
    <cfRule type="cellIs" dxfId="1702" priority="27" operator="between">
      <formula>"B - Incorporate Comments - Proceed"</formula>
      <formula>"B - Incorporate Comments - Proceed"</formula>
    </cfRule>
    <cfRule type="cellIs" dxfId="1701" priority="26" operator="between">
      <formula>"C - Revise and Resubmit - Do Not Proceed"</formula>
      <formula>"C - Revise and Resubmit - Do Not Proceed"</formula>
    </cfRule>
    <cfRule type="cellIs" dxfId="1700" priority="25" operator="between">
      <formula>"'D - Rejected "</formula>
      <formula>"'D - Rejected "</formula>
    </cfRule>
    <cfRule type="cellIs" dxfId="1699" priority="24" operator="between">
      <formula>"E - Review not Required - Proceed"</formula>
      <formula>"E - Review not Required - Proceed"</formula>
    </cfRule>
    <cfRule type="cellIs" dxfId="1698" priority="23" operator="equal">
      <formula>"E - Review Not Required - Proceed"</formula>
    </cfRule>
    <cfRule type="cellIs" dxfId="1697" priority="22" operator="equal">
      <formula>"B - Incorporate Comments - Proceed "</formula>
    </cfRule>
    <cfRule type="cellIs" dxfId="1696" priority="21" operator="equal">
      <formula>"For Information"</formula>
    </cfRule>
    <cfRule type="cellIs" dxfId="1695" priority="20" operator="equal">
      <formula>"A - Work May Proceed"</formula>
    </cfRule>
    <cfRule type="cellIs" dxfId="1694" priority="19" operator="equal">
      <formula>"C - Revise and Resubmit - Do Not Proceed"</formula>
    </cfRule>
    <cfRule type="cellIs" dxfId="1693" priority="17" operator="equal">
      <formula>"D - Rejected"</formula>
    </cfRule>
    <cfRule type="cellIs" dxfId="1692" priority="16" operator="equal">
      <formula>"E - Review not Required - Proceed"</formula>
    </cfRule>
    <cfRule type="cellIs" dxfId="1691" priority="32" operator="between">
      <formula>"CANCELLED"</formula>
      <formula>"CANCELLED"</formula>
    </cfRule>
    <cfRule type="cellIs" dxfId="1690" priority="18" operator="equal">
      <formula>"B - Incorporate Comments - Proceed"</formula>
    </cfRule>
    <cfRule type="cellIs" dxfId="1689" priority="35" stopIfTrue="1" operator="between">
      <formula>"B - Incorporate Comments - Proceed "</formula>
      <formula>"B - Incorporate Comments - Proceed "</formula>
    </cfRule>
    <cfRule type="cellIs" dxfId="1688" priority="34" operator="between">
      <formula>"C - Revise and Resubmit - Do Not Proceed"</formula>
      <formula>"C - Revise and Resubmit - Do Not Proceed"</formula>
    </cfRule>
    <cfRule type="cellIs" dxfId="1687" priority="33" operator="between">
      <formula>"A - Work May Proceed"</formula>
      <formula>"A - Work May Proceed"</formula>
    </cfRule>
  </conditionalFormatting>
  <conditionalFormatting sqref="AY11">
    <cfRule type="cellIs" dxfId="1686" priority="55" stopIfTrue="1" operator="between">
      <formula>"B - Incorporate Comments - Proceed "</formula>
      <formula>"B - Incorporate Comments - Proceed "</formula>
    </cfRule>
    <cfRule type="cellIs" dxfId="1685" priority="53" operator="between">
      <formula>"A - Work May Proceed"</formula>
      <formula>"A - Work May Proceed"</formula>
    </cfRule>
    <cfRule type="cellIs" dxfId="1684" priority="52" operator="between">
      <formula>"CANCELLED"</formula>
      <formula>"CANCELLED"</formula>
    </cfRule>
    <cfRule type="cellIs" dxfId="1683" priority="51" operator="between">
      <formula>"D - Rejected "</formula>
      <formula>"D - Rejected "</formula>
    </cfRule>
    <cfRule type="cellIs" dxfId="1682" priority="50" operator="between">
      <formula>"E - Review not Required - Proceed"</formula>
      <formula>"E - Review not Required - Proceed"</formula>
    </cfRule>
    <cfRule type="cellIs" dxfId="1681" priority="45" operator="between">
      <formula>"'D - Rejected "</formula>
      <formula>"'D - Rejected "</formula>
    </cfRule>
    <cfRule type="cellIs" dxfId="1680" priority="44" operator="between">
      <formula>"E - Review not Required - Proceed"</formula>
      <formula>"E - Review not Required - Proceed"</formula>
    </cfRule>
    <cfRule type="cellIs" dxfId="1679" priority="54" operator="between">
      <formula>"C - Revise and Resubmit - Do Not Proceed"</formula>
      <formula>"C - Revise and Resubmit - Do Not Proceed"</formula>
    </cfRule>
    <cfRule type="cellIs" dxfId="1678" priority="43" operator="equal">
      <formula>"E - Review Not Required - Proceed"</formula>
    </cfRule>
    <cfRule type="cellIs" dxfId="1677" priority="42" operator="equal">
      <formula>"B - Incorporate Comments - Proceed "</formula>
    </cfRule>
    <cfRule type="cellIs" dxfId="1676" priority="41" operator="equal">
      <formula>"For Information"</formula>
    </cfRule>
    <cfRule type="cellIs" dxfId="1675" priority="40" operator="equal">
      <formula>"A - Work May Proceed"</formula>
    </cfRule>
    <cfRule type="cellIs" dxfId="1674" priority="39" operator="equal">
      <formula>"C - Revise and Resubmit - Do Not Proceed"</formula>
    </cfRule>
    <cfRule type="cellIs" dxfId="1673" priority="38" operator="equal">
      <formula>"B - Incorporate Comments - Proceed"</formula>
    </cfRule>
    <cfRule type="cellIs" dxfId="1672" priority="37" operator="equal">
      <formula>"D - Rejected"</formula>
    </cfRule>
    <cfRule type="cellIs" dxfId="1671" priority="36" operator="equal">
      <formula>"E - Review not Required - Proceed"</formula>
    </cfRule>
    <cfRule type="cellIs" dxfId="1670" priority="48" operator="between">
      <formula>"A - Work May Proceed"</formula>
      <formula>"A - Work May Proceed"</formula>
    </cfRule>
    <cfRule type="cellIs" dxfId="1669" priority="47" operator="between">
      <formula>"B - Incorporate Comments - Proceed"</formula>
      <formula>"B - Incorporate Comments - Proceed"</formula>
    </cfRule>
    <cfRule type="cellIs" dxfId="1668" priority="46" operator="between">
      <formula>"C - Revise and Resubmit - Do Not Proceed"</formula>
      <formula>"C - Revise and Resubmit - Do Not Proceed"</formula>
    </cfRule>
    <cfRule type="cellIs" dxfId="1667" priority="49" operator="between">
      <formula>"B - Incorporate Comments - Proceed"</formula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>
    <tabColor theme="9"/>
  </sheetPr>
  <dimension ref="A1:BF13"/>
  <sheetViews>
    <sheetView zoomScale="55" zoomScaleNormal="55" zoomScaleSheetLayoutView="70" workbookViewId="0">
      <pane ySplit="11" topLeftCell="A12" activePane="bottomLeft" state="frozen"/>
      <selection activeCell="A14" sqref="A14"/>
      <selection pane="bottomLeft" sqref="A1:A1048576"/>
    </sheetView>
  </sheetViews>
  <sheetFormatPr defaultColWidth="9.140625" defaultRowHeight="15" x14ac:dyDescent="0.25"/>
  <cols>
    <col min="1" max="1" width="23.425781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0.140625" style="398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5.140625" style="44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 s="111"/>
      <c r="V1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2"/>
    </row>
    <row r="2" spans="1:58" s="379" customFormat="1" ht="24" customHeight="1" x14ac:dyDescent="0.35">
      <c r="A2" s="8"/>
      <c r="B2" s="25" t="s">
        <v>28</v>
      </c>
      <c r="C2" s="26" t="s">
        <v>181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 s="111"/>
      <c r="V2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2"/>
    </row>
    <row r="3" spans="1:58" s="379" customFormat="1" ht="24" customHeight="1" x14ac:dyDescent="0.35">
      <c r="A3" s="8"/>
      <c r="B3" s="25" t="s">
        <v>507</v>
      </c>
      <c r="C3" s="26" t="s">
        <v>2886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 s="111"/>
      <c r="V3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2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 s="111"/>
      <c r="V4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2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 s="111"/>
      <c r="V5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2"/>
    </row>
    <row r="6" spans="1:58" s="379" customFormat="1" ht="24" customHeight="1" x14ac:dyDescent="0.35">
      <c r="A6" s="8"/>
      <c r="B6" s="64">
        <f>COUNTIF(B11:B13,"A - Work May Proceed")</f>
        <v>0</v>
      </c>
      <c r="C6" s="65">
        <f>COUNTIF(B11:B13,"B- Incorporate Comments - Proceed")</f>
        <v>0</v>
      </c>
      <c r="D6" s="65">
        <f>COUNTIF(B11:B13,"C - Revise and Resubmit - Do Not Proceed")</f>
        <v>0</v>
      </c>
      <c r="E6" s="65">
        <f>COUNTIF(B11:B13,"D - Rejected")</f>
        <v>0</v>
      </c>
      <c r="F6" s="65">
        <f>COUNTIF(B11:B13,"E - Review not Required - Proceed")</f>
        <v>0</v>
      </c>
      <c r="G6" s="66">
        <f>COUNTIF(B11:B13,"UR")</f>
        <v>0</v>
      </c>
      <c r="H6" s="66">
        <f>COUNTIF(B11:B13,"FA")</f>
        <v>0</v>
      </c>
      <c r="I6" s="66">
        <f>COUNTIF(B11:B13,"Terminated")</f>
        <v>0</v>
      </c>
      <c r="J6" s="66">
        <f>COUNTIF(B11:B13,"Cancelled")</f>
        <v>1</v>
      </c>
      <c r="K6"/>
      <c r="L6"/>
      <c r="M6"/>
      <c r="N6"/>
      <c r="O6"/>
      <c r="P6"/>
      <c r="Q6"/>
      <c r="R6"/>
      <c r="S6"/>
      <c r="T6"/>
      <c r="U6" s="111"/>
      <c r="V6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2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 s="111"/>
      <c r="V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2"/>
    </row>
    <row r="8" spans="1:58" s="379" customFormat="1" ht="24" customHeight="1" x14ac:dyDescent="0.35">
      <c r="A8" s="8"/>
      <c r="B8" s="72" t="s">
        <v>509</v>
      </c>
      <c r="C8" s="73">
        <f>SUM(B6:J6)</f>
        <v>1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 s="111"/>
      <c r="V8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2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 s="111"/>
      <c r="V9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2"/>
    </row>
    <row r="10" spans="1:58" s="405" customFormat="1" ht="36.75" customHeight="1" x14ac:dyDescent="0.2">
      <c r="A10" s="559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113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79" t="s">
        <v>508</v>
      </c>
      <c r="C12" s="56" t="s">
        <v>627</v>
      </c>
      <c r="D12" s="12" t="s">
        <v>2884</v>
      </c>
      <c r="E12" s="12" t="s">
        <v>2885</v>
      </c>
      <c r="F12" s="16" t="s">
        <v>2883</v>
      </c>
      <c r="G12" s="16" t="s">
        <v>179</v>
      </c>
      <c r="H12" s="10" t="s">
        <v>2886</v>
      </c>
      <c r="I12" s="16" t="s">
        <v>3</v>
      </c>
      <c r="J12" s="14">
        <v>45739</v>
      </c>
      <c r="K12" s="12" t="s">
        <v>2894</v>
      </c>
      <c r="L12" s="20">
        <f>J12+7</f>
        <v>45746</v>
      </c>
      <c r="M12" s="14">
        <v>45761</v>
      </c>
      <c r="N12" s="92">
        <f>M12-L12</f>
        <v>15</v>
      </c>
      <c r="O12" s="12" t="s">
        <v>2906</v>
      </c>
      <c r="P12" s="78" t="s">
        <v>508</v>
      </c>
      <c r="Q12" s="20">
        <v>45778</v>
      </c>
      <c r="R12" s="12" t="s">
        <v>3133</v>
      </c>
      <c r="S12" s="20" t="s">
        <v>626</v>
      </c>
      <c r="T12" s="20" t="s">
        <v>626</v>
      </c>
      <c r="U12" s="91" t="s">
        <v>626</v>
      </c>
      <c r="V12" s="12" t="s">
        <v>626</v>
      </c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259"/>
    </row>
    <row r="13" spans="1:58" s="381" customFormat="1" ht="42" customHeight="1" thickBot="1" x14ac:dyDescent="0.3">
      <c r="A13" s="369"/>
      <c r="B13" s="371"/>
      <c r="C13" s="444"/>
      <c r="D13" s="370"/>
      <c r="E13" s="370"/>
      <c r="F13" s="262"/>
      <c r="G13" s="263"/>
      <c r="H13" s="263"/>
      <c r="I13" s="262"/>
      <c r="J13" s="474"/>
      <c r="K13" s="370"/>
      <c r="L13" s="370"/>
      <c r="M13" s="474"/>
      <c r="N13" s="474"/>
      <c r="O13" s="370"/>
      <c r="P13" s="262"/>
      <c r="Q13" s="476"/>
      <c r="R13" s="370"/>
      <c r="S13" s="370"/>
      <c r="T13" s="476"/>
      <c r="U13" s="481"/>
      <c r="V13" s="370"/>
      <c r="W13" s="370"/>
      <c r="X13" s="476"/>
      <c r="Y13" s="370"/>
      <c r="Z13" s="370"/>
      <c r="AA13" s="476"/>
      <c r="AB13" s="476"/>
      <c r="AC13" s="370"/>
      <c r="AD13" s="370"/>
      <c r="AE13" s="476"/>
      <c r="AF13" s="370"/>
      <c r="AG13" s="370"/>
      <c r="AH13" s="476"/>
      <c r="AI13" s="476"/>
      <c r="AJ13" s="370"/>
      <c r="AK13" s="263"/>
      <c r="AL13" s="474"/>
      <c r="AM13" s="370"/>
      <c r="AN13" s="370"/>
      <c r="AO13" s="474"/>
      <c r="AP13" s="474"/>
      <c r="AQ13" s="474"/>
      <c r="AR13" s="474"/>
      <c r="AS13" s="474"/>
      <c r="AT13" s="474"/>
      <c r="AU13" s="474"/>
      <c r="AV13" s="474"/>
      <c r="AW13" s="474"/>
      <c r="AX13" s="474"/>
      <c r="AY13" s="474"/>
      <c r="AZ13" s="474"/>
      <c r="BA13" s="474"/>
      <c r="BB13" s="474"/>
      <c r="BC13" s="474"/>
      <c r="BD13" s="474"/>
      <c r="BE13" s="370"/>
      <c r="BF13" s="266"/>
    </row>
  </sheetData>
  <autoFilter ref="A11:BF11" xr:uid="{00000000-0001-0000-1D00-000000000000}"/>
  <mergeCells count="18">
    <mergeCell ref="A10:A11"/>
    <mergeCell ref="H1:H2"/>
    <mergeCell ref="I1:I2"/>
    <mergeCell ref="G10:G11"/>
    <mergeCell ref="B10:B11"/>
    <mergeCell ref="C10:C11"/>
    <mergeCell ref="D10:D11"/>
    <mergeCell ref="E10:E11"/>
    <mergeCell ref="F10:F11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</mergeCells>
  <conditionalFormatting sqref="A10:A13">
    <cfRule type="cellIs" dxfId="1666" priority="1" operator="equal">
      <formula>"E - Review not Required - Proceed"</formula>
    </cfRule>
    <cfRule type="cellIs" dxfId="1665" priority="2" operator="equal">
      <formula>"D - Rejected"</formula>
    </cfRule>
    <cfRule type="cellIs" dxfId="1664" priority="3" operator="equal">
      <formula>"B- Incorporate Comments - Proceed"</formula>
    </cfRule>
    <cfRule type="cellIs" dxfId="1663" priority="4" operator="equal">
      <formula>"C - Revise and Resubmit - Do Not Proceed"</formula>
    </cfRule>
    <cfRule type="cellIs" dxfId="1662" priority="5" operator="equal">
      <formula>"A - Work May Proceed"</formula>
    </cfRule>
  </conditionalFormatting>
  <conditionalFormatting sqref="B12:XFD1048576">
    <cfRule type="cellIs" dxfId="1661" priority="11" operator="equal">
      <formula>"E - Review not Required - Proceed"</formula>
    </cfRule>
    <cfRule type="cellIs" dxfId="1660" priority="12" operator="equal">
      <formula>"D - Rejected"</formula>
    </cfRule>
    <cfRule type="cellIs" dxfId="1659" priority="13" operator="equal">
      <formula>"B- Incorporate Comments - Proceed"</formula>
    </cfRule>
    <cfRule type="cellIs" dxfId="1658" priority="14" operator="equal">
      <formula>"C - Revise and Resubmit - Do Not Proceed"</formula>
    </cfRule>
    <cfRule type="cellIs" dxfId="1657" priority="15" operator="equal">
      <formula>"A - Work May Proceed"</formula>
    </cfRule>
  </conditionalFormatting>
  <conditionalFormatting sqref="D11:BE11 B1:G2 W1:XFD9 B3:H4 B9:H9 B10:XFD10 B11">
    <cfRule type="cellIs" dxfId="1656" priority="58" operator="equal">
      <formula>"B- Incorporate Comments - Proceed"</formula>
    </cfRule>
    <cfRule type="cellIs" dxfId="1655" priority="57" operator="equal">
      <formula>"D - Rejected"</formula>
    </cfRule>
    <cfRule type="cellIs" dxfId="1654" priority="56" operator="equal">
      <formula>"E - Review not Required - Proceed"</formula>
    </cfRule>
    <cfRule type="cellIs" dxfId="1653" priority="60" operator="equal">
      <formula>"A - Work May Proceed"</formula>
    </cfRule>
    <cfRule type="cellIs" dxfId="1652" priority="59" operator="equal">
      <formula>"C - Revise and Resubmit - Do Not Proceed"</formula>
    </cfRule>
  </conditionalFormatting>
  <conditionalFormatting sqref="I11">
    <cfRule type="cellIs" dxfId="1651" priority="126" operator="equal">
      <formula>"For Information"</formula>
    </cfRule>
    <cfRule type="cellIs" dxfId="1650" priority="125" operator="equal">
      <formula>"B - Incorporate Comments - Proceed"</formula>
    </cfRule>
    <cfRule type="cellIs" dxfId="1649" priority="130" operator="between">
      <formula>"'D - Rejected "</formula>
      <formula>"'D - Rejected "</formula>
    </cfRule>
    <cfRule type="cellIs" dxfId="1648" priority="137" operator="between">
      <formula>"CANCELLED"</formula>
      <formula>"CANCELLED"</formula>
    </cfRule>
    <cfRule type="cellIs" dxfId="1647" priority="136" operator="between">
      <formula>"D - Rejected "</formula>
      <formula>"D - Rejected "</formula>
    </cfRule>
    <cfRule type="cellIs" dxfId="1646" priority="140" stopIfTrue="1" operator="between">
      <formula>"B - Incorporate Comments - Proceed "</formula>
      <formula>"B - Incorporate Comments - Proceed "</formula>
    </cfRule>
    <cfRule type="cellIs" dxfId="1645" priority="135" operator="between">
      <formula>"E - Review not Required - Proceed"</formula>
      <formula>"E - Review not Required - Proceed"</formula>
    </cfRule>
    <cfRule type="cellIs" dxfId="1644" priority="134" operator="between">
      <formula>"B - Incorporate Comments - Proceed"</formula>
      <formula>"B - Incorporate Comments - Proceed"</formula>
    </cfRule>
    <cfRule type="cellIs" dxfId="1643" priority="133" operator="between">
      <formula>"A - Work May Proceed"</formula>
      <formula>"A - Work May Proceed"</formula>
    </cfRule>
    <cfRule type="cellIs" dxfId="1642" priority="132" operator="between">
      <formula>"B - Incorporate Comments - Proceed"</formula>
      <formula>"B - Incorporate Comments - Proceed"</formula>
    </cfRule>
    <cfRule type="cellIs" dxfId="1641" priority="131" operator="between">
      <formula>"C - Revise and Resubmit - Do Not Proceed"</formula>
      <formula>"C - Revise and Resubmit - Do Not Proceed"</formula>
    </cfRule>
    <cfRule type="cellIs" dxfId="1640" priority="129" operator="between">
      <formula>"E - Review not Required - Proceed"</formula>
      <formula>"E - Review not Required - Proceed"</formula>
    </cfRule>
    <cfRule type="cellIs" dxfId="1639" priority="128" operator="equal">
      <formula>"E - Review Not Required - Proceed"</formula>
    </cfRule>
    <cfRule type="cellIs" dxfId="1638" priority="127" operator="equal">
      <formula>"B - Incorporate Comments - Proceed "</formula>
    </cfRule>
    <cfRule type="cellIs" dxfId="1637" priority="138" operator="between">
      <formula>"A - Work May Proceed"</formula>
      <formula>"A - Work May Proceed"</formula>
    </cfRule>
    <cfRule type="cellIs" dxfId="1636" priority="139" operator="between">
      <formula>"C - Revise and Resubmit - Do Not Proceed"</formula>
      <formula>"C - Revise and Resubmit - Do Not Proceed"</formula>
    </cfRule>
  </conditionalFormatting>
  <conditionalFormatting sqref="J5:J6 B5:I7 B8:J8">
    <cfRule type="cellIs" dxfId="1635" priority="6" operator="equal">
      <formula>"E - Review not Required - Proceed"</formula>
    </cfRule>
    <cfRule type="cellIs" dxfId="1634" priority="7" operator="equal">
      <formula>"D - Rejected"</formula>
    </cfRule>
    <cfRule type="cellIs" dxfId="1633" priority="8" operator="equal">
      <formula>"B- Incorporate Comments - Proceed"</formula>
    </cfRule>
    <cfRule type="cellIs" dxfId="1632" priority="9" operator="equal">
      <formula>"C - Revise and Resubmit - Do Not Proceed"</formula>
    </cfRule>
    <cfRule type="cellIs" dxfId="1631" priority="10" stopIfTrue="1" operator="equal">
      <formula>"A - Work May Proceed"</formula>
    </cfRule>
  </conditionalFormatting>
  <conditionalFormatting sqref="P11">
    <cfRule type="cellIs" dxfId="1630" priority="123" operator="between">
      <formula>"C - Revise and Resubmit - Do Not Proceed"</formula>
      <formula>"C - Revise and Resubmit - Do Not Proceed"</formula>
    </cfRule>
    <cfRule type="cellIs" dxfId="1629" priority="113" operator="between">
      <formula>"E - Review not Required - Proceed"</formula>
      <formula>"E - Review not Required - Proceed"</formula>
    </cfRule>
    <cfRule type="cellIs" dxfId="1628" priority="112" operator="equal">
      <formula>"E - Review Not Required - Proceed"</formula>
    </cfRule>
    <cfRule type="cellIs" dxfId="1627" priority="111" operator="equal">
      <formula>"B - Incorporate Comments - Proceed "</formula>
    </cfRule>
    <cfRule type="cellIs" dxfId="1626" priority="110" operator="equal">
      <formula>"For Information"</formula>
    </cfRule>
    <cfRule type="cellIs" dxfId="1625" priority="109" operator="equal">
      <formula>"B - Incorporate Comments - Proceed"</formula>
    </cfRule>
    <cfRule type="cellIs" dxfId="1624" priority="119" operator="between">
      <formula>"E - Review not Required - Proceed"</formula>
      <formula>"E - Review not Required - Proceed"</formula>
    </cfRule>
    <cfRule type="cellIs" dxfId="1623" priority="116" operator="between">
      <formula>"B - Incorporate Comments - Proceed"</formula>
      <formula>"B - Incorporate Comments - Proceed"</formula>
    </cfRule>
    <cfRule type="cellIs" dxfId="1622" priority="117" operator="between">
      <formula>"A - Work May Proceed"</formula>
      <formula>"A - Work May Proceed"</formula>
    </cfRule>
    <cfRule type="cellIs" dxfId="1621" priority="118" operator="between">
      <formula>"B - Incorporate Comments - Proceed"</formula>
      <formula>"B - Incorporate Comments - Proceed"</formula>
    </cfRule>
    <cfRule type="cellIs" dxfId="1620" priority="120" operator="between">
      <formula>"D - Rejected "</formula>
      <formula>"D - Rejected "</formula>
    </cfRule>
    <cfRule type="cellIs" dxfId="1619" priority="121" operator="between">
      <formula>"CANCELLED"</formula>
      <formula>"CANCELLED"</formula>
    </cfRule>
    <cfRule type="cellIs" dxfId="1618" priority="122" operator="between">
      <formula>"A - Work May Proceed"</formula>
      <formula>"A - Work May Proceed"</formula>
    </cfRule>
    <cfRule type="cellIs" dxfId="1617" priority="124" stopIfTrue="1" operator="between">
      <formula>"B - Incorporate Comments - Proceed "</formula>
      <formula>"B - Incorporate Comments - Proceed "</formula>
    </cfRule>
    <cfRule type="cellIs" dxfId="1616" priority="115" operator="between">
      <formula>"C - Revise and Resubmit - Do Not Proceed"</formula>
      <formula>"C - Revise and Resubmit - Do Not Proceed"</formula>
    </cfRule>
    <cfRule type="cellIs" dxfId="1615" priority="114" operator="between">
      <formula>"'D - Rejected "</formula>
      <formula>"'D - Rejected "</formula>
    </cfRule>
  </conditionalFormatting>
  <conditionalFormatting sqref="W11">
    <cfRule type="cellIs" dxfId="1614" priority="93" operator="equal">
      <formula>"B - Incorporate Comments - Proceed"</formula>
    </cfRule>
    <cfRule type="cellIs" dxfId="1613" priority="94" operator="equal">
      <formula>"For Information"</formula>
    </cfRule>
    <cfRule type="cellIs" dxfId="1612" priority="95" operator="equal">
      <formula>"B - Incorporate Comments - Proceed "</formula>
    </cfRule>
    <cfRule type="cellIs" dxfId="1611" priority="96" operator="equal">
      <formula>"E - Review Not Required - Proceed"</formula>
    </cfRule>
    <cfRule type="cellIs" dxfId="1610" priority="97" operator="between">
      <formula>"E - Review not Required - Proceed"</formula>
      <formula>"E - Review not Required - Proceed"</formula>
    </cfRule>
    <cfRule type="cellIs" dxfId="1609" priority="98" operator="between">
      <formula>"'D - Rejected "</formula>
      <formula>"'D - Rejected "</formula>
    </cfRule>
    <cfRule type="cellIs" dxfId="1608" priority="99" operator="between">
      <formula>"C - Revise and Resubmit - Do Not Proceed"</formula>
      <formula>"C - Revise and Resubmit - Do Not Proceed"</formula>
    </cfRule>
    <cfRule type="cellIs" dxfId="1607" priority="100" operator="between">
      <formula>"B - Incorporate Comments - Proceed"</formula>
      <formula>"B - Incorporate Comments - Proceed"</formula>
    </cfRule>
    <cfRule type="cellIs" dxfId="1606" priority="101" operator="between">
      <formula>"A - Work May Proceed"</formula>
      <formula>"A - Work May Proceed"</formula>
    </cfRule>
    <cfRule type="cellIs" dxfId="1605" priority="102" operator="between">
      <formula>"B - Incorporate Comments - Proceed"</formula>
      <formula>"B - Incorporate Comments - Proceed"</formula>
    </cfRule>
    <cfRule type="cellIs" dxfId="1604" priority="103" operator="between">
      <formula>"E - Review not Required - Proceed"</formula>
      <formula>"E - Review not Required - Proceed"</formula>
    </cfRule>
    <cfRule type="cellIs" dxfId="1603" priority="104" operator="between">
      <formula>"D - Rejected "</formula>
      <formula>"D - Rejected "</formula>
    </cfRule>
    <cfRule type="cellIs" dxfId="1602" priority="105" operator="between">
      <formula>"CANCELLED"</formula>
      <formula>"CANCELLED"</formula>
    </cfRule>
    <cfRule type="cellIs" dxfId="1601" priority="107" operator="between">
      <formula>"C - Revise and Resubmit - Do Not Proceed"</formula>
      <formula>"C - Revise and Resubmit - Do Not Proceed"</formula>
    </cfRule>
    <cfRule type="cellIs" dxfId="1600" priority="108" stopIfTrue="1" operator="between">
      <formula>"B - Incorporate Comments - Proceed "</formula>
      <formula>"B - Incorporate Comments - Proceed "</formula>
    </cfRule>
    <cfRule type="cellIs" dxfId="1599" priority="106" operator="between">
      <formula>"A - Work May Proceed"</formula>
      <formula>"A - Work May Proceed"</formula>
    </cfRule>
  </conditionalFormatting>
  <conditionalFormatting sqref="AD11">
    <cfRule type="cellIs" dxfId="1598" priority="78" operator="equal">
      <formula>"For Information"</formula>
    </cfRule>
    <cfRule type="cellIs" dxfId="1597" priority="88" operator="between">
      <formula>"D - Rejected "</formula>
      <formula>"D - Rejected "</formula>
    </cfRule>
    <cfRule type="cellIs" dxfId="1596" priority="77" operator="equal">
      <formula>"B - Incorporate Comments - Proceed"</formula>
    </cfRule>
    <cfRule type="cellIs" dxfId="1595" priority="90" operator="between">
      <formula>"A - Work May Proceed"</formula>
      <formula>"A - Work May Proceed"</formula>
    </cfRule>
    <cfRule type="cellIs" dxfId="1594" priority="91" operator="between">
      <formula>"C - Revise and Resubmit - Do Not Proceed"</formula>
      <formula>"C - Revise and Resubmit - Do Not Proceed"</formula>
    </cfRule>
    <cfRule type="cellIs" dxfId="1593" priority="92" stopIfTrue="1" operator="between">
      <formula>"B - Incorporate Comments - Proceed "</formula>
      <formula>"B - Incorporate Comments - Proceed "</formula>
    </cfRule>
    <cfRule type="cellIs" dxfId="1592" priority="87" operator="between">
      <formula>"E - Review not Required - Proceed"</formula>
      <formula>"E - Review not Required - Proceed"</formula>
    </cfRule>
    <cfRule type="cellIs" dxfId="1591" priority="86" operator="between">
      <formula>"B - Incorporate Comments - Proceed"</formula>
      <formula>"B - Incorporate Comments - Proceed"</formula>
    </cfRule>
    <cfRule type="cellIs" dxfId="1590" priority="85" operator="between">
      <formula>"A - Work May Proceed"</formula>
      <formula>"A - Work May Proceed"</formula>
    </cfRule>
    <cfRule type="cellIs" dxfId="1589" priority="84" operator="between">
      <formula>"B - Incorporate Comments - Proceed"</formula>
      <formula>"B - Incorporate Comments - Proceed"</formula>
    </cfRule>
    <cfRule type="cellIs" dxfId="1588" priority="83" operator="between">
      <formula>"C - Revise and Resubmit - Do Not Proceed"</formula>
      <formula>"C - Revise and Resubmit - Do Not Proceed"</formula>
    </cfRule>
    <cfRule type="cellIs" dxfId="1587" priority="82" operator="between">
      <formula>"'D - Rejected "</formula>
      <formula>"'D - Rejected "</formula>
    </cfRule>
    <cfRule type="cellIs" dxfId="1586" priority="81" operator="between">
      <formula>"E - Review not Required - Proceed"</formula>
      <formula>"E - Review not Required - Proceed"</formula>
    </cfRule>
    <cfRule type="cellIs" dxfId="1585" priority="89" operator="between">
      <formula>"CANCELLED"</formula>
      <formula>"CANCELLED"</formula>
    </cfRule>
    <cfRule type="cellIs" dxfId="1584" priority="80" operator="equal">
      <formula>"E - Review Not Required - Proceed"</formula>
    </cfRule>
    <cfRule type="cellIs" dxfId="1583" priority="79" operator="equal">
      <formula>"B - Incorporate Comments - Proceed "</formula>
    </cfRule>
  </conditionalFormatting>
  <conditionalFormatting sqref="AK11">
    <cfRule type="cellIs" dxfId="1582" priority="69" operator="between">
      <formula>"A - Work May Proceed"</formula>
      <formula>"A - Work May Proceed"</formula>
    </cfRule>
    <cfRule type="cellIs" dxfId="1581" priority="70" operator="between">
      <formula>"B - Incorporate Comments - Proceed"</formula>
      <formula>"B - Incorporate Comments - Proceed"</formula>
    </cfRule>
    <cfRule type="cellIs" dxfId="1580" priority="71" operator="between">
      <formula>"E - Review not Required - Proceed"</formula>
      <formula>"E - Review not Required - Proceed"</formula>
    </cfRule>
    <cfRule type="cellIs" dxfId="1579" priority="72" operator="between">
      <formula>"D - Rejected "</formula>
      <formula>"D - Rejected "</formula>
    </cfRule>
    <cfRule type="cellIs" dxfId="1578" priority="73" operator="between">
      <formula>"CANCELLED"</formula>
      <formula>"CANCELLED"</formula>
    </cfRule>
    <cfRule type="cellIs" dxfId="1577" priority="74" operator="between">
      <formula>"A - Work May Proceed"</formula>
      <formula>"A - Work May Proceed"</formula>
    </cfRule>
    <cfRule type="cellIs" dxfId="1576" priority="75" operator="between">
      <formula>"C - Revise and Resubmit - Do Not Proceed"</formula>
      <formula>"C - Revise and Resubmit - Do Not Proceed"</formula>
    </cfRule>
    <cfRule type="cellIs" dxfId="1575" priority="76" stopIfTrue="1" operator="between">
      <formula>"B - Incorporate Comments - Proceed "</formula>
      <formula>"B - Incorporate Comments - Proceed "</formula>
    </cfRule>
    <cfRule type="cellIs" dxfId="1574" priority="61" operator="equal">
      <formula>"B - Incorporate Comments - Proceed"</formula>
    </cfRule>
    <cfRule type="cellIs" dxfId="1573" priority="62" operator="equal">
      <formula>"For Information"</formula>
    </cfRule>
    <cfRule type="cellIs" dxfId="1572" priority="63" operator="equal">
      <formula>"B - Incorporate Comments - Proceed "</formula>
    </cfRule>
    <cfRule type="cellIs" dxfId="1571" priority="64" operator="equal">
      <formula>"E - Review Not Required - Proceed"</formula>
    </cfRule>
    <cfRule type="cellIs" dxfId="1570" priority="65" operator="between">
      <formula>"E - Review not Required - Proceed"</formula>
      <formula>"E - Review not Required - Proceed"</formula>
    </cfRule>
    <cfRule type="cellIs" dxfId="1569" priority="66" operator="between">
      <formula>"'D - Rejected "</formula>
      <formula>"'D - Rejected "</formula>
    </cfRule>
    <cfRule type="cellIs" dxfId="1568" priority="67" operator="between">
      <formula>"C - Revise and Resubmit - Do Not Proceed"</formula>
      <formula>"C - Revise and Resubmit - Do Not Proceed"</formula>
    </cfRule>
    <cfRule type="cellIs" dxfId="1567" priority="68" operator="between">
      <formula>"B - Incorporate Comments - Proceed"</formula>
      <formula>"B - Incorporate Comments - Proceed"</formula>
    </cfRule>
  </conditionalFormatting>
  <conditionalFormatting sqref="AR11">
    <cfRule type="cellIs" dxfId="1566" priority="31" operator="between">
      <formula>"D - Rejected "</formula>
      <formula>"D - Rejected "</formula>
    </cfRule>
    <cfRule type="cellIs" dxfId="1565" priority="30" operator="between">
      <formula>"E - Review not Required - Proceed"</formula>
      <formula>"E - Review not Required - Proceed"</formula>
    </cfRule>
    <cfRule type="cellIs" dxfId="1564" priority="29" operator="between">
      <formula>"B - Incorporate Comments - Proceed"</formula>
      <formula>"B - Incorporate Comments - Proceed"</formula>
    </cfRule>
    <cfRule type="cellIs" dxfId="1563" priority="28" operator="between">
      <formula>"A - Work May Proceed"</formula>
      <formula>"A - Work May Proceed"</formula>
    </cfRule>
    <cfRule type="cellIs" dxfId="1562" priority="27" operator="between">
      <formula>"B - Incorporate Comments - Proceed"</formula>
      <formula>"B - Incorporate Comments - Proceed"</formula>
    </cfRule>
    <cfRule type="cellIs" dxfId="1561" priority="26" operator="between">
      <formula>"C - Revise and Resubmit - Do Not Proceed"</formula>
      <formula>"C - Revise and Resubmit - Do Not Proceed"</formula>
    </cfRule>
    <cfRule type="cellIs" dxfId="1560" priority="25" operator="between">
      <formula>"'D - Rejected "</formula>
      <formula>"'D - Rejected "</formula>
    </cfRule>
    <cfRule type="cellIs" dxfId="1559" priority="24" operator="between">
      <formula>"E - Review not Required - Proceed"</formula>
      <formula>"E - Review not Required - Proceed"</formula>
    </cfRule>
    <cfRule type="cellIs" dxfId="1558" priority="23" operator="equal">
      <formula>"E - Review Not Required - Proceed"</formula>
    </cfRule>
    <cfRule type="cellIs" dxfId="1557" priority="22" operator="equal">
      <formula>"B - Incorporate Comments - Proceed "</formula>
    </cfRule>
    <cfRule type="cellIs" dxfId="1556" priority="21" operator="equal">
      <formula>"For Information"</formula>
    </cfRule>
    <cfRule type="cellIs" dxfId="1555" priority="20" operator="equal">
      <formula>"A - Work May Proceed"</formula>
    </cfRule>
    <cfRule type="cellIs" dxfId="1554" priority="19" operator="equal">
      <formula>"C - Revise and Resubmit - Do Not Proceed"</formula>
    </cfRule>
    <cfRule type="cellIs" dxfId="1553" priority="17" operator="equal">
      <formula>"D - Rejected"</formula>
    </cfRule>
    <cfRule type="cellIs" dxfId="1552" priority="16" operator="equal">
      <formula>"E - Review not Required - Proceed"</formula>
    </cfRule>
    <cfRule type="cellIs" dxfId="1551" priority="32" operator="between">
      <formula>"CANCELLED"</formula>
      <formula>"CANCELLED"</formula>
    </cfRule>
    <cfRule type="cellIs" dxfId="1550" priority="18" operator="equal">
      <formula>"B - Incorporate Comments - Proceed"</formula>
    </cfRule>
    <cfRule type="cellIs" dxfId="1549" priority="35" stopIfTrue="1" operator="between">
      <formula>"B - Incorporate Comments - Proceed "</formula>
      <formula>"B - Incorporate Comments - Proceed "</formula>
    </cfRule>
    <cfRule type="cellIs" dxfId="1548" priority="34" operator="between">
      <formula>"C - Revise and Resubmit - Do Not Proceed"</formula>
      <formula>"C - Revise and Resubmit - Do Not Proceed"</formula>
    </cfRule>
    <cfRule type="cellIs" dxfId="1547" priority="33" operator="between">
      <formula>"A - Work May Proceed"</formula>
      <formula>"A - Work May Proceed"</formula>
    </cfRule>
  </conditionalFormatting>
  <conditionalFormatting sqref="AY11">
    <cfRule type="cellIs" dxfId="1546" priority="55" stopIfTrue="1" operator="between">
      <formula>"B - Incorporate Comments - Proceed "</formula>
      <formula>"B - Incorporate Comments - Proceed "</formula>
    </cfRule>
    <cfRule type="cellIs" dxfId="1545" priority="53" operator="between">
      <formula>"A - Work May Proceed"</formula>
      <formula>"A - Work May Proceed"</formula>
    </cfRule>
    <cfRule type="cellIs" dxfId="1544" priority="52" operator="between">
      <formula>"CANCELLED"</formula>
      <formula>"CANCELLED"</formula>
    </cfRule>
    <cfRule type="cellIs" dxfId="1543" priority="51" operator="between">
      <formula>"D - Rejected "</formula>
      <formula>"D - Rejected "</formula>
    </cfRule>
    <cfRule type="cellIs" dxfId="1542" priority="50" operator="between">
      <formula>"E - Review not Required - Proceed"</formula>
      <formula>"E - Review not Required - Proceed"</formula>
    </cfRule>
    <cfRule type="cellIs" dxfId="1541" priority="45" operator="between">
      <formula>"'D - Rejected "</formula>
      <formula>"'D - Rejected "</formula>
    </cfRule>
    <cfRule type="cellIs" dxfId="1540" priority="44" operator="between">
      <formula>"E - Review not Required - Proceed"</formula>
      <formula>"E - Review not Required - Proceed"</formula>
    </cfRule>
    <cfRule type="cellIs" dxfId="1539" priority="54" operator="between">
      <formula>"C - Revise and Resubmit - Do Not Proceed"</formula>
      <formula>"C - Revise and Resubmit - Do Not Proceed"</formula>
    </cfRule>
    <cfRule type="cellIs" dxfId="1538" priority="43" operator="equal">
      <formula>"E - Review Not Required - Proceed"</formula>
    </cfRule>
    <cfRule type="cellIs" dxfId="1537" priority="42" operator="equal">
      <formula>"B - Incorporate Comments - Proceed "</formula>
    </cfRule>
    <cfRule type="cellIs" dxfId="1536" priority="41" operator="equal">
      <formula>"For Information"</formula>
    </cfRule>
    <cfRule type="cellIs" dxfId="1535" priority="40" operator="equal">
      <formula>"A - Work May Proceed"</formula>
    </cfRule>
    <cfRule type="cellIs" dxfId="1534" priority="39" operator="equal">
      <formula>"C - Revise and Resubmit - Do Not Proceed"</formula>
    </cfRule>
    <cfRule type="cellIs" dxfId="1533" priority="38" operator="equal">
      <formula>"B - Incorporate Comments - Proceed"</formula>
    </cfRule>
    <cfRule type="cellIs" dxfId="1532" priority="37" operator="equal">
      <formula>"D - Rejected"</formula>
    </cfRule>
    <cfRule type="cellIs" dxfId="1531" priority="36" operator="equal">
      <formula>"E - Review not Required - Proceed"</formula>
    </cfRule>
    <cfRule type="cellIs" dxfId="1530" priority="48" operator="between">
      <formula>"A - Work May Proceed"</formula>
      <formula>"A - Work May Proceed"</formula>
    </cfRule>
    <cfRule type="cellIs" dxfId="1529" priority="47" operator="between">
      <formula>"B - Incorporate Comments - Proceed"</formula>
      <formula>"B - Incorporate Comments - Proceed"</formula>
    </cfRule>
    <cfRule type="cellIs" dxfId="1528" priority="46" operator="between">
      <formula>"C - Revise and Resubmit - Do Not Proceed"</formula>
      <formula>"C - Revise and Resubmit - Do Not Proceed"</formula>
    </cfRule>
    <cfRule type="cellIs" dxfId="1527" priority="49" operator="between">
      <formula>"B - Incorporate Comments - Proceed"</formula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tabColor theme="9"/>
  </sheetPr>
  <dimension ref="A1:BF19"/>
  <sheetViews>
    <sheetView zoomScale="55" zoomScaleNormal="55" zoomScaleSheetLayoutView="57" workbookViewId="0">
      <pane ySplit="11" topLeftCell="A12" activePane="bottomLeft" state="frozen"/>
      <selection activeCell="A14" sqref="A14"/>
      <selection pane="bottomLeft" activeCell="F33" sqref="F33"/>
    </sheetView>
  </sheetViews>
  <sheetFormatPr defaultColWidth="9.140625" defaultRowHeight="14.25" x14ac:dyDescent="0.25"/>
  <cols>
    <col min="1" max="1" width="23.42578125" style="393" customWidth="1"/>
    <col min="2" max="3" width="32" style="482" customWidth="1"/>
    <col min="4" max="5" width="57.85546875" style="482" customWidth="1"/>
    <col min="6" max="6" width="77.7109375" style="482" bestFit="1" customWidth="1"/>
    <col min="7" max="7" width="29.28515625" style="482" customWidth="1"/>
    <col min="8" max="8" width="30.140625" style="482" customWidth="1"/>
    <col min="9" max="9" width="33.7109375" style="482" customWidth="1"/>
    <col min="10" max="38" width="30.140625" style="482" customWidth="1"/>
    <col min="39" max="40" width="36.85546875" style="482" customWidth="1"/>
    <col min="41" max="56" width="30.140625" style="482" customWidth="1"/>
    <col min="57" max="57" width="32.85546875" style="482" customWidth="1"/>
    <col min="58" max="58" width="46.140625" style="483" customWidth="1"/>
    <col min="59" max="16384" width="9.140625" style="482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 s="111"/>
      <c r="V1"/>
      <c r="W1" s="7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2"/>
    </row>
    <row r="2" spans="1:58" s="379" customFormat="1" ht="24" customHeight="1" x14ac:dyDescent="0.35">
      <c r="A2" s="8"/>
      <c r="B2" s="25" t="s">
        <v>28</v>
      </c>
      <c r="C2" s="26" t="s">
        <v>181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 s="111"/>
      <c r="V2"/>
      <c r="W2" s="7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2"/>
    </row>
    <row r="3" spans="1:58" s="379" customFormat="1" ht="24" customHeight="1" x14ac:dyDescent="0.35">
      <c r="A3" s="8"/>
      <c r="B3" s="25" t="s">
        <v>507</v>
      </c>
      <c r="C3" s="26" t="s">
        <v>452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 s="111"/>
      <c r="V3"/>
      <c r="W3" s="7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2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 s="111"/>
      <c r="V4"/>
      <c r="W4" s="7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2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 s="111"/>
      <c r="V5"/>
      <c r="W5" s="7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2"/>
    </row>
    <row r="6" spans="1:58" s="379" customFormat="1" ht="24" customHeight="1" x14ac:dyDescent="0.35">
      <c r="A6" s="8"/>
      <c r="B6" s="64">
        <f>COUNTIF(B11:B19,"A - Work May Proceed")</f>
        <v>6</v>
      </c>
      <c r="C6" s="65">
        <f>COUNTIF(B11:B19,"B- Incorporate Comments - Proceed")</f>
        <v>0</v>
      </c>
      <c r="D6" s="65">
        <f>COUNTIF(B11:B19,"C - Revise and Resubmit - Do Not Proceed")</f>
        <v>0</v>
      </c>
      <c r="E6" s="65">
        <f>COUNTIF(B11:B19,"D - Rejected")</f>
        <v>0</v>
      </c>
      <c r="F6" s="65">
        <f>COUNTIF(B11:B19,"E - Review not Required - Proceed")</f>
        <v>0</v>
      </c>
      <c r="G6" s="66">
        <f>COUNTIF(B11:B19,"UR")</f>
        <v>0</v>
      </c>
      <c r="H6" s="66">
        <f>COUNTIF(B11:B19,"FA")</f>
        <v>0</v>
      </c>
      <c r="I6" s="66">
        <f>COUNTIF(B11:B19,"Terminated")</f>
        <v>0</v>
      </c>
      <c r="J6" s="66">
        <f>COUNTIF(B11:B19,"Cancelled")</f>
        <v>1</v>
      </c>
      <c r="K6"/>
      <c r="L6"/>
      <c r="M6"/>
      <c r="N6"/>
      <c r="O6"/>
      <c r="P6"/>
      <c r="Q6"/>
      <c r="R6"/>
      <c r="S6"/>
      <c r="T6"/>
      <c r="U6" s="111"/>
      <c r="V6"/>
      <c r="W6" s="7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2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 s="111"/>
      <c r="V7"/>
      <c r="W7" s="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2"/>
    </row>
    <row r="8" spans="1:58" s="379" customFormat="1" ht="24" customHeight="1" x14ac:dyDescent="0.35">
      <c r="A8" s="8"/>
      <c r="B8" s="72" t="s">
        <v>509</v>
      </c>
      <c r="C8" s="73">
        <f>SUM(B6:J6)</f>
        <v>7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 s="111"/>
      <c r="V8"/>
      <c r="W8" s="7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2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 s="111"/>
      <c r="V9"/>
      <c r="W9" s="7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2"/>
    </row>
    <row r="10" spans="1:58" s="405" customFormat="1" ht="36.75" customHeight="1" x14ac:dyDescent="0.2">
      <c r="A10" s="559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113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1.25" customHeight="1" x14ac:dyDescent="0.25">
      <c r="A12" s="367">
        <v>730007</v>
      </c>
      <c r="B12" s="79" t="s">
        <v>508</v>
      </c>
      <c r="C12" s="56" t="s">
        <v>627</v>
      </c>
      <c r="D12" s="12" t="s">
        <v>450</v>
      </c>
      <c r="E12" s="12" t="s">
        <v>451</v>
      </c>
      <c r="F12" s="16" t="s">
        <v>449</v>
      </c>
      <c r="G12" s="16" t="s">
        <v>179</v>
      </c>
      <c r="H12" s="10" t="s">
        <v>452</v>
      </c>
      <c r="I12" s="78" t="s">
        <v>508</v>
      </c>
      <c r="J12" s="14">
        <v>45595</v>
      </c>
      <c r="K12" s="12" t="s">
        <v>628</v>
      </c>
      <c r="L12" s="20" t="s">
        <v>626</v>
      </c>
      <c r="M12" s="14" t="s">
        <v>626</v>
      </c>
      <c r="N12" s="92" t="s">
        <v>626</v>
      </c>
      <c r="O12" s="12" t="s">
        <v>626</v>
      </c>
      <c r="P12" s="81"/>
      <c r="Q12" s="20"/>
      <c r="R12" s="12"/>
      <c r="S12" s="12"/>
      <c r="T12" s="20"/>
      <c r="U12" s="91"/>
      <c r="V12" s="12"/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259" t="s">
        <v>6647</v>
      </c>
    </row>
    <row r="13" spans="1:58" s="381" customFormat="1" ht="42" customHeight="1" x14ac:dyDescent="0.25">
      <c r="A13" s="367">
        <v>730007</v>
      </c>
      <c r="B13" s="11" t="s">
        <v>5</v>
      </c>
      <c r="C13" s="56" t="s">
        <v>208</v>
      </c>
      <c r="D13" s="12" t="s">
        <v>648</v>
      </c>
      <c r="E13" s="12" t="s">
        <v>651</v>
      </c>
      <c r="F13" s="16" t="s">
        <v>649</v>
      </c>
      <c r="G13" s="16" t="s">
        <v>179</v>
      </c>
      <c r="H13" s="10" t="s">
        <v>452</v>
      </c>
      <c r="I13" s="16" t="s">
        <v>18</v>
      </c>
      <c r="J13" s="14">
        <v>45599</v>
      </c>
      <c r="K13" s="12" t="s">
        <v>650</v>
      </c>
      <c r="L13" s="20">
        <f t="shared" ref="L13:L18" si="0">J13+7</f>
        <v>45606</v>
      </c>
      <c r="M13" s="14">
        <v>45610</v>
      </c>
      <c r="N13" s="92">
        <f t="shared" ref="N13:N18" si="1">M13-L13</f>
        <v>4</v>
      </c>
      <c r="O13" s="12" t="s">
        <v>685</v>
      </c>
      <c r="P13" s="16" t="s">
        <v>5</v>
      </c>
      <c r="Q13" s="20">
        <v>46092</v>
      </c>
      <c r="R13" s="12" t="s">
        <v>6008</v>
      </c>
      <c r="S13" s="20">
        <f>Q13+7</f>
        <v>46099</v>
      </c>
      <c r="T13" s="20">
        <v>46106</v>
      </c>
      <c r="U13" s="91">
        <f>T13-S13</f>
        <v>7</v>
      </c>
      <c r="V13" s="12" t="s">
        <v>6017</v>
      </c>
      <c r="W13" s="12"/>
      <c r="X13" s="20"/>
      <c r="Y13" s="12"/>
      <c r="Z13" s="12"/>
      <c r="AA13" s="20"/>
      <c r="AB13" s="20"/>
      <c r="AC13" s="12"/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259"/>
    </row>
    <row r="14" spans="1:58" s="381" customFormat="1" ht="42" customHeight="1" x14ac:dyDescent="0.25">
      <c r="A14" s="367">
        <v>730007</v>
      </c>
      <c r="B14" s="56" t="s">
        <v>5</v>
      </c>
      <c r="C14" s="56" t="s">
        <v>208</v>
      </c>
      <c r="D14" s="12" t="s">
        <v>2146</v>
      </c>
      <c r="E14" s="12" t="s">
        <v>2147</v>
      </c>
      <c r="F14" s="16" t="s">
        <v>2145</v>
      </c>
      <c r="G14" s="16" t="s">
        <v>179</v>
      </c>
      <c r="H14" s="10" t="s">
        <v>452</v>
      </c>
      <c r="I14" s="16" t="s">
        <v>18</v>
      </c>
      <c r="J14" s="14">
        <v>45682</v>
      </c>
      <c r="K14" s="12" t="s">
        <v>2148</v>
      </c>
      <c r="L14" s="20">
        <f t="shared" si="0"/>
        <v>45689</v>
      </c>
      <c r="M14" s="14">
        <v>45691</v>
      </c>
      <c r="N14" s="92">
        <f t="shared" si="1"/>
        <v>2</v>
      </c>
      <c r="O14" s="12" t="s">
        <v>2151</v>
      </c>
      <c r="P14" s="60" t="s">
        <v>5</v>
      </c>
      <c r="Q14" s="20">
        <v>45702</v>
      </c>
      <c r="R14" s="12" t="s">
        <v>2458</v>
      </c>
      <c r="S14" s="20">
        <f>Q14+7</f>
        <v>45709</v>
      </c>
      <c r="T14" s="20">
        <v>45714</v>
      </c>
      <c r="U14" s="91">
        <f>T14-S14</f>
        <v>5</v>
      </c>
      <c r="V14" s="12" t="s">
        <v>2490</v>
      </c>
      <c r="W14" s="12"/>
      <c r="X14" s="20"/>
      <c r="Y14" s="12"/>
      <c r="Z14" s="12"/>
      <c r="AA14" s="20"/>
      <c r="AB14" s="20"/>
      <c r="AC14" s="12"/>
      <c r="AD14" s="12"/>
      <c r="AE14" s="20"/>
      <c r="AF14" s="12"/>
      <c r="AG14" s="12"/>
      <c r="AH14" s="20"/>
      <c r="AI14" s="20"/>
      <c r="AJ14" s="12"/>
      <c r="AK14" s="10"/>
      <c r="AL14" s="14"/>
      <c r="AM14" s="12"/>
      <c r="AN14" s="12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/>
      <c r="BF14" s="259"/>
    </row>
    <row r="15" spans="1:58" s="381" customFormat="1" ht="42" customHeight="1" x14ac:dyDescent="0.25">
      <c r="A15" s="367">
        <v>730007</v>
      </c>
      <c r="B15" s="11" t="s">
        <v>5</v>
      </c>
      <c r="C15" s="56" t="s">
        <v>208</v>
      </c>
      <c r="D15" s="12" t="s">
        <v>4064</v>
      </c>
      <c r="E15" s="12" t="s">
        <v>4065</v>
      </c>
      <c r="F15" s="16" t="s">
        <v>4066</v>
      </c>
      <c r="G15" s="16" t="s">
        <v>179</v>
      </c>
      <c r="H15" s="10" t="s">
        <v>452</v>
      </c>
      <c r="I15" s="11" t="s">
        <v>5</v>
      </c>
      <c r="J15" s="14">
        <v>45899</v>
      </c>
      <c r="K15" s="12" t="s">
        <v>4067</v>
      </c>
      <c r="L15" s="20">
        <f t="shared" si="0"/>
        <v>45906</v>
      </c>
      <c r="M15" s="14">
        <v>45908</v>
      </c>
      <c r="N15" s="92">
        <f t="shared" si="1"/>
        <v>2</v>
      </c>
      <c r="O15" s="12" t="s">
        <v>4077</v>
      </c>
      <c r="P15" s="16" t="s">
        <v>4</v>
      </c>
      <c r="Q15" s="20">
        <v>46189</v>
      </c>
      <c r="R15" s="12" t="s">
        <v>7004</v>
      </c>
      <c r="S15" s="20">
        <f>Q15+7</f>
        <v>46196</v>
      </c>
      <c r="T15" s="20"/>
      <c r="U15" s="91">
        <f>T15-S15</f>
        <v>-46196</v>
      </c>
      <c r="V15" s="12" t="s">
        <v>7022</v>
      </c>
      <c r="W15" s="12"/>
      <c r="X15" s="20"/>
      <c r="Y15" s="12"/>
      <c r="Z15" s="12"/>
      <c r="AA15" s="20"/>
      <c r="AB15" s="20"/>
      <c r="AC15" s="12"/>
      <c r="AD15" s="12"/>
      <c r="AE15" s="20"/>
      <c r="AF15" s="12"/>
      <c r="AG15" s="12"/>
      <c r="AH15" s="20"/>
      <c r="AI15" s="20"/>
      <c r="AJ15" s="12"/>
      <c r="AK15" s="10"/>
      <c r="AL15" s="14"/>
      <c r="AM15" s="12"/>
      <c r="AN15" s="12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2"/>
      <c r="BF15" s="259"/>
    </row>
    <row r="16" spans="1:58" s="381" customFormat="1" ht="42" customHeight="1" x14ac:dyDescent="0.25">
      <c r="A16" s="367">
        <v>730007</v>
      </c>
      <c r="B16" s="11" t="s">
        <v>5</v>
      </c>
      <c r="C16" s="56" t="s">
        <v>54</v>
      </c>
      <c r="D16" s="12" t="s">
        <v>4697</v>
      </c>
      <c r="E16" s="12" t="s">
        <v>4698</v>
      </c>
      <c r="F16" s="16" t="s">
        <v>4696</v>
      </c>
      <c r="G16" s="16" t="s">
        <v>179</v>
      </c>
      <c r="H16" s="10" t="s">
        <v>452</v>
      </c>
      <c r="I16" s="16" t="s">
        <v>5</v>
      </c>
      <c r="J16" s="14">
        <v>45964</v>
      </c>
      <c r="K16" s="12" t="s">
        <v>4699</v>
      </c>
      <c r="L16" s="20">
        <f t="shared" si="0"/>
        <v>45971</v>
      </c>
      <c r="M16" s="14">
        <v>45972</v>
      </c>
      <c r="N16" s="92">
        <f t="shared" si="1"/>
        <v>1</v>
      </c>
      <c r="O16" s="12" t="s">
        <v>4740</v>
      </c>
      <c r="P16" s="16"/>
      <c r="Q16" s="20"/>
      <c r="R16" s="12"/>
      <c r="S16" s="12"/>
      <c r="T16" s="20"/>
      <c r="U16" s="91"/>
      <c r="V16" s="12"/>
      <c r="W16" s="12"/>
      <c r="X16" s="20"/>
      <c r="Y16" s="12"/>
      <c r="Z16" s="12"/>
      <c r="AA16" s="20"/>
      <c r="AB16" s="20"/>
      <c r="AC16" s="12"/>
      <c r="AD16" s="12"/>
      <c r="AE16" s="20"/>
      <c r="AF16" s="12"/>
      <c r="AG16" s="12"/>
      <c r="AH16" s="20"/>
      <c r="AI16" s="20"/>
      <c r="AJ16" s="12"/>
      <c r="AK16" s="10"/>
      <c r="AL16" s="14"/>
      <c r="AM16" s="12"/>
      <c r="AN16" s="12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2"/>
      <c r="BF16" s="259"/>
    </row>
    <row r="17" spans="1:58" s="381" customFormat="1" ht="42" customHeight="1" x14ac:dyDescent="0.25">
      <c r="A17" s="367">
        <v>730007</v>
      </c>
      <c r="B17" s="16" t="s">
        <v>5</v>
      </c>
      <c r="C17" s="56" t="s">
        <v>208</v>
      </c>
      <c r="D17" s="12" t="s">
        <v>6351</v>
      </c>
      <c r="E17" s="12" t="s">
        <v>6352</v>
      </c>
      <c r="F17" s="16" t="s">
        <v>6353</v>
      </c>
      <c r="G17" s="16" t="s">
        <v>179</v>
      </c>
      <c r="H17" s="10" t="s">
        <v>452</v>
      </c>
      <c r="I17" s="16" t="s">
        <v>3</v>
      </c>
      <c r="J17" s="14">
        <v>46125</v>
      </c>
      <c r="K17" s="12" t="s">
        <v>6354</v>
      </c>
      <c r="L17" s="20">
        <f t="shared" si="0"/>
        <v>46132</v>
      </c>
      <c r="M17" s="14">
        <v>46132</v>
      </c>
      <c r="N17" s="92">
        <f t="shared" si="1"/>
        <v>0</v>
      </c>
      <c r="O17" s="12" t="s">
        <v>6380</v>
      </c>
      <c r="P17" s="16" t="s">
        <v>5</v>
      </c>
      <c r="Q17" s="20">
        <v>46139</v>
      </c>
      <c r="R17" s="12" t="s">
        <v>6547</v>
      </c>
      <c r="S17" s="20">
        <f>Q17+7</f>
        <v>46146</v>
      </c>
      <c r="T17" s="20">
        <v>46146</v>
      </c>
      <c r="U17" s="91">
        <f>T17-S17</f>
        <v>0</v>
      </c>
      <c r="V17" s="12" t="s">
        <v>6557</v>
      </c>
      <c r="W17" s="12"/>
      <c r="X17" s="20"/>
      <c r="Y17" s="12"/>
      <c r="Z17" s="12"/>
      <c r="AA17" s="20"/>
      <c r="AB17" s="20"/>
      <c r="AC17" s="12"/>
      <c r="AD17" s="12"/>
      <c r="AE17" s="20"/>
      <c r="AF17" s="12"/>
      <c r="AG17" s="12"/>
      <c r="AH17" s="20"/>
      <c r="AI17" s="20"/>
      <c r="AJ17" s="12"/>
      <c r="AK17" s="10"/>
      <c r="AL17" s="14"/>
      <c r="AM17" s="12"/>
      <c r="AN17" s="12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2"/>
      <c r="BF17" s="259"/>
    </row>
    <row r="18" spans="1:58" s="381" customFormat="1" ht="42" customHeight="1" x14ac:dyDescent="0.25">
      <c r="A18" s="367">
        <v>730007</v>
      </c>
      <c r="B18" s="16" t="s">
        <v>5</v>
      </c>
      <c r="C18" s="56" t="s">
        <v>54</v>
      </c>
      <c r="D18" s="12" t="s">
        <v>6685</v>
      </c>
      <c r="E18" s="12" t="s">
        <v>6692</v>
      </c>
      <c r="F18" s="16" t="s">
        <v>6686</v>
      </c>
      <c r="G18" s="16" t="s">
        <v>179</v>
      </c>
      <c r="H18" s="10" t="s">
        <v>452</v>
      </c>
      <c r="I18" s="16" t="s">
        <v>5</v>
      </c>
      <c r="J18" s="14">
        <v>46148</v>
      </c>
      <c r="K18" s="12"/>
      <c r="L18" s="20">
        <f t="shared" si="0"/>
        <v>46155</v>
      </c>
      <c r="M18" s="14">
        <v>46159</v>
      </c>
      <c r="N18" s="92">
        <f t="shared" si="1"/>
        <v>4</v>
      </c>
      <c r="O18" s="12" t="s">
        <v>6693</v>
      </c>
      <c r="P18" s="16"/>
      <c r="Q18" s="20"/>
      <c r="R18" s="12"/>
      <c r="S18" s="20"/>
      <c r="T18" s="20"/>
      <c r="U18" s="91"/>
      <c r="V18" s="12"/>
      <c r="W18" s="12"/>
      <c r="X18" s="20"/>
      <c r="Y18" s="12"/>
      <c r="Z18" s="12"/>
      <c r="AA18" s="20"/>
      <c r="AB18" s="20"/>
      <c r="AC18" s="12"/>
      <c r="AD18" s="12"/>
      <c r="AE18" s="20"/>
      <c r="AF18" s="12"/>
      <c r="AG18" s="12"/>
      <c r="AH18" s="20"/>
      <c r="AI18" s="20"/>
      <c r="AJ18" s="12"/>
      <c r="AK18" s="10"/>
      <c r="AL18" s="14"/>
      <c r="AM18" s="12"/>
      <c r="AN18" s="12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2"/>
      <c r="BF18" s="259"/>
    </row>
    <row r="19" spans="1:58" s="381" customFormat="1" ht="42" customHeight="1" thickBot="1" x14ac:dyDescent="0.3">
      <c r="A19" s="369"/>
      <c r="B19" s="262"/>
      <c r="C19" s="444"/>
      <c r="D19" s="370"/>
      <c r="E19" s="370"/>
      <c r="F19" s="262"/>
      <c r="G19" s="262"/>
      <c r="H19" s="263"/>
      <c r="I19" s="262"/>
      <c r="J19" s="474"/>
      <c r="K19" s="370"/>
      <c r="L19" s="476"/>
      <c r="M19" s="474"/>
      <c r="N19" s="425"/>
      <c r="O19" s="370"/>
      <c r="P19" s="262"/>
      <c r="Q19" s="476"/>
      <c r="R19" s="370"/>
      <c r="S19" s="476"/>
      <c r="T19" s="476"/>
      <c r="U19" s="481"/>
      <c r="V19" s="370"/>
      <c r="W19" s="370"/>
      <c r="X19" s="476"/>
      <c r="Y19" s="370"/>
      <c r="Z19" s="370"/>
      <c r="AA19" s="476"/>
      <c r="AB19" s="476"/>
      <c r="AC19" s="370"/>
      <c r="AD19" s="370"/>
      <c r="AE19" s="476"/>
      <c r="AF19" s="370"/>
      <c r="AG19" s="370"/>
      <c r="AH19" s="476"/>
      <c r="AI19" s="476"/>
      <c r="AJ19" s="370"/>
      <c r="AK19" s="263"/>
      <c r="AL19" s="474"/>
      <c r="AM19" s="370"/>
      <c r="AN19" s="370"/>
      <c r="AO19" s="474"/>
      <c r="AP19" s="474"/>
      <c r="AQ19" s="474"/>
      <c r="AR19" s="474"/>
      <c r="AS19" s="474"/>
      <c r="AT19" s="474"/>
      <c r="AU19" s="474"/>
      <c r="AV19" s="474"/>
      <c r="AW19" s="474"/>
      <c r="AX19" s="474"/>
      <c r="AY19" s="474"/>
      <c r="AZ19" s="474"/>
      <c r="BA19" s="474"/>
      <c r="BB19" s="474"/>
      <c r="BC19" s="474"/>
      <c r="BD19" s="474"/>
      <c r="BE19" s="370"/>
      <c r="BF19" s="266"/>
    </row>
  </sheetData>
  <autoFilter ref="A11:BF11" xr:uid="{00000000-0001-0000-1E00-000000000000}"/>
  <mergeCells count="18">
    <mergeCell ref="A10:A11"/>
    <mergeCell ref="H1:H2"/>
    <mergeCell ref="I1:I2"/>
    <mergeCell ref="G10:G11"/>
    <mergeCell ref="B10:B11"/>
    <mergeCell ref="C10:C11"/>
    <mergeCell ref="D10:D11"/>
    <mergeCell ref="E10:E11"/>
    <mergeCell ref="F10:F11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0:A19">
    <cfRule type="cellIs" dxfId="1526" priority="1" operator="equal">
      <formula>"E - Review not Required - Proceed"</formula>
    </cfRule>
    <cfRule type="cellIs" dxfId="1525" priority="2" operator="equal">
      <formula>"D - Rejected"</formula>
    </cfRule>
    <cfRule type="cellIs" dxfId="1524" priority="3" operator="equal">
      <formula>"B- Incorporate Comments - Proceed"</formula>
    </cfRule>
    <cfRule type="cellIs" dxfId="1523" priority="4" operator="equal">
      <formula>"C - Revise and Resubmit - Do Not Proceed"</formula>
    </cfRule>
    <cfRule type="cellIs" dxfId="1522" priority="5" operator="equal">
      <formula>"A - Work May Proceed"</formula>
    </cfRule>
  </conditionalFormatting>
  <conditionalFormatting sqref="D11:BE11 B1:G2 B3:H4 B9:H9 B11">
    <cfRule type="cellIs" dxfId="1521" priority="60" operator="equal">
      <formula>"A - Work May Proceed"</formula>
    </cfRule>
    <cfRule type="cellIs" dxfId="1520" priority="59" operator="equal">
      <formula>"C - Revise and Resubmit - Do Not Proceed"</formula>
    </cfRule>
    <cfRule type="cellIs" dxfId="1519" priority="58" operator="equal">
      <formula>"B- Incorporate Comments - Proceed"</formula>
    </cfRule>
    <cfRule type="cellIs" dxfId="1518" priority="57" operator="equal">
      <formula>"D - Rejected"</formula>
    </cfRule>
    <cfRule type="cellIs" dxfId="1517" priority="56" operator="equal">
      <formula>"E - Review not Required - Proceed"</formula>
    </cfRule>
  </conditionalFormatting>
  <conditionalFormatting sqref="I11">
    <cfRule type="cellIs" dxfId="1516" priority="129" operator="between">
      <formula>"E - Review not Required - Proceed"</formula>
      <formula>"E - Review not Required - Proceed"</formula>
    </cfRule>
    <cfRule type="cellIs" dxfId="1515" priority="128" operator="equal">
      <formula>"E - Review Not Required - Proceed"</formula>
    </cfRule>
    <cfRule type="cellIs" dxfId="1514" priority="127" operator="equal">
      <formula>"B - Incorporate Comments - Proceed "</formula>
    </cfRule>
    <cfRule type="cellIs" dxfId="1513" priority="126" operator="equal">
      <formula>"For Information"</formula>
    </cfRule>
    <cfRule type="cellIs" dxfId="1512" priority="139" operator="between">
      <formula>"C - Revise and Resubmit - Do Not Proceed"</formula>
      <formula>"C - Revise and Resubmit - Do Not Proceed"</formula>
    </cfRule>
    <cfRule type="cellIs" dxfId="1511" priority="125" operator="equal">
      <formula>"B - Incorporate Comments - Proceed"</formula>
    </cfRule>
    <cfRule type="cellIs" dxfId="1510" priority="130" operator="between">
      <formula>"'D - Rejected "</formula>
      <formula>"'D - Rejected "</formula>
    </cfRule>
    <cfRule type="cellIs" dxfId="1509" priority="138" operator="between">
      <formula>"A - Work May Proceed"</formula>
      <formula>"A - Work May Proceed"</formula>
    </cfRule>
    <cfRule type="cellIs" dxfId="1508" priority="137" operator="between">
      <formula>"CANCELLED"</formula>
      <formula>"CANCELLED"</formula>
    </cfRule>
    <cfRule type="cellIs" dxfId="1507" priority="136" operator="between">
      <formula>"D - Rejected "</formula>
      <formula>"D - Rejected "</formula>
    </cfRule>
    <cfRule type="cellIs" dxfId="1506" priority="140" stopIfTrue="1" operator="between">
      <formula>"B - Incorporate Comments - Proceed "</formula>
      <formula>"B - Incorporate Comments - Proceed "</formula>
    </cfRule>
    <cfRule type="cellIs" dxfId="1505" priority="135" operator="between">
      <formula>"E - Review not Required - Proceed"</formula>
      <formula>"E - Review not Required - Proceed"</formula>
    </cfRule>
    <cfRule type="cellIs" dxfId="1504" priority="134" operator="between">
      <formula>"B - Incorporate Comments - Proceed"</formula>
      <formula>"B - Incorporate Comments - Proceed"</formula>
    </cfRule>
    <cfRule type="cellIs" dxfId="1503" priority="133" operator="between">
      <formula>"A - Work May Proceed"</formula>
      <formula>"A - Work May Proceed"</formula>
    </cfRule>
    <cfRule type="cellIs" dxfId="1502" priority="132" operator="between">
      <formula>"B - Incorporate Comments - Proceed"</formula>
      <formula>"B - Incorporate Comments - Proceed"</formula>
    </cfRule>
    <cfRule type="cellIs" dxfId="1501" priority="131" operator="between">
      <formula>"C - Revise and Resubmit - Do Not Proceed"</formula>
      <formula>"C - Revise and Resubmit - Do Not Proceed"</formula>
    </cfRule>
  </conditionalFormatting>
  <conditionalFormatting sqref="J5:J6 B5:I7 B8:J8">
    <cfRule type="cellIs" dxfId="1500" priority="6" operator="equal">
      <formula>"E - Review not Required - Proceed"</formula>
    </cfRule>
    <cfRule type="cellIs" dxfId="1499" priority="7" operator="equal">
      <formula>"D - Rejected"</formula>
    </cfRule>
    <cfRule type="cellIs" dxfId="1498" priority="8" operator="equal">
      <formula>"B- Incorporate Comments - Proceed"</formula>
    </cfRule>
    <cfRule type="cellIs" dxfId="1497" priority="9" operator="equal">
      <formula>"C - Revise and Resubmit - Do Not Proceed"</formula>
    </cfRule>
    <cfRule type="cellIs" dxfId="1496" priority="10" stopIfTrue="1" operator="equal">
      <formula>"A - Work May Proceed"</formula>
    </cfRule>
  </conditionalFormatting>
  <conditionalFormatting sqref="P11">
    <cfRule type="cellIs" dxfId="1495" priority="111" operator="equal">
      <formula>"B - Incorporate Comments - Proceed "</formula>
    </cfRule>
    <cfRule type="cellIs" dxfId="1494" priority="121" operator="between">
      <formula>"CANCELLED"</formula>
      <formula>"CANCELLED"</formula>
    </cfRule>
    <cfRule type="cellIs" dxfId="1493" priority="122" operator="between">
      <formula>"A - Work May Proceed"</formula>
      <formula>"A - Work May Proceed"</formula>
    </cfRule>
    <cfRule type="cellIs" dxfId="1492" priority="124" stopIfTrue="1" operator="between">
      <formula>"B - Incorporate Comments - Proceed "</formula>
      <formula>"B - Incorporate Comments - Proceed "</formula>
    </cfRule>
    <cfRule type="cellIs" dxfId="1491" priority="115" operator="between">
      <formula>"C - Revise and Resubmit - Do Not Proceed"</formula>
      <formula>"C - Revise and Resubmit - Do Not Proceed"</formula>
    </cfRule>
    <cfRule type="cellIs" dxfId="1490" priority="114" operator="between">
      <formula>"'D - Rejected "</formula>
      <formula>"'D - Rejected "</formula>
    </cfRule>
    <cfRule type="cellIs" dxfId="1489" priority="123" operator="between">
      <formula>"C - Revise and Resubmit - Do Not Proceed"</formula>
      <formula>"C - Revise and Resubmit - Do Not Proceed"</formula>
    </cfRule>
    <cfRule type="cellIs" dxfId="1488" priority="113" operator="between">
      <formula>"E - Review not Required - Proceed"</formula>
      <formula>"E - Review not Required - Proceed"</formula>
    </cfRule>
    <cfRule type="cellIs" dxfId="1487" priority="112" operator="equal">
      <formula>"E - Review Not Required - Proceed"</formula>
    </cfRule>
    <cfRule type="cellIs" dxfId="1486" priority="110" operator="equal">
      <formula>"For Information"</formula>
    </cfRule>
    <cfRule type="cellIs" dxfId="1485" priority="109" operator="equal">
      <formula>"B - Incorporate Comments - Proceed"</formula>
    </cfRule>
    <cfRule type="cellIs" dxfId="1484" priority="119" operator="between">
      <formula>"E - Review not Required - Proceed"</formula>
      <formula>"E - Review not Required - Proceed"</formula>
    </cfRule>
    <cfRule type="cellIs" dxfId="1483" priority="116" operator="between">
      <formula>"B - Incorporate Comments - Proceed"</formula>
      <formula>"B - Incorporate Comments - Proceed"</formula>
    </cfRule>
    <cfRule type="cellIs" dxfId="1482" priority="117" operator="between">
      <formula>"A - Work May Proceed"</formula>
      <formula>"A - Work May Proceed"</formula>
    </cfRule>
    <cfRule type="cellIs" dxfId="1481" priority="118" operator="between">
      <formula>"B - Incorporate Comments - Proceed"</formula>
      <formula>"B - Incorporate Comments - Proceed"</formula>
    </cfRule>
    <cfRule type="cellIs" dxfId="1480" priority="120" operator="between">
      <formula>"D - Rejected "</formula>
      <formula>"D - Rejected "</formula>
    </cfRule>
  </conditionalFormatting>
  <conditionalFormatting sqref="W11">
    <cfRule type="cellIs" dxfId="1479" priority="106" operator="between">
      <formula>"A - Work May Proceed"</formula>
      <formula>"A - Work May Proceed"</formula>
    </cfRule>
    <cfRule type="cellIs" dxfId="1478" priority="95" operator="equal">
      <formula>"B - Incorporate Comments - Proceed "</formula>
    </cfRule>
    <cfRule type="cellIs" dxfId="1477" priority="96" operator="equal">
      <formula>"E - Review Not Required - Proceed"</formula>
    </cfRule>
    <cfRule type="cellIs" dxfId="1476" priority="108" stopIfTrue="1" operator="between">
      <formula>"B - Incorporate Comments - Proceed "</formula>
      <formula>"B - Incorporate Comments - Proceed "</formula>
    </cfRule>
    <cfRule type="cellIs" dxfId="1475" priority="107" operator="between">
      <formula>"C - Revise and Resubmit - Do Not Proceed"</formula>
      <formula>"C - Revise and Resubmit - Do Not Proceed"</formula>
    </cfRule>
    <cfRule type="cellIs" dxfId="1474" priority="105" operator="between">
      <formula>"CANCELLED"</formula>
      <formula>"CANCELLED"</formula>
    </cfRule>
    <cfRule type="cellIs" dxfId="1473" priority="104" operator="between">
      <formula>"D - Rejected "</formula>
      <formula>"D - Rejected "</formula>
    </cfRule>
    <cfRule type="cellIs" dxfId="1472" priority="103" operator="between">
      <formula>"E - Review not Required - Proceed"</formula>
      <formula>"E - Review not Required - Proceed"</formula>
    </cfRule>
    <cfRule type="cellIs" dxfId="1471" priority="102" operator="between">
      <formula>"B - Incorporate Comments - Proceed"</formula>
      <formula>"B - Incorporate Comments - Proceed"</formula>
    </cfRule>
    <cfRule type="cellIs" dxfId="1470" priority="101" operator="between">
      <formula>"A - Work May Proceed"</formula>
      <formula>"A - Work May Proceed"</formula>
    </cfRule>
    <cfRule type="cellIs" dxfId="1469" priority="100" operator="between">
      <formula>"B - Incorporate Comments - Proceed"</formula>
      <formula>"B - Incorporate Comments - Proceed"</formula>
    </cfRule>
    <cfRule type="cellIs" dxfId="1468" priority="93" operator="equal">
      <formula>"B - Incorporate Comments - Proceed"</formula>
    </cfRule>
    <cfRule type="cellIs" dxfId="1467" priority="94" operator="equal">
      <formula>"For Information"</formula>
    </cfRule>
    <cfRule type="cellIs" dxfId="1466" priority="99" operator="between">
      <formula>"C - Revise and Resubmit - Do Not Proceed"</formula>
      <formula>"C - Revise and Resubmit - Do Not Proceed"</formula>
    </cfRule>
    <cfRule type="cellIs" dxfId="1465" priority="98" operator="between">
      <formula>"'D - Rejected "</formula>
      <formula>"'D - Rejected "</formula>
    </cfRule>
    <cfRule type="cellIs" dxfId="1464" priority="97" operator="between">
      <formula>"E - Review not Required - Proceed"</formula>
      <formula>"E - Review not Required - Proceed"</formula>
    </cfRule>
  </conditionalFormatting>
  <conditionalFormatting sqref="W1:BF9 B10:BF10 B12:BF19">
    <cfRule type="cellIs" dxfId="1463" priority="13" operator="equal">
      <formula>"B- Incorporate Comments - Proceed"</formula>
    </cfRule>
    <cfRule type="cellIs" dxfId="1462" priority="14" operator="equal">
      <formula>"C - Revise and Resubmit - Do Not Proceed"</formula>
    </cfRule>
    <cfRule type="cellIs" dxfId="1461" priority="12" operator="equal">
      <formula>"D - Rejected"</formula>
    </cfRule>
    <cfRule type="cellIs" dxfId="1460" priority="11" operator="equal">
      <formula>"E - Review not Required - Proceed"</formula>
    </cfRule>
    <cfRule type="cellIs" dxfId="1459" priority="15" operator="equal">
      <formula>"A - Work May Proceed"</formula>
    </cfRule>
  </conditionalFormatting>
  <conditionalFormatting sqref="AD11">
    <cfRule type="cellIs" dxfId="1458" priority="84" operator="between">
      <formula>"B - Incorporate Comments - Proceed"</formula>
      <formula>"B - Incorporate Comments - Proceed"</formula>
    </cfRule>
    <cfRule type="cellIs" dxfId="1457" priority="85" operator="between">
      <formula>"A - Work May Proceed"</formula>
      <formula>"A - Work May Proceed"</formula>
    </cfRule>
    <cfRule type="cellIs" dxfId="1456" priority="86" operator="between">
      <formula>"B - Incorporate Comments - Proceed"</formula>
      <formula>"B - Incorporate Comments - Proceed"</formula>
    </cfRule>
    <cfRule type="cellIs" dxfId="1455" priority="87" operator="between">
      <formula>"E - Review not Required - Proceed"</formula>
      <formula>"E - Review not Required - Proceed"</formula>
    </cfRule>
    <cfRule type="cellIs" dxfId="1454" priority="92" stopIfTrue="1" operator="between">
      <formula>"B - Incorporate Comments - Proceed "</formula>
      <formula>"B - Incorporate Comments - Proceed "</formula>
    </cfRule>
    <cfRule type="cellIs" dxfId="1453" priority="89" operator="between">
      <formula>"CANCELLED"</formula>
      <formula>"CANCELLED"</formula>
    </cfRule>
    <cfRule type="cellIs" dxfId="1452" priority="91" operator="between">
      <formula>"C - Revise and Resubmit - Do Not Proceed"</formula>
      <formula>"C - Revise and Resubmit - Do Not Proceed"</formula>
    </cfRule>
    <cfRule type="cellIs" dxfId="1451" priority="90" operator="between">
      <formula>"A - Work May Proceed"</formula>
      <formula>"A - Work May Proceed"</formula>
    </cfRule>
    <cfRule type="cellIs" dxfId="1450" priority="77" operator="equal">
      <formula>"B - Incorporate Comments - Proceed"</formula>
    </cfRule>
    <cfRule type="cellIs" dxfId="1449" priority="88" operator="between">
      <formula>"D - Rejected "</formula>
      <formula>"D - Rejected "</formula>
    </cfRule>
    <cfRule type="cellIs" dxfId="1448" priority="78" operator="equal">
      <formula>"For Information"</formula>
    </cfRule>
    <cfRule type="cellIs" dxfId="1447" priority="79" operator="equal">
      <formula>"B - Incorporate Comments - Proceed "</formula>
    </cfRule>
    <cfRule type="cellIs" dxfId="1446" priority="80" operator="equal">
      <formula>"E - Review Not Required - Proceed"</formula>
    </cfRule>
    <cfRule type="cellIs" dxfId="1445" priority="82" operator="between">
      <formula>"'D - Rejected "</formula>
      <formula>"'D - Rejected "</formula>
    </cfRule>
    <cfRule type="cellIs" dxfId="1444" priority="81" operator="between">
      <formula>"E - Review not Required - Proceed"</formula>
      <formula>"E - Review not Required - Proceed"</formula>
    </cfRule>
    <cfRule type="cellIs" dxfId="1443" priority="83" operator="between">
      <formula>"C - Revise and Resubmit - Do Not Proceed"</formula>
      <formula>"C - Revise and Resubmit - Do Not Proceed"</formula>
    </cfRule>
  </conditionalFormatting>
  <conditionalFormatting sqref="AK11">
    <cfRule type="cellIs" dxfId="1442" priority="69" operator="between">
      <formula>"A - Work May Proceed"</formula>
      <formula>"A - Work May Proceed"</formula>
    </cfRule>
    <cfRule type="cellIs" dxfId="1441" priority="70" operator="between">
      <formula>"B - Incorporate Comments - Proceed"</formula>
      <formula>"B - Incorporate Comments - Proceed"</formula>
    </cfRule>
    <cfRule type="cellIs" dxfId="1440" priority="71" operator="between">
      <formula>"E - Review not Required - Proceed"</formula>
      <formula>"E - Review not Required - Proceed"</formula>
    </cfRule>
    <cfRule type="cellIs" dxfId="1439" priority="72" operator="between">
      <formula>"D - Rejected "</formula>
      <formula>"D - Rejected "</formula>
    </cfRule>
    <cfRule type="cellIs" dxfId="1438" priority="73" operator="between">
      <formula>"CANCELLED"</formula>
      <formula>"CANCELLED"</formula>
    </cfRule>
    <cfRule type="cellIs" dxfId="1437" priority="74" operator="between">
      <formula>"A - Work May Proceed"</formula>
      <formula>"A - Work May Proceed"</formula>
    </cfRule>
    <cfRule type="cellIs" dxfId="1436" priority="75" operator="between">
      <formula>"C - Revise and Resubmit - Do Not Proceed"</formula>
      <formula>"C - Revise and Resubmit - Do Not Proceed"</formula>
    </cfRule>
    <cfRule type="cellIs" dxfId="1435" priority="76" stopIfTrue="1" operator="between">
      <formula>"B - Incorporate Comments - Proceed "</formula>
      <formula>"B - Incorporate Comments - Proceed "</formula>
    </cfRule>
    <cfRule type="cellIs" dxfId="1434" priority="61" operator="equal">
      <formula>"B - Incorporate Comments - Proceed"</formula>
    </cfRule>
    <cfRule type="cellIs" dxfId="1433" priority="62" operator="equal">
      <formula>"For Information"</formula>
    </cfRule>
    <cfRule type="cellIs" dxfId="1432" priority="63" operator="equal">
      <formula>"B - Incorporate Comments - Proceed "</formula>
    </cfRule>
    <cfRule type="cellIs" dxfId="1431" priority="64" operator="equal">
      <formula>"E - Review Not Required - Proceed"</formula>
    </cfRule>
    <cfRule type="cellIs" dxfId="1430" priority="65" operator="between">
      <formula>"E - Review not Required - Proceed"</formula>
      <formula>"E - Review not Required - Proceed"</formula>
    </cfRule>
    <cfRule type="cellIs" dxfId="1429" priority="66" operator="between">
      <formula>"'D - Rejected "</formula>
      <formula>"'D - Rejected "</formula>
    </cfRule>
    <cfRule type="cellIs" dxfId="1428" priority="67" operator="between">
      <formula>"C - Revise and Resubmit - Do Not Proceed"</formula>
      <formula>"C - Revise and Resubmit - Do Not Proceed"</formula>
    </cfRule>
    <cfRule type="cellIs" dxfId="1427" priority="68" operator="between">
      <formula>"B - Incorporate Comments - Proceed"</formula>
      <formula>"B - Incorporate Comments - Proceed"</formula>
    </cfRule>
  </conditionalFormatting>
  <conditionalFormatting sqref="AR11">
    <cfRule type="cellIs" dxfId="1426" priority="31" operator="between">
      <formula>"D - Rejected "</formula>
      <formula>"D - Rejected "</formula>
    </cfRule>
    <cfRule type="cellIs" dxfId="1425" priority="30" operator="between">
      <formula>"E - Review not Required - Proceed"</formula>
      <formula>"E - Review not Required - Proceed"</formula>
    </cfRule>
    <cfRule type="cellIs" dxfId="1424" priority="29" operator="between">
      <formula>"B - Incorporate Comments - Proceed"</formula>
      <formula>"B - Incorporate Comments - Proceed"</formula>
    </cfRule>
    <cfRule type="cellIs" dxfId="1423" priority="28" operator="between">
      <formula>"A - Work May Proceed"</formula>
      <formula>"A - Work May Proceed"</formula>
    </cfRule>
    <cfRule type="cellIs" dxfId="1422" priority="27" operator="between">
      <formula>"B - Incorporate Comments - Proceed"</formula>
      <formula>"B - Incorporate Comments - Proceed"</formula>
    </cfRule>
    <cfRule type="cellIs" dxfId="1421" priority="26" operator="between">
      <formula>"C - Revise and Resubmit - Do Not Proceed"</formula>
      <formula>"C - Revise and Resubmit - Do Not Proceed"</formula>
    </cfRule>
    <cfRule type="cellIs" dxfId="1420" priority="25" operator="between">
      <formula>"'D - Rejected "</formula>
      <formula>"'D - Rejected "</formula>
    </cfRule>
    <cfRule type="cellIs" dxfId="1419" priority="24" operator="between">
      <formula>"E - Review not Required - Proceed"</formula>
      <formula>"E - Review not Required - Proceed"</formula>
    </cfRule>
    <cfRule type="cellIs" dxfId="1418" priority="23" operator="equal">
      <formula>"E - Review Not Required - Proceed"</formula>
    </cfRule>
    <cfRule type="cellIs" dxfId="1417" priority="22" operator="equal">
      <formula>"B - Incorporate Comments - Proceed "</formula>
    </cfRule>
    <cfRule type="cellIs" dxfId="1416" priority="21" operator="equal">
      <formula>"For Information"</formula>
    </cfRule>
    <cfRule type="cellIs" dxfId="1415" priority="20" operator="equal">
      <formula>"A - Work May Proceed"</formula>
    </cfRule>
    <cfRule type="cellIs" dxfId="1414" priority="19" operator="equal">
      <formula>"C - Revise and Resubmit - Do Not Proceed"</formula>
    </cfRule>
    <cfRule type="cellIs" dxfId="1413" priority="17" operator="equal">
      <formula>"D - Rejected"</formula>
    </cfRule>
    <cfRule type="cellIs" dxfId="1412" priority="16" operator="equal">
      <formula>"E - Review not Required - Proceed"</formula>
    </cfRule>
    <cfRule type="cellIs" dxfId="1411" priority="32" operator="between">
      <formula>"CANCELLED"</formula>
      <formula>"CANCELLED"</formula>
    </cfRule>
    <cfRule type="cellIs" dxfId="1410" priority="18" operator="equal">
      <formula>"B - Incorporate Comments - Proceed"</formula>
    </cfRule>
    <cfRule type="cellIs" dxfId="1409" priority="35" stopIfTrue="1" operator="between">
      <formula>"B - Incorporate Comments - Proceed "</formula>
      <formula>"B - Incorporate Comments - Proceed "</formula>
    </cfRule>
    <cfRule type="cellIs" dxfId="1408" priority="34" operator="between">
      <formula>"C - Revise and Resubmit - Do Not Proceed"</formula>
      <formula>"C - Revise and Resubmit - Do Not Proceed"</formula>
    </cfRule>
    <cfRule type="cellIs" dxfId="1407" priority="33" operator="between">
      <formula>"A - Work May Proceed"</formula>
      <formula>"A - Work May Proceed"</formula>
    </cfRule>
  </conditionalFormatting>
  <conditionalFormatting sqref="AY11">
    <cfRule type="cellIs" dxfId="1406" priority="55" stopIfTrue="1" operator="between">
      <formula>"B - Incorporate Comments - Proceed "</formula>
      <formula>"B - Incorporate Comments - Proceed "</formula>
    </cfRule>
    <cfRule type="cellIs" dxfId="1405" priority="53" operator="between">
      <formula>"A - Work May Proceed"</formula>
      <formula>"A - Work May Proceed"</formula>
    </cfRule>
    <cfRule type="cellIs" dxfId="1404" priority="52" operator="between">
      <formula>"CANCELLED"</formula>
      <formula>"CANCELLED"</formula>
    </cfRule>
    <cfRule type="cellIs" dxfId="1403" priority="51" operator="between">
      <formula>"D - Rejected "</formula>
      <formula>"D - Rejected "</formula>
    </cfRule>
    <cfRule type="cellIs" dxfId="1402" priority="50" operator="between">
      <formula>"E - Review not Required - Proceed"</formula>
      <formula>"E - Review not Required - Proceed"</formula>
    </cfRule>
    <cfRule type="cellIs" dxfId="1401" priority="45" operator="between">
      <formula>"'D - Rejected "</formula>
      <formula>"'D - Rejected "</formula>
    </cfRule>
    <cfRule type="cellIs" dxfId="1400" priority="44" operator="between">
      <formula>"E - Review not Required - Proceed"</formula>
      <formula>"E - Review not Required - Proceed"</formula>
    </cfRule>
    <cfRule type="cellIs" dxfId="1399" priority="54" operator="between">
      <formula>"C - Revise and Resubmit - Do Not Proceed"</formula>
      <formula>"C - Revise and Resubmit - Do Not Proceed"</formula>
    </cfRule>
    <cfRule type="cellIs" dxfId="1398" priority="43" operator="equal">
      <formula>"E - Review Not Required - Proceed"</formula>
    </cfRule>
    <cfRule type="cellIs" dxfId="1397" priority="42" operator="equal">
      <formula>"B - Incorporate Comments - Proceed "</formula>
    </cfRule>
    <cfRule type="cellIs" dxfId="1396" priority="41" operator="equal">
      <formula>"For Information"</formula>
    </cfRule>
    <cfRule type="cellIs" dxfId="1395" priority="40" operator="equal">
      <formula>"A - Work May Proceed"</formula>
    </cfRule>
    <cfRule type="cellIs" dxfId="1394" priority="39" operator="equal">
      <formula>"C - Revise and Resubmit - Do Not Proceed"</formula>
    </cfRule>
    <cfRule type="cellIs" dxfId="1393" priority="38" operator="equal">
      <formula>"B - Incorporate Comments - Proceed"</formula>
    </cfRule>
    <cfRule type="cellIs" dxfId="1392" priority="37" operator="equal">
      <formula>"D - Rejected"</formula>
    </cfRule>
    <cfRule type="cellIs" dxfId="1391" priority="36" operator="equal">
      <formula>"E - Review not Required - Proceed"</formula>
    </cfRule>
    <cfRule type="cellIs" dxfId="1390" priority="48" operator="between">
      <formula>"A - Work May Proceed"</formula>
      <formula>"A - Work May Proceed"</formula>
    </cfRule>
    <cfRule type="cellIs" dxfId="1389" priority="47" operator="between">
      <formula>"B - Incorporate Comments - Proceed"</formula>
      <formula>"B - Incorporate Comments - Proceed"</formula>
    </cfRule>
    <cfRule type="cellIs" dxfId="1388" priority="46" operator="between">
      <formula>"C - Revise and Resubmit - Do Not Proceed"</formula>
      <formula>"C - Revise and Resubmit - Do Not Proceed"</formula>
    </cfRule>
    <cfRule type="cellIs" dxfId="1387" priority="49" operator="between">
      <formula>"B - Incorporate Comments - Proceed"</formula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1">
    <tabColor theme="7"/>
  </sheetPr>
  <dimension ref="A1:BF138"/>
  <sheetViews>
    <sheetView zoomScale="55" zoomScaleNormal="55" zoomScaleSheetLayoutView="71" workbookViewId="0">
      <pane ySplit="11" topLeftCell="A18" activePane="bottomLeft" state="frozen"/>
      <selection activeCell="A14" sqref="A14"/>
      <selection pane="bottomLeft" activeCell="F31" sqref="F31"/>
    </sheetView>
  </sheetViews>
  <sheetFormatPr defaultColWidth="9.140625" defaultRowHeight="15" x14ac:dyDescent="0.25"/>
  <cols>
    <col min="1" max="1" width="24.57031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1" width="30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60.28515625" style="44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2"/>
    </row>
    <row r="2" spans="1:58" s="379" customFormat="1" ht="24" customHeight="1" x14ac:dyDescent="0.35">
      <c r="A2" s="8"/>
      <c r="B2" s="25" t="s">
        <v>28</v>
      </c>
      <c r="C2" s="26" t="s">
        <v>171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/>
      <c r="V2"/>
      <c r="W2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2"/>
    </row>
    <row r="3" spans="1:58" s="379" customFormat="1" ht="24" customHeight="1" x14ac:dyDescent="0.35">
      <c r="A3" s="8"/>
      <c r="B3" s="25" t="s">
        <v>507</v>
      </c>
      <c r="C3" s="49" t="s">
        <v>442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2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2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/>
      <c r="V5"/>
      <c r="W5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2"/>
    </row>
    <row r="6" spans="1:58" s="379" customFormat="1" ht="24" customHeight="1" x14ac:dyDescent="0.35">
      <c r="A6" s="8"/>
      <c r="B6" s="64">
        <f>COUNTIF(B11:B31,"A - Work May Proceed")</f>
        <v>12</v>
      </c>
      <c r="C6" s="65">
        <f>COUNTIF(B11:B31,"B- Incorporate Comments - Proceed")</f>
        <v>0</v>
      </c>
      <c r="D6" s="65">
        <f>COUNTIF(B11:B31,"C - Revise and Resubmit - Do Not Proceed")</f>
        <v>0</v>
      </c>
      <c r="E6" s="65">
        <f>COUNTIF(B11:B31,"D - Rejected")</f>
        <v>0</v>
      </c>
      <c r="F6" s="65">
        <f>COUNTIF(B11:B31,"E - Review not Required - Proceed")</f>
        <v>0</v>
      </c>
      <c r="G6" s="66">
        <f>COUNTIF(B11:B31,"UR")</f>
        <v>0</v>
      </c>
      <c r="H6" s="66">
        <f>COUNTIF(B11:B31,"FA")</f>
        <v>0</v>
      </c>
      <c r="I6" s="66">
        <f>COUNTIF(B11:B31,"Terminated")</f>
        <v>0</v>
      </c>
      <c r="J6" s="66">
        <f>COUNTIF(B11:B31,"Cancelled")</f>
        <v>7</v>
      </c>
      <c r="K6"/>
      <c r="L6"/>
      <c r="M6"/>
      <c r="N6"/>
      <c r="O6"/>
      <c r="P6"/>
      <c r="Q6"/>
      <c r="R6"/>
      <c r="S6"/>
      <c r="T6"/>
      <c r="U6"/>
      <c r="V6"/>
      <c r="W6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2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/>
      <c r="V7"/>
      <c r="W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2"/>
    </row>
    <row r="8" spans="1:58" s="379" customFormat="1" ht="24" customHeight="1" x14ac:dyDescent="0.35">
      <c r="A8" s="8"/>
      <c r="B8" s="72" t="s">
        <v>509</v>
      </c>
      <c r="C8" s="73">
        <f>SUM(B6:J6)</f>
        <v>19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/>
      <c r="V8"/>
      <c r="W8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2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2"/>
    </row>
    <row r="10" spans="1:58" s="405" customFormat="1" ht="36.75" customHeight="1" x14ac:dyDescent="0.2">
      <c r="A10" s="559" t="s">
        <v>3259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11" t="s">
        <v>5</v>
      </c>
      <c r="C12" s="56" t="s">
        <v>588</v>
      </c>
      <c r="D12" s="12" t="s">
        <v>173</v>
      </c>
      <c r="E12" s="12" t="s">
        <v>174</v>
      </c>
      <c r="F12" s="16" t="s">
        <v>175</v>
      </c>
      <c r="G12" s="10" t="s">
        <v>172</v>
      </c>
      <c r="H12" s="10" t="s">
        <v>95</v>
      </c>
      <c r="I12" s="16" t="s">
        <v>3</v>
      </c>
      <c r="J12" s="14">
        <v>45559</v>
      </c>
      <c r="K12" s="12" t="s">
        <v>176</v>
      </c>
      <c r="L12" s="20">
        <f>J12+7</f>
        <v>45566</v>
      </c>
      <c r="M12" s="14">
        <v>45572</v>
      </c>
      <c r="N12" s="92">
        <f>M12-L12</f>
        <v>6</v>
      </c>
      <c r="O12" s="12" t="s">
        <v>185</v>
      </c>
      <c r="P12" s="16" t="s">
        <v>14</v>
      </c>
      <c r="Q12" s="20">
        <v>45579</v>
      </c>
      <c r="R12" s="12" t="s">
        <v>383</v>
      </c>
      <c r="S12" s="20">
        <f>Q12+7</f>
        <v>45586</v>
      </c>
      <c r="T12" s="20">
        <v>45592</v>
      </c>
      <c r="U12" s="91">
        <f>T12-S12</f>
        <v>6</v>
      </c>
      <c r="V12" s="12" t="s">
        <v>393</v>
      </c>
      <c r="W12" s="12" t="s">
        <v>5</v>
      </c>
      <c r="X12" s="20">
        <v>45600</v>
      </c>
      <c r="Y12" s="12" t="s">
        <v>684</v>
      </c>
      <c r="Z12" s="20">
        <f>X12+7</f>
        <v>45607</v>
      </c>
      <c r="AA12" s="20">
        <v>45610</v>
      </c>
      <c r="AB12" s="91">
        <f>AA12-Z12</f>
        <v>3</v>
      </c>
      <c r="AC12" s="12" t="s">
        <v>693</v>
      </c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460"/>
    </row>
    <row r="13" spans="1:58" s="381" customFormat="1" ht="42" customHeight="1" x14ac:dyDescent="0.25">
      <c r="A13" s="367">
        <v>730007</v>
      </c>
      <c r="B13" s="57" t="s">
        <v>508</v>
      </c>
      <c r="C13" s="13" t="s">
        <v>627</v>
      </c>
      <c r="D13" s="12" t="s">
        <v>189</v>
      </c>
      <c r="E13" s="12" t="s">
        <v>190</v>
      </c>
      <c r="F13" s="10" t="s">
        <v>397</v>
      </c>
      <c r="G13" s="10" t="s">
        <v>172</v>
      </c>
      <c r="H13" s="10" t="s">
        <v>95</v>
      </c>
      <c r="I13" s="10" t="s">
        <v>3</v>
      </c>
      <c r="J13" s="14">
        <v>45560</v>
      </c>
      <c r="K13" s="12" t="s">
        <v>193</v>
      </c>
      <c r="L13" s="20">
        <f t="shared" ref="L13:L22" si="0">J13+7</f>
        <v>45567</v>
      </c>
      <c r="M13" s="14">
        <v>45574</v>
      </c>
      <c r="N13" s="92">
        <f t="shared" ref="N13:N30" si="1">M13-L13</f>
        <v>7</v>
      </c>
      <c r="O13" s="12" t="s">
        <v>209</v>
      </c>
      <c r="P13" s="10" t="s">
        <v>3</v>
      </c>
      <c r="Q13" s="20">
        <v>45580</v>
      </c>
      <c r="R13" s="12" t="s">
        <v>398</v>
      </c>
      <c r="S13" s="20">
        <f>Q13+7</f>
        <v>45587</v>
      </c>
      <c r="T13" s="20">
        <v>45588</v>
      </c>
      <c r="U13" s="91">
        <f>T13-S13</f>
        <v>1</v>
      </c>
      <c r="V13" s="12" t="s">
        <v>411</v>
      </c>
      <c r="W13" s="57" t="s">
        <v>508</v>
      </c>
      <c r="X13" s="20">
        <v>45612</v>
      </c>
      <c r="Y13" s="12" t="s">
        <v>933</v>
      </c>
      <c r="Z13" s="20"/>
      <c r="AA13" s="20"/>
      <c r="AB13" s="91"/>
      <c r="AC13" s="12"/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460" t="s">
        <v>756</v>
      </c>
    </row>
    <row r="14" spans="1:58" s="381" customFormat="1" ht="42" customHeight="1" x14ac:dyDescent="0.25">
      <c r="A14" s="367">
        <v>730007</v>
      </c>
      <c r="B14" s="11" t="s">
        <v>5</v>
      </c>
      <c r="C14" s="56" t="s">
        <v>588</v>
      </c>
      <c r="D14" s="12" t="s">
        <v>192</v>
      </c>
      <c r="E14" s="12" t="s">
        <v>191</v>
      </c>
      <c r="F14" s="16" t="s">
        <v>384</v>
      </c>
      <c r="G14" s="10" t="s">
        <v>172</v>
      </c>
      <c r="H14" s="10" t="s">
        <v>95</v>
      </c>
      <c r="I14" s="16" t="s">
        <v>3</v>
      </c>
      <c r="J14" s="14">
        <v>45560</v>
      </c>
      <c r="K14" s="12" t="s">
        <v>210</v>
      </c>
      <c r="L14" s="20">
        <f t="shared" si="0"/>
        <v>45567</v>
      </c>
      <c r="M14" s="14">
        <v>45574</v>
      </c>
      <c r="N14" s="92">
        <f t="shared" si="1"/>
        <v>7</v>
      </c>
      <c r="O14" s="12" t="s">
        <v>294</v>
      </c>
      <c r="P14" s="16" t="s">
        <v>5</v>
      </c>
      <c r="Q14" s="20">
        <v>45579</v>
      </c>
      <c r="R14" s="12" t="s">
        <v>385</v>
      </c>
      <c r="S14" s="20">
        <f>Q14+7</f>
        <v>45586</v>
      </c>
      <c r="T14" s="20">
        <v>45588</v>
      </c>
      <c r="U14" s="91">
        <f>T14-S14</f>
        <v>2</v>
      </c>
      <c r="V14" s="12" t="s">
        <v>394</v>
      </c>
      <c r="W14" s="12" t="s">
        <v>5</v>
      </c>
      <c r="X14" s="20">
        <v>46158</v>
      </c>
      <c r="Y14" s="12" t="s">
        <v>6806</v>
      </c>
      <c r="Z14" s="20">
        <f>X14+7</f>
        <v>46165</v>
      </c>
      <c r="AA14" s="20">
        <v>46162</v>
      </c>
      <c r="AB14" s="91">
        <f>AA14-Z14</f>
        <v>-3</v>
      </c>
      <c r="AC14" s="12" t="s">
        <v>6823</v>
      </c>
      <c r="AD14" s="12"/>
      <c r="AE14" s="20"/>
      <c r="AF14" s="12"/>
      <c r="AG14" s="12"/>
      <c r="AH14" s="20"/>
      <c r="AI14" s="20"/>
      <c r="AJ14" s="12"/>
      <c r="AK14" s="10"/>
      <c r="AL14" s="14"/>
      <c r="AM14" s="12"/>
      <c r="AN14" s="12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/>
      <c r="BF14" s="460"/>
    </row>
    <row r="15" spans="1:58" s="381" customFormat="1" ht="42" customHeight="1" x14ac:dyDescent="0.25">
      <c r="A15" s="367">
        <v>730007</v>
      </c>
      <c r="B15" s="57" t="s">
        <v>508</v>
      </c>
      <c r="C15" s="13" t="s">
        <v>627</v>
      </c>
      <c r="D15" s="12" t="s">
        <v>399</v>
      </c>
      <c r="E15" s="12" t="s">
        <v>401</v>
      </c>
      <c r="F15" s="10" t="s">
        <v>403</v>
      </c>
      <c r="G15" s="10" t="s">
        <v>172</v>
      </c>
      <c r="H15" s="10" t="s">
        <v>95</v>
      </c>
      <c r="I15" s="10" t="s">
        <v>14</v>
      </c>
      <c r="J15" s="14">
        <v>45580</v>
      </c>
      <c r="K15" s="12" t="s">
        <v>404</v>
      </c>
      <c r="L15" s="20" t="s">
        <v>626</v>
      </c>
      <c r="M15" s="14" t="s">
        <v>626</v>
      </c>
      <c r="N15" s="92" t="s">
        <v>626</v>
      </c>
      <c r="O15" s="12" t="s">
        <v>412</v>
      </c>
      <c r="P15" s="9" t="s">
        <v>508</v>
      </c>
      <c r="Q15" s="20">
        <v>45612</v>
      </c>
      <c r="R15" s="12" t="s">
        <v>934</v>
      </c>
      <c r="S15" s="20"/>
      <c r="T15" s="20"/>
      <c r="U15" s="20"/>
      <c r="V15" s="12"/>
      <c r="W15" s="12"/>
      <c r="X15" s="20"/>
      <c r="Y15" s="12"/>
      <c r="Z15" s="12"/>
      <c r="AA15" s="20"/>
      <c r="AB15" s="20"/>
      <c r="AC15" s="12"/>
      <c r="AD15" s="12"/>
      <c r="AE15" s="20"/>
      <c r="AF15" s="12"/>
      <c r="AG15" s="12"/>
      <c r="AH15" s="20"/>
      <c r="AI15" s="20"/>
      <c r="AJ15" s="12"/>
      <c r="AK15" s="10"/>
      <c r="AL15" s="14"/>
      <c r="AM15" s="12"/>
      <c r="AN15" s="12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2"/>
      <c r="BF15" s="460" t="s">
        <v>756</v>
      </c>
    </row>
    <row r="16" spans="1:58" s="381" customFormat="1" ht="42" customHeight="1" x14ac:dyDescent="0.25">
      <c r="A16" s="367">
        <v>730007</v>
      </c>
      <c r="B16" s="57" t="s">
        <v>508</v>
      </c>
      <c r="C16" s="13" t="s">
        <v>627</v>
      </c>
      <c r="D16" s="12" t="s">
        <v>400</v>
      </c>
      <c r="E16" s="12" t="s">
        <v>402</v>
      </c>
      <c r="F16" s="10" t="s">
        <v>405</v>
      </c>
      <c r="G16" s="10" t="s">
        <v>172</v>
      </c>
      <c r="H16" s="10" t="s">
        <v>95</v>
      </c>
      <c r="I16" s="10" t="s">
        <v>14</v>
      </c>
      <c r="J16" s="14">
        <v>45580</v>
      </c>
      <c r="K16" s="12" t="s">
        <v>406</v>
      </c>
      <c r="L16" s="20" t="s">
        <v>626</v>
      </c>
      <c r="M16" s="14" t="s">
        <v>626</v>
      </c>
      <c r="N16" s="92" t="s">
        <v>626</v>
      </c>
      <c r="O16" s="12" t="s">
        <v>413</v>
      </c>
      <c r="P16" s="9" t="s">
        <v>508</v>
      </c>
      <c r="Q16" s="20">
        <v>45612</v>
      </c>
      <c r="R16" s="12" t="s">
        <v>935</v>
      </c>
      <c r="S16" s="20"/>
      <c r="T16" s="20"/>
      <c r="U16" s="20"/>
      <c r="V16" s="12"/>
      <c r="W16" s="12"/>
      <c r="X16" s="20"/>
      <c r="Y16" s="12"/>
      <c r="Z16" s="12"/>
      <c r="AA16" s="20"/>
      <c r="AB16" s="20"/>
      <c r="AC16" s="12"/>
      <c r="AD16" s="12"/>
      <c r="AE16" s="20"/>
      <c r="AF16" s="12"/>
      <c r="AG16" s="12"/>
      <c r="AH16" s="20"/>
      <c r="AI16" s="20"/>
      <c r="AJ16" s="12"/>
      <c r="AK16" s="10"/>
      <c r="AL16" s="14"/>
      <c r="AM16" s="12"/>
      <c r="AN16" s="12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2"/>
      <c r="BF16" s="460" t="s">
        <v>756</v>
      </c>
    </row>
    <row r="17" spans="1:58" s="381" customFormat="1" ht="42" customHeight="1" x14ac:dyDescent="0.25">
      <c r="A17" s="367">
        <v>730007</v>
      </c>
      <c r="B17" s="57" t="s">
        <v>508</v>
      </c>
      <c r="C17" s="13" t="s">
        <v>627</v>
      </c>
      <c r="D17" s="12" t="s">
        <v>408</v>
      </c>
      <c r="E17" s="12" t="s">
        <v>407</v>
      </c>
      <c r="F17" s="10" t="s">
        <v>409</v>
      </c>
      <c r="G17" s="10" t="s">
        <v>172</v>
      </c>
      <c r="H17" s="10" t="s">
        <v>95</v>
      </c>
      <c r="I17" s="10" t="s">
        <v>14</v>
      </c>
      <c r="J17" s="14">
        <v>45581</v>
      </c>
      <c r="K17" s="12" t="s">
        <v>410</v>
      </c>
      <c r="L17" s="20" t="s">
        <v>626</v>
      </c>
      <c r="M17" s="14" t="s">
        <v>626</v>
      </c>
      <c r="N17" s="92" t="s">
        <v>626</v>
      </c>
      <c r="O17" s="12" t="s">
        <v>432</v>
      </c>
      <c r="P17" s="9" t="s">
        <v>508</v>
      </c>
      <c r="Q17" s="20">
        <v>45612</v>
      </c>
      <c r="R17" s="12" t="s">
        <v>936</v>
      </c>
      <c r="S17" s="20"/>
      <c r="T17" s="20"/>
      <c r="U17" s="20"/>
      <c r="V17" s="12"/>
      <c r="W17" s="12"/>
      <c r="X17" s="20"/>
      <c r="Y17" s="12"/>
      <c r="Z17" s="12"/>
      <c r="AA17" s="20"/>
      <c r="AB17" s="20"/>
      <c r="AC17" s="12"/>
      <c r="AD17" s="12"/>
      <c r="AE17" s="20"/>
      <c r="AF17" s="12"/>
      <c r="AG17" s="12"/>
      <c r="AH17" s="20"/>
      <c r="AI17" s="20"/>
      <c r="AJ17" s="12"/>
      <c r="AK17" s="10"/>
      <c r="AL17" s="14"/>
      <c r="AM17" s="12"/>
      <c r="AN17" s="12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2"/>
      <c r="BF17" s="460" t="s">
        <v>803</v>
      </c>
    </row>
    <row r="18" spans="1:58" s="381" customFormat="1" ht="42" customHeight="1" x14ac:dyDescent="0.25">
      <c r="A18" s="367">
        <v>730007</v>
      </c>
      <c r="B18" s="57" t="s">
        <v>508</v>
      </c>
      <c r="C18" s="13" t="s">
        <v>627</v>
      </c>
      <c r="D18" s="12" t="s">
        <v>433</v>
      </c>
      <c r="E18" s="12" t="s">
        <v>434</v>
      </c>
      <c r="F18" s="10" t="s">
        <v>435</v>
      </c>
      <c r="G18" s="10" t="s">
        <v>172</v>
      </c>
      <c r="H18" s="10" t="s">
        <v>95</v>
      </c>
      <c r="I18" s="9" t="s">
        <v>331</v>
      </c>
      <c r="J18" s="14">
        <v>45582</v>
      </c>
      <c r="K18" s="12" t="s">
        <v>436</v>
      </c>
      <c r="L18" s="20" t="s">
        <v>626</v>
      </c>
      <c r="M18" s="14" t="s">
        <v>626</v>
      </c>
      <c r="N18" s="92" t="s">
        <v>626</v>
      </c>
      <c r="O18" s="12" t="s">
        <v>458</v>
      </c>
      <c r="P18" s="9" t="s">
        <v>508</v>
      </c>
      <c r="Q18" s="20">
        <v>45613</v>
      </c>
      <c r="R18" s="12" t="s">
        <v>958</v>
      </c>
      <c r="S18" s="20"/>
      <c r="T18" s="20"/>
      <c r="U18" s="20"/>
      <c r="V18" s="12"/>
      <c r="W18" s="12"/>
      <c r="X18" s="20"/>
      <c r="Y18" s="12"/>
      <c r="Z18" s="12"/>
      <c r="AA18" s="20"/>
      <c r="AB18" s="20"/>
      <c r="AC18" s="12"/>
      <c r="AD18" s="12"/>
      <c r="AE18" s="20"/>
      <c r="AF18" s="12"/>
      <c r="AG18" s="12"/>
      <c r="AH18" s="20"/>
      <c r="AI18" s="20"/>
      <c r="AJ18" s="12"/>
      <c r="AK18" s="10"/>
      <c r="AL18" s="14"/>
      <c r="AM18" s="12"/>
      <c r="AN18" s="12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2"/>
      <c r="BF18" s="460" t="s">
        <v>951</v>
      </c>
    </row>
    <row r="19" spans="1:58" s="381" customFormat="1" ht="42" customHeight="1" x14ac:dyDescent="0.25">
      <c r="A19" s="367">
        <v>730007</v>
      </c>
      <c r="B19" s="57" t="s">
        <v>508</v>
      </c>
      <c r="C19" s="13" t="s">
        <v>627</v>
      </c>
      <c r="D19" s="12" t="s">
        <v>584</v>
      </c>
      <c r="E19" s="12" t="s">
        <v>585</v>
      </c>
      <c r="F19" s="10" t="s">
        <v>586</v>
      </c>
      <c r="G19" s="10" t="s">
        <v>172</v>
      </c>
      <c r="H19" s="10" t="s">
        <v>95</v>
      </c>
      <c r="I19" s="9" t="s">
        <v>331</v>
      </c>
      <c r="J19" s="14">
        <v>45593</v>
      </c>
      <c r="K19" s="12" t="s">
        <v>587</v>
      </c>
      <c r="L19" s="20"/>
      <c r="M19" s="14" t="s">
        <v>626</v>
      </c>
      <c r="N19" s="92" t="s">
        <v>626</v>
      </c>
      <c r="O19" s="12" t="s">
        <v>608</v>
      </c>
      <c r="P19" s="9" t="s">
        <v>508</v>
      </c>
      <c r="Q19" s="20">
        <v>45620</v>
      </c>
      <c r="R19" s="12" t="s">
        <v>1020</v>
      </c>
      <c r="S19" s="20"/>
      <c r="T19" s="20"/>
      <c r="U19" s="20"/>
      <c r="V19" s="12"/>
      <c r="W19" s="12"/>
      <c r="X19" s="20"/>
      <c r="Y19" s="12"/>
      <c r="Z19" s="12"/>
      <c r="AA19" s="20"/>
      <c r="AB19" s="20"/>
      <c r="AC19" s="12"/>
      <c r="AD19" s="12"/>
      <c r="AE19" s="20"/>
      <c r="AF19" s="12"/>
      <c r="AG19" s="12"/>
      <c r="AH19" s="20"/>
      <c r="AI19" s="20"/>
      <c r="AJ19" s="12"/>
      <c r="AK19" s="10"/>
      <c r="AL19" s="14"/>
      <c r="AM19" s="12"/>
      <c r="AN19" s="12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2"/>
      <c r="BF19" s="460" t="s">
        <v>1021</v>
      </c>
    </row>
    <row r="20" spans="1:58" s="381" customFormat="1" ht="42" customHeight="1" x14ac:dyDescent="0.25">
      <c r="A20" s="367">
        <v>730007</v>
      </c>
      <c r="B20" s="12" t="s">
        <v>5</v>
      </c>
      <c r="C20" s="13" t="s">
        <v>208</v>
      </c>
      <c r="D20" s="12" t="s">
        <v>694</v>
      </c>
      <c r="E20" s="12" t="s">
        <v>695</v>
      </c>
      <c r="F20" s="10" t="s">
        <v>698</v>
      </c>
      <c r="G20" s="10" t="s">
        <v>172</v>
      </c>
      <c r="H20" s="10" t="s">
        <v>95</v>
      </c>
      <c r="I20" s="10" t="s">
        <v>18</v>
      </c>
      <c r="J20" s="14">
        <v>45600</v>
      </c>
      <c r="K20" s="12" t="s">
        <v>699</v>
      </c>
      <c r="L20" s="20">
        <f t="shared" si="0"/>
        <v>45607</v>
      </c>
      <c r="M20" s="14">
        <v>45610</v>
      </c>
      <c r="N20" s="92">
        <f t="shared" si="1"/>
        <v>3</v>
      </c>
      <c r="O20" s="12" t="s">
        <v>706</v>
      </c>
      <c r="P20" s="10" t="s">
        <v>5</v>
      </c>
      <c r="Q20" s="20">
        <v>45969</v>
      </c>
      <c r="R20" s="12" t="s">
        <v>4771</v>
      </c>
      <c r="S20" s="20">
        <f>Q20+7</f>
        <v>45976</v>
      </c>
      <c r="T20" s="20">
        <v>45974</v>
      </c>
      <c r="U20" s="91">
        <f>T20-S20</f>
        <v>-2</v>
      </c>
      <c r="V20" s="12" t="s">
        <v>4776</v>
      </c>
      <c r="W20" s="12"/>
      <c r="X20" s="20"/>
      <c r="Y20" s="12"/>
      <c r="Z20" s="12"/>
      <c r="AA20" s="20"/>
      <c r="AB20" s="20"/>
      <c r="AC20" s="12"/>
      <c r="AD20" s="12"/>
      <c r="AE20" s="20"/>
      <c r="AF20" s="12"/>
      <c r="AG20" s="12"/>
      <c r="AH20" s="20"/>
      <c r="AI20" s="20"/>
      <c r="AJ20" s="12"/>
      <c r="AK20" s="10"/>
      <c r="AL20" s="14"/>
      <c r="AM20" s="12"/>
      <c r="AN20" s="12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2"/>
      <c r="BF20" s="460"/>
    </row>
    <row r="21" spans="1:58" s="381" customFormat="1" ht="42" customHeight="1" x14ac:dyDescent="0.25">
      <c r="A21" s="367">
        <v>730007</v>
      </c>
      <c r="B21" s="12" t="s">
        <v>5</v>
      </c>
      <c r="C21" s="56" t="s">
        <v>725</v>
      </c>
      <c r="D21" s="12" t="s">
        <v>752</v>
      </c>
      <c r="E21" s="12" t="s">
        <v>753</v>
      </c>
      <c r="F21" s="16" t="s">
        <v>754</v>
      </c>
      <c r="G21" s="10" t="s">
        <v>172</v>
      </c>
      <c r="H21" s="10" t="s">
        <v>95</v>
      </c>
      <c r="I21" s="16" t="s">
        <v>3</v>
      </c>
      <c r="J21" s="14">
        <v>45603</v>
      </c>
      <c r="K21" s="12" t="s">
        <v>755</v>
      </c>
      <c r="L21" s="20">
        <f t="shared" si="0"/>
        <v>45610</v>
      </c>
      <c r="M21" s="14">
        <v>45615</v>
      </c>
      <c r="N21" s="92">
        <f t="shared" si="1"/>
        <v>5</v>
      </c>
      <c r="O21" s="12" t="s">
        <v>783</v>
      </c>
      <c r="P21" s="16" t="s">
        <v>18</v>
      </c>
      <c r="Q21" s="20">
        <v>45620</v>
      </c>
      <c r="R21" s="12" t="s">
        <v>1038</v>
      </c>
      <c r="S21" s="20">
        <f>Q21+7</f>
        <v>45627</v>
      </c>
      <c r="T21" s="20">
        <v>45630</v>
      </c>
      <c r="U21" s="91">
        <f>T21-S21</f>
        <v>3</v>
      </c>
      <c r="V21" s="12" t="s">
        <v>1039</v>
      </c>
      <c r="W21" s="12" t="s">
        <v>5</v>
      </c>
      <c r="X21" s="20">
        <v>45642</v>
      </c>
      <c r="Y21" s="12" t="s">
        <v>1470</v>
      </c>
      <c r="Z21" s="20">
        <f>X21+7</f>
        <v>45649</v>
      </c>
      <c r="AA21" s="20">
        <v>45648</v>
      </c>
      <c r="AB21" s="91">
        <f>AA21-Z21</f>
        <v>-1</v>
      </c>
      <c r="AC21" s="12" t="s">
        <v>1500</v>
      </c>
      <c r="AD21" s="12" t="s">
        <v>5</v>
      </c>
      <c r="AE21" s="20">
        <v>46085</v>
      </c>
      <c r="AF21" s="12" t="s">
        <v>5957</v>
      </c>
      <c r="AG21" s="20">
        <f>AE21+7</f>
        <v>46092</v>
      </c>
      <c r="AH21" s="20">
        <v>46089</v>
      </c>
      <c r="AI21" s="91">
        <f>AH21-AG21</f>
        <v>-3</v>
      </c>
      <c r="AJ21" s="12" t="s">
        <v>5965</v>
      </c>
      <c r="AK21" s="10"/>
      <c r="AL21" s="14"/>
      <c r="AM21" s="12"/>
      <c r="AN21" s="12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2"/>
      <c r="BF21" s="460"/>
    </row>
    <row r="22" spans="1:58" s="381" customFormat="1" ht="42" customHeight="1" x14ac:dyDescent="0.25">
      <c r="A22" s="367">
        <v>730007</v>
      </c>
      <c r="B22" s="11" t="s">
        <v>5</v>
      </c>
      <c r="C22" s="56" t="s">
        <v>208</v>
      </c>
      <c r="D22" s="12" t="s">
        <v>804</v>
      </c>
      <c r="E22" s="12" t="s">
        <v>805</v>
      </c>
      <c r="F22" s="16" t="s">
        <v>806</v>
      </c>
      <c r="G22" s="10" t="s">
        <v>172</v>
      </c>
      <c r="H22" s="10" t="s">
        <v>95</v>
      </c>
      <c r="I22" s="16" t="s">
        <v>18</v>
      </c>
      <c r="J22" s="14">
        <v>45605</v>
      </c>
      <c r="K22" s="12" t="s">
        <v>807</v>
      </c>
      <c r="L22" s="20">
        <f t="shared" si="0"/>
        <v>45612</v>
      </c>
      <c r="M22" s="14">
        <v>45610</v>
      </c>
      <c r="N22" s="92">
        <f t="shared" si="1"/>
        <v>-2</v>
      </c>
      <c r="O22" s="12" t="s">
        <v>818</v>
      </c>
      <c r="P22" s="16" t="s">
        <v>5</v>
      </c>
      <c r="Q22" s="20">
        <v>45642</v>
      </c>
      <c r="R22" s="12" t="s">
        <v>1446</v>
      </c>
      <c r="S22" s="20">
        <f>Q22+7</f>
        <v>45649</v>
      </c>
      <c r="T22" s="20">
        <v>45657</v>
      </c>
      <c r="U22" s="91">
        <f>T22-S22</f>
        <v>8</v>
      </c>
      <c r="V22" s="12" t="s">
        <v>1488</v>
      </c>
      <c r="W22" s="12"/>
      <c r="X22" s="20"/>
      <c r="Y22" s="12"/>
      <c r="Z22" s="12"/>
      <c r="AA22" s="20"/>
      <c r="AB22" s="20"/>
      <c r="AC22" s="12"/>
      <c r="AD22" s="12"/>
      <c r="AE22" s="20"/>
      <c r="AF22" s="12"/>
      <c r="AG22" s="12"/>
      <c r="AH22" s="20"/>
      <c r="AI22" s="20"/>
      <c r="AJ22" s="12"/>
      <c r="AK22" s="10"/>
      <c r="AL22" s="14"/>
      <c r="AM22" s="12"/>
      <c r="AN22" s="12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2"/>
      <c r="BF22" s="460"/>
    </row>
    <row r="23" spans="1:58" s="381" customFormat="1" ht="42" customHeight="1" x14ac:dyDescent="0.25">
      <c r="A23" s="367">
        <v>730007</v>
      </c>
      <c r="B23" s="11" t="s">
        <v>5</v>
      </c>
      <c r="C23" s="56" t="s">
        <v>588</v>
      </c>
      <c r="D23" s="12" t="s">
        <v>2193</v>
      </c>
      <c r="E23" s="12" t="s">
        <v>2194</v>
      </c>
      <c r="F23" s="16" t="s">
        <v>2195</v>
      </c>
      <c r="G23" s="10" t="s">
        <v>172</v>
      </c>
      <c r="H23" s="10" t="s">
        <v>95</v>
      </c>
      <c r="I23" s="16" t="s">
        <v>18</v>
      </c>
      <c r="J23" s="14">
        <v>45686</v>
      </c>
      <c r="K23" s="12" t="s">
        <v>2196</v>
      </c>
      <c r="L23" s="20">
        <f t="shared" ref="L23:L30" si="2">J23+7</f>
        <v>45693</v>
      </c>
      <c r="M23" s="14">
        <v>45701</v>
      </c>
      <c r="N23" s="92">
        <f>M23-L23</f>
        <v>8</v>
      </c>
      <c r="O23" s="12" t="s">
        <v>2207</v>
      </c>
      <c r="P23" s="16" t="s">
        <v>18</v>
      </c>
      <c r="Q23" s="20">
        <v>45776</v>
      </c>
      <c r="R23" s="12" t="s">
        <v>3113</v>
      </c>
      <c r="S23" s="20">
        <f>Q23+7</f>
        <v>45783</v>
      </c>
      <c r="T23" s="20">
        <v>45790</v>
      </c>
      <c r="U23" s="91">
        <f>T23-S23</f>
        <v>7</v>
      </c>
      <c r="V23" s="12" t="s">
        <v>3228</v>
      </c>
      <c r="W23" s="12" t="s">
        <v>5</v>
      </c>
      <c r="X23" s="20">
        <v>45791</v>
      </c>
      <c r="Y23" s="12" t="s">
        <v>3282</v>
      </c>
      <c r="Z23" s="20">
        <f>X23+7</f>
        <v>45798</v>
      </c>
      <c r="AA23" s="20">
        <v>45804</v>
      </c>
      <c r="AB23" s="91">
        <f>AA23-Z23</f>
        <v>6</v>
      </c>
      <c r="AC23" s="12" t="s">
        <v>3296</v>
      </c>
      <c r="AD23" s="12"/>
      <c r="AE23" s="20"/>
      <c r="AF23" s="12"/>
      <c r="AG23" s="12"/>
      <c r="AH23" s="20"/>
      <c r="AI23" s="20"/>
      <c r="AJ23" s="12"/>
      <c r="AK23" s="10"/>
      <c r="AL23" s="14"/>
      <c r="AM23" s="12"/>
      <c r="AN23" s="12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2"/>
      <c r="BF23" s="460"/>
    </row>
    <row r="24" spans="1:58" s="381" customFormat="1" ht="42" customHeight="1" x14ac:dyDescent="0.25">
      <c r="A24" s="367">
        <v>730007</v>
      </c>
      <c r="B24" s="11" t="s">
        <v>5</v>
      </c>
      <c r="C24" s="56" t="s">
        <v>208</v>
      </c>
      <c r="D24" s="12" t="s">
        <v>2752</v>
      </c>
      <c r="E24" s="12" t="s">
        <v>2753</v>
      </c>
      <c r="F24" s="16" t="s">
        <v>2754</v>
      </c>
      <c r="G24" s="10" t="s">
        <v>172</v>
      </c>
      <c r="H24" s="10" t="s">
        <v>95</v>
      </c>
      <c r="I24" s="16" t="s">
        <v>3</v>
      </c>
      <c r="J24" s="14">
        <v>45727</v>
      </c>
      <c r="K24" s="12" t="s">
        <v>2755</v>
      </c>
      <c r="L24" s="20">
        <f t="shared" si="2"/>
        <v>45734</v>
      </c>
      <c r="M24" s="14">
        <v>45763</v>
      </c>
      <c r="N24" s="92">
        <f t="shared" si="1"/>
        <v>29</v>
      </c>
      <c r="O24" s="12" t="s">
        <v>2761</v>
      </c>
      <c r="P24" s="16" t="s">
        <v>5</v>
      </c>
      <c r="Q24" s="20">
        <v>45763</v>
      </c>
      <c r="R24" s="12" t="s">
        <v>3004</v>
      </c>
      <c r="S24" s="20">
        <f>Q24+7</f>
        <v>45770</v>
      </c>
      <c r="T24" s="20">
        <v>45769</v>
      </c>
      <c r="U24" s="92">
        <f t="shared" ref="U24:U30" si="3">T24-S24</f>
        <v>-1</v>
      </c>
      <c r="V24" s="12" t="s">
        <v>3018</v>
      </c>
      <c r="W24" s="12"/>
      <c r="X24" s="20"/>
      <c r="Y24" s="12"/>
      <c r="Z24" s="12"/>
      <c r="AA24" s="20"/>
      <c r="AB24" s="20"/>
      <c r="AC24" s="12"/>
      <c r="AD24" s="12"/>
      <c r="AE24" s="20"/>
      <c r="AF24" s="12"/>
      <c r="AG24" s="12"/>
      <c r="AH24" s="20"/>
      <c r="AI24" s="20"/>
      <c r="AJ24" s="12"/>
      <c r="AK24" s="10"/>
      <c r="AL24" s="14"/>
      <c r="AM24" s="12"/>
      <c r="AN24" s="12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2"/>
      <c r="BF24" s="460"/>
    </row>
    <row r="25" spans="1:58" s="493" customFormat="1" ht="42" customHeight="1" x14ac:dyDescent="0.25">
      <c r="A25" s="367">
        <v>310002</v>
      </c>
      <c r="B25" s="58" t="s">
        <v>508</v>
      </c>
      <c r="C25" s="13" t="s">
        <v>627</v>
      </c>
      <c r="D25" s="12" t="s">
        <v>3267</v>
      </c>
      <c r="E25" s="12" t="s">
        <v>3268</v>
      </c>
      <c r="F25" s="10" t="s">
        <v>3269</v>
      </c>
      <c r="G25" s="10" t="s">
        <v>172</v>
      </c>
      <c r="H25" s="10" t="s">
        <v>95</v>
      </c>
      <c r="I25" s="9" t="s">
        <v>18</v>
      </c>
      <c r="J25" s="130">
        <v>45789</v>
      </c>
      <c r="K25" s="109" t="s">
        <v>3270</v>
      </c>
      <c r="L25" s="130">
        <f t="shared" si="2"/>
        <v>45796</v>
      </c>
      <c r="M25" s="130">
        <v>45803</v>
      </c>
      <c r="N25" s="131">
        <f t="shared" si="1"/>
        <v>7</v>
      </c>
      <c r="O25" s="9" t="s">
        <v>3279</v>
      </c>
      <c r="P25" s="57" t="s">
        <v>508</v>
      </c>
      <c r="Q25" s="110">
        <v>45887</v>
      </c>
      <c r="R25" s="9" t="s">
        <v>3980</v>
      </c>
      <c r="S25" s="9" t="s">
        <v>626</v>
      </c>
      <c r="T25" s="110"/>
      <c r="U25" s="110"/>
      <c r="V25" s="9"/>
      <c r="W25" s="9"/>
      <c r="X25" s="110"/>
      <c r="Y25" s="9"/>
      <c r="Z25" s="9"/>
      <c r="AA25" s="110"/>
      <c r="AB25" s="110"/>
      <c r="AC25" s="9"/>
      <c r="AD25" s="9"/>
      <c r="AE25" s="110"/>
      <c r="AF25" s="9"/>
      <c r="AG25" s="9"/>
      <c r="AH25" s="110"/>
      <c r="AI25" s="110"/>
      <c r="AJ25" s="9"/>
      <c r="AK25" s="9"/>
      <c r="AL25" s="108"/>
      <c r="AM25" s="57"/>
      <c r="AN25" s="57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57"/>
      <c r="BF25" s="460" t="s">
        <v>3383</v>
      </c>
    </row>
    <row r="26" spans="1:58" s="381" customFormat="1" ht="42" customHeight="1" x14ac:dyDescent="0.25">
      <c r="A26" s="367">
        <v>310002</v>
      </c>
      <c r="B26" s="16" t="s">
        <v>5</v>
      </c>
      <c r="C26" s="13" t="s">
        <v>208</v>
      </c>
      <c r="D26" s="12" t="s">
        <v>5849</v>
      </c>
      <c r="E26" s="12" t="s">
        <v>5851</v>
      </c>
      <c r="F26" s="10" t="s">
        <v>5852</v>
      </c>
      <c r="G26" s="10" t="s">
        <v>172</v>
      </c>
      <c r="H26" s="10" t="s">
        <v>95</v>
      </c>
      <c r="I26" s="16" t="s">
        <v>3</v>
      </c>
      <c r="J26" s="14">
        <v>46067</v>
      </c>
      <c r="K26" s="13" t="s">
        <v>5850</v>
      </c>
      <c r="L26" s="14">
        <f t="shared" si="2"/>
        <v>46074</v>
      </c>
      <c r="M26" s="14">
        <v>46083</v>
      </c>
      <c r="N26" s="92">
        <f t="shared" si="1"/>
        <v>9</v>
      </c>
      <c r="O26" s="10" t="s">
        <v>5855</v>
      </c>
      <c r="P26" s="12" t="s">
        <v>5</v>
      </c>
      <c r="Q26" s="21">
        <v>46083</v>
      </c>
      <c r="R26" s="10" t="s">
        <v>5930</v>
      </c>
      <c r="S26" s="20">
        <f>Q26+7</f>
        <v>46090</v>
      </c>
      <c r="T26" s="21">
        <v>46089</v>
      </c>
      <c r="U26" s="92">
        <f>T26-S26</f>
        <v>-1</v>
      </c>
      <c r="V26" s="10" t="s">
        <v>5932</v>
      </c>
      <c r="W26" s="10"/>
      <c r="X26" s="21"/>
      <c r="Y26" s="10"/>
      <c r="Z26" s="10"/>
      <c r="AA26" s="21"/>
      <c r="AB26" s="21"/>
      <c r="AC26" s="10"/>
      <c r="AD26" s="10"/>
      <c r="AE26" s="21"/>
      <c r="AF26" s="10"/>
      <c r="AG26" s="10"/>
      <c r="AH26" s="21"/>
      <c r="AI26" s="21"/>
      <c r="AJ26" s="10"/>
      <c r="AK26" s="10"/>
      <c r="AL26" s="20"/>
      <c r="AM26" s="12"/>
      <c r="AN26" s="12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12"/>
      <c r="BF26" s="460"/>
    </row>
    <row r="27" spans="1:58" s="381" customFormat="1" ht="42" customHeight="1" x14ac:dyDescent="0.25">
      <c r="A27" s="367">
        <v>310002</v>
      </c>
      <c r="B27" s="16" t="s">
        <v>5</v>
      </c>
      <c r="C27" s="13" t="s">
        <v>208</v>
      </c>
      <c r="D27" s="12" t="s">
        <v>7438</v>
      </c>
      <c r="E27" s="12" t="s">
        <v>7439</v>
      </c>
      <c r="F27" s="10" t="s">
        <v>7440</v>
      </c>
      <c r="G27" s="10" t="s">
        <v>172</v>
      </c>
      <c r="H27" s="10" t="s">
        <v>95</v>
      </c>
      <c r="I27" s="16" t="s">
        <v>3</v>
      </c>
      <c r="J27" s="14">
        <v>46240</v>
      </c>
      <c r="K27" s="13" t="s">
        <v>7441</v>
      </c>
      <c r="L27" s="14">
        <f t="shared" si="2"/>
        <v>46247</v>
      </c>
      <c r="M27" s="14">
        <v>46257</v>
      </c>
      <c r="N27" s="92">
        <f t="shared" si="1"/>
        <v>10</v>
      </c>
      <c r="O27" s="10" t="s">
        <v>7443</v>
      </c>
      <c r="P27" s="12" t="s">
        <v>5</v>
      </c>
      <c r="Q27" s="21">
        <v>46257</v>
      </c>
      <c r="R27" s="10" t="s">
        <v>7510</v>
      </c>
      <c r="S27" s="20">
        <f>Q27+7</f>
        <v>46264</v>
      </c>
      <c r="T27" s="21">
        <v>46259</v>
      </c>
      <c r="U27" s="92">
        <f>T27-S27</f>
        <v>-5</v>
      </c>
      <c r="V27" s="10" t="s">
        <v>7516</v>
      </c>
      <c r="W27" s="10"/>
      <c r="X27" s="21"/>
      <c r="Y27" s="10"/>
      <c r="Z27" s="10"/>
      <c r="AA27" s="21"/>
      <c r="AB27" s="21"/>
      <c r="AC27" s="10"/>
      <c r="AD27" s="10"/>
      <c r="AE27" s="21"/>
      <c r="AF27" s="10"/>
      <c r="AG27" s="10"/>
      <c r="AH27" s="21"/>
      <c r="AI27" s="21"/>
      <c r="AJ27" s="10"/>
      <c r="AK27" s="10"/>
      <c r="AL27" s="20"/>
      <c r="AM27" s="12"/>
      <c r="AN27" s="12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12"/>
      <c r="BF27" s="460"/>
    </row>
    <row r="28" spans="1:58" s="381" customFormat="1" ht="42" customHeight="1" x14ac:dyDescent="0.25">
      <c r="A28" s="367">
        <v>100008</v>
      </c>
      <c r="B28" s="16" t="s">
        <v>5</v>
      </c>
      <c r="C28" s="56" t="s">
        <v>588</v>
      </c>
      <c r="D28" s="12" t="s">
        <v>4189</v>
      </c>
      <c r="E28" s="12" t="s">
        <v>4188</v>
      </c>
      <c r="F28" s="10" t="s">
        <v>4187</v>
      </c>
      <c r="G28" s="10" t="s">
        <v>172</v>
      </c>
      <c r="H28" s="10" t="s">
        <v>95</v>
      </c>
      <c r="I28" s="16" t="s">
        <v>3</v>
      </c>
      <c r="J28" s="14">
        <v>45914</v>
      </c>
      <c r="K28" s="13" t="s">
        <v>4190</v>
      </c>
      <c r="L28" s="14">
        <f t="shared" si="2"/>
        <v>45921</v>
      </c>
      <c r="M28" s="14">
        <v>45920</v>
      </c>
      <c r="N28" s="92">
        <f t="shared" si="1"/>
        <v>-1</v>
      </c>
      <c r="O28" s="10" t="s">
        <v>4264</v>
      </c>
      <c r="P28" s="16" t="s">
        <v>3</v>
      </c>
      <c r="Q28" s="21">
        <v>45931</v>
      </c>
      <c r="R28" s="10" t="s">
        <v>4352</v>
      </c>
      <c r="S28" s="20">
        <f>Q28+7</f>
        <v>45938</v>
      </c>
      <c r="T28" s="21">
        <v>45946</v>
      </c>
      <c r="U28" s="92">
        <f t="shared" si="3"/>
        <v>8</v>
      </c>
      <c r="V28" s="10" t="s">
        <v>4366</v>
      </c>
      <c r="W28" s="10" t="s">
        <v>5</v>
      </c>
      <c r="X28" s="21">
        <v>45946</v>
      </c>
      <c r="Y28" s="10" t="s">
        <v>4495</v>
      </c>
      <c r="Z28" s="20">
        <f>X28+7</f>
        <v>45953</v>
      </c>
      <c r="AA28" s="21">
        <v>45956</v>
      </c>
      <c r="AB28" s="91">
        <f>AA28-Z28</f>
        <v>3</v>
      </c>
      <c r="AC28" s="10" t="s">
        <v>4504</v>
      </c>
      <c r="AD28" s="10"/>
      <c r="AE28" s="21"/>
      <c r="AF28" s="10"/>
      <c r="AG28" s="10"/>
      <c r="AH28" s="21"/>
      <c r="AI28" s="21"/>
      <c r="AJ28" s="10"/>
      <c r="AK28" s="10"/>
      <c r="AL28" s="17"/>
      <c r="AM28" s="11"/>
      <c r="AN28" s="11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1"/>
      <c r="BF28" s="460"/>
    </row>
    <row r="29" spans="1:58" s="381" customFormat="1" ht="42" customHeight="1" x14ac:dyDescent="0.25">
      <c r="A29" s="367">
        <v>100008</v>
      </c>
      <c r="B29" s="10" t="s">
        <v>5</v>
      </c>
      <c r="C29" s="56" t="s">
        <v>588</v>
      </c>
      <c r="D29" s="12" t="s">
        <v>5341</v>
      </c>
      <c r="E29" s="10" t="s">
        <v>5343</v>
      </c>
      <c r="F29" s="16" t="s">
        <v>5342</v>
      </c>
      <c r="G29" s="10" t="s">
        <v>172</v>
      </c>
      <c r="H29" s="10" t="s">
        <v>95</v>
      </c>
      <c r="I29" s="16" t="s">
        <v>3</v>
      </c>
      <c r="J29" s="14">
        <v>46009</v>
      </c>
      <c r="K29" s="13" t="s">
        <v>5344</v>
      </c>
      <c r="L29" s="14">
        <f t="shared" si="2"/>
        <v>46016</v>
      </c>
      <c r="M29" s="14">
        <v>46019</v>
      </c>
      <c r="N29" s="92">
        <f t="shared" si="1"/>
        <v>3</v>
      </c>
      <c r="O29" s="10" t="s">
        <v>5345</v>
      </c>
      <c r="P29" s="10" t="s">
        <v>18</v>
      </c>
      <c r="Q29" s="21">
        <v>46022</v>
      </c>
      <c r="R29" s="10" t="s">
        <v>5431</v>
      </c>
      <c r="S29" s="21">
        <f>Q29+7</f>
        <v>46029</v>
      </c>
      <c r="T29" s="21">
        <v>46032</v>
      </c>
      <c r="U29" s="92">
        <f t="shared" si="3"/>
        <v>3</v>
      </c>
      <c r="V29" s="10" t="s">
        <v>5441</v>
      </c>
      <c r="W29" s="10" t="s">
        <v>5</v>
      </c>
      <c r="X29" s="21">
        <v>46046</v>
      </c>
      <c r="Y29" s="10" t="s">
        <v>5650</v>
      </c>
      <c r="Z29" s="20">
        <f>X29+7</f>
        <v>46053</v>
      </c>
      <c r="AA29" s="21">
        <v>46067</v>
      </c>
      <c r="AB29" s="91">
        <f>AA29-Z29</f>
        <v>14</v>
      </c>
      <c r="AC29" s="10" t="s">
        <v>5663</v>
      </c>
      <c r="AD29" s="10"/>
      <c r="AE29" s="21"/>
      <c r="AF29" s="10"/>
      <c r="AG29" s="10"/>
      <c r="AH29" s="21"/>
      <c r="AI29" s="21"/>
      <c r="AJ29" s="10"/>
      <c r="AK29" s="10"/>
      <c r="AL29" s="17"/>
      <c r="AM29" s="11"/>
      <c r="AN29" s="11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1"/>
      <c r="BF29" s="460"/>
    </row>
    <row r="30" spans="1:58" s="381" customFormat="1" ht="42" customHeight="1" x14ac:dyDescent="0.25">
      <c r="A30" s="367">
        <v>100008</v>
      </c>
      <c r="B30" s="16" t="s">
        <v>5</v>
      </c>
      <c r="C30" s="13" t="s">
        <v>208</v>
      </c>
      <c r="D30" s="12" t="s">
        <v>6600</v>
      </c>
      <c r="E30" s="12" t="s">
        <v>6601</v>
      </c>
      <c r="F30" s="16" t="s">
        <v>6603</v>
      </c>
      <c r="G30" s="10" t="s">
        <v>172</v>
      </c>
      <c r="H30" s="10" t="s">
        <v>95</v>
      </c>
      <c r="I30" s="16" t="s">
        <v>18</v>
      </c>
      <c r="J30" s="14">
        <v>46142</v>
      </c>
      <c r="K30" s="13" t="s">
        <v>6602</v>
      </c>
      <c r="L30" s="14">
        <f t="shared" si="2"/>
        <v>46149</v>
      </c>
      <c r="M30" s="14">
        <v>46153</v>
      </c>
      <c r="N30" s="92">
        <f t="shared" si="1"/>
        <v>4</v>
      </c>
      <c r="O30" s="10" t="s">
        <v>6613</v>
      </c>
      <c r="P30" s="12" t="s">
        <v>5</v>
      </c>
      <c r="Q30" s="21">
        <v>46154</v>
      </c>
      <c r="R30" s="10" t="s">
        <v>6753</v>
      </c>
      <c r="S30" s="21">
        <f>Q30+7</f>
        <v>46161</v>
      </c>
      <c r="T30" s="21">
        <v>46162</v>
      </c>
      <c r="U30" s="92">
        <f t="shared" si="3"/>
        <v>1</v>
      </c>
      <c r="V30" s="10" t="s">
        <v>6776</v>
      </c>
      <c r="W30" s="10"/>
      <c r="X30" s="21"/>
      <c r="Y30" s="10"/>
      <c r="Z30" s="10"/>
      <c r="AA30" s="21"/>
      <c r="AB30" s="21"/>
      <c r="AC30" s="10"/>
      <c r="AD30" s="10"/>
      <c r="AE30" s="21"/>
      <c r="AF30" s="10"/>
      <c r="AG30" s="10"/>
      <c r="AH30" s="21"/>
      <c r="AI30" s="21"/>
      <c r="AJ30" s="10"/>
      <c r="AK30" s="10"/>
      <c r="AL30" s="17"/>
      <c r="AM30" s="11"/>
      <c r="AN30" s="11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1"/>
      <c r="BF30" s="460"/>
    </row>
    <row r="31" spans="1:58" s="381" customFormat="1" ht="42" customHeight="1" thickBot="1" x14ac:dyDescent="0.3">
      <c r="A31" s="369"/>
      <c r="B31" s="371"/>
      <c r="C31" s="371"/>
      <c r="D31" s="370"/>
      <c r="E31" s="370"/>
      <c r="F31" s="262"/>
      <c r="G31" s="263"/>
      <c r="H31" s="263"/>
      <c r="I31" s="262"/>
      <c r="J31" s="474"/>
      <c r="K31" s="373"/>
      <c r="L31" s="373"/>
      <c r="M31" s="474"/>
      <c r="N31" s="474"/>
      <c r="O31" s="263"/>
      <c r="P31" s="263"/>
      <c r="Q31" s="374"/>
      <c r="R31" s="263"/>
      <c r="S31" s="263"/>
      <c r="T31" s="374"/>
      <c r="U31" s="374"/>
      <c r="V31" s="263"/>
      <c r="W31" s="263"/>
      <c r="X31" s="374"/>
      <c r="Y31" s="263"/>
      <c r="Z31" s="263"/>
      <c r="AA31" s="374"/>
      <c r="AB31" s="374"/>
      <c r="AC31" s="263"/>
      <c r="AD31" s="263"/>
      <c r="AE31" s="374"/>
      <c r="AF31" s="263"/>
      <c r="AG31" s="263"/>
      <c r="AH31" s="374"/>
      <c r="AI31" s="374"/>
      <c r="AJ31" s="263"/>
      <c r="AK31" s="263"/>
      <c r="AL31" s="376"/>
      <c r="AM31" s="371"/>
      <c r="AN31" s="371"/>
      <c r="AO31" s="376"/>
      <c r="AP31" s="376"/>
      <c r="AQ31" s="376"/>
      <c r="AR31" s="376"/>
      <c r="AS31" s="376"/>
      <c r="AT31" s="376"/>
      <c r="AU31" s="376"/>
      <c r="AV31" s="376"/>
      <c r="AW31" s="376"/>
      <c r="AX31" s="376"/>
      <c r="AY31" s="376"/>
      <c r="AZ31" s="376"/>
      <c r="BA31" s="376"/>
      <c r="BB31" s="376"/>
      <c r="BC31" s="376"/>
      <c r="BD31" s="376"/>
      <c r="BE31" s="371"/>
      <c r="BF31" s="490"/>
    </row>
    <row r="32" spans="1:58" ht="14.25" x14ac:dyDescent="0.25">
      <c r="BF32" s="455"/>
    </row>
    <row r="33" spans="58:58" ht="14.25" x14ac:dyDescent="0.25">
      <c r="BF33" s="455"/>
    </row>
    <row r="34" spans="58:58" ht="14.25" x14ac:dyDescent="0.25">
      <c r="BF34" s="394"/>
    </row>
    <row r="35" spans="58:58" ht="14.25" x14ac:dyDescent="0.25">
      <c r="BF35" s="394"/>
    </row>
    <row r="36" spans="58:58" ht="14.25" x14ac:dyDescent="0.25">
      <c r="BF36" s="394"/>
    </row>
    <row r="37" spans="58:58" ht="14.25" x14ac:dyDescent="0.25">
      <c r="BF37" s="394"/>
    </row>
    <row r="38" spans="58:58" ht="14.25" x14ac:dyDescent="0.25">
      <c r="BF38" s="394"/>
    </row>
    <row r="39" spans="58:58" ht="14.25" x14ac:dyDescent="0.25">
      <c r="BF39" s="394"/>
    </row>
    <row r="40" spans="58:58" ht="14.25" x14ac:dyDescent="0.25">
      <c r="BF40" s="394"/>
    </row>
    <row r="41" spans="58:58" ht="14.25" x14ac:dyDescent="0.25">
      <c r="BF41" s="394"/>
    </row>
    <row r="42" spans="58:58" ht="14.25" x14ac:dyDescent="0.25">
      <c r="BF42" s="394"/>
    </row>
    <row r="43" spans="58:58" ht="14.25" x14ac:dyDescent="0.25">
      <c r="BF43" s="394"/>
    </row>
    <row r="44" spans="58:58" ht="14.25" x14ac:dyDescent="0.25">
      <c r="BF44" s="394"/>
    </row>
    <row r="45" spans="58:58" ht="14.25" x14ac:dyDescent="0.25">
      <c r="BF45" s="394"/>
    </row>
    <row r="46" spans="58:58" ht="14.25" x14ac:dyDescent="0.25">
      <c r="BF46" s="394"/>
    </row>
    <row r="47" spans="58:58" ht="14.25" x14ac:dyDescent="0.25">
      <c r="BF47" s="394"/>
    </row>
    <row r="48" spans="58:58" ht="14.25" x14ac:dyDescent="0.25">
      <c r="BF48" s="394"/>
    </row>
    <row r="49" spans="58:58" ht="14.25" x14ac:dyDescent="0.25">
      <c r="BF49" s="394"/>
    </row>
    <row r="50" spans="58:58" ht="14.25" x14ac:dyDescent="0.25">
      <c r="BF50" s="394"/>
    </row>
    <row r="51" spans="58:58" ht="14.25" x14ac:dyDescent="0.25">
      <c r="BF51" s="394"/>
    </row>
    <row r="52" spans="58:58" ht="14.25" x14ac:dyDescent="0.25">
      <c r="BF52" s="394"/>
    </row>
    <row r="53" spans="58:58" ht="14.25" x14ac:dyDescent="0.25">
      <c r="BF53" s="394"/>
    </row>
    <row r="54" spans="58:58" ht="14.25" x14ac:dyDescent="0.25">
      <c r="BF54" s="394"/>
    </row>
    <row r="55" spans="58:58" ht="14.25" x14ac:dyDescent="0.25">
      <c r="BF55" s="394"/>
    </row>
    <row r="56" spans="58:58" ht="14.25" x14ac:dyDescent="0.25">
      <c r="BF56" s="394"/>
    </row>
    <row r="57" spans="58:58" ht="14.25" x14ac:dyDescent="0.25">
      <c r="BF57" s="394"/>
    </row>
    <row r="58" spans="58:58" ht="14.25" x14ac:dyDescent="0.25">
      <c r="BF58" s="394"/>
    </row>
    <row r="59" spans="58:58" ht="14.25" x14ac:dyDescent="0.25">
      <c r="BF59" s="394"/>
    </row>
    <row r="60" spans="58:58" ht="14.25" x14ac:dyDescent="0.25">
      <c r="BF60" s="394"/>
    </row>
    <row r="61" spans="58:58" ht="14.25" x14ac:dyDescent="0.25">
      <c r="BF61" s="394"/>
    </row>
    <row r="62" spans="58:58" ht="14.25" x14ac:dyDescent="0.25">
      <c r="BF62" s="394"/>
    </row>
    <row r="63" spans="58:58" ht="14.25" x14ac:dyDescent="0.25">
      <c r="BF63" s="394"/>
    </row>
    <row r="64" spans="58:58" ht="14.25" x14ac:dyDescent="0.25">
      <c r="BF64" s="394"/>
    </row>
    <row r="65" spans="58:58" ht="14.25" x14ac:dyDescent="0.25">
      <c r="BF65" s="394"/>
    </row>
    <row r="66" spans="58:58" ht="14.25" x14ac:dyDescent="0.25">
      <c r="BF66" s="394"/>
    </row>
    <row r="67" spans="58:58" ht="14.25" x14ac:dyDescent="0.25">
      <c r="BF67" s="394"/>
    </row>
    <row r="68" spans="58:58" ht="14.25" x14ac:dyDescent="0.25">
      <c r="BF68" s="394"/>
    </row>
    <row r="69" spans="58:58" ht="14.25" x14ac:dyDescent="0.25">
      <c r="BF69" s="394"/>
    </row>
    <row r="70" spans="58:58" ht="14.25" x14ac:dyDescent="0.25">
      <c r="BF70" s="394"/>
    </row>
    <row r="71" spans="58:58" ht="14.25" x14ac:dyDescent="0.25">
      <c r="BF71" s="394"/>
    </row>
    <row r="72" spans="58:58" ht="14.25" x14ac:dyDescent="0.25">
      <c r="BF72" s="394"/>
    </row>
    <row r="73" spans="58:58" ht="14.25" x14ac:dyDescent="0.25">
      <c r="BF73" s="394"/>
    </row>
    <row r="74" spans="58:58" ht="14.25" x14ac:dyDescent="0.25">
      <c r="BF74" s="394"/>
    </row>
    <row r="75" spans="58:58" ht="14.25" x14ac:dyDescent="0.25">
      <c r="BF75" s="394"/>
    </row>
    <row r="76" spans="58:58" ht="14.25" x14ac:dyDescent="0.25">
      <c r="BF76" s="394"/>
    </row>
    <row r="77" spans="58:58" ht="14.25" x14ac:dyDescent="0.25">
      <c r="BF77" s="394"/>
    </row>
    <row r="78" spans="58:58" ht="14.25" x14ac:dyDescent="0.25">
      <c r="BF78" s="394"/>
    </row>
    <row r="79" spans="58:58" ht="14.25" x14ac:dyDescent="0.25">
      <c r="BF79" s="394"/>
    </row>
    <row r="80" spans="58:58" ht="14.25" x14ac:dyDescent="0.25">
      <c r="BF80" s="394"/>
    </row>
    <row r="81" spans="58:58" ht="14.25" x14ac:dyDescent="0.25">
      <c r="BF81" s="394"/>
    </row>
    <row r="82" spans="58:58" ht="14.25" x14ac:dyDescent="0.25">
      <c r="BF82" s="394"/>
    </row>
    <row r="83" spans="58:58" ht="14.25" x14ac:dyDescent="0.25">
      <c r="BF83" s="394"/>
    </row>
    <row r="84" spans="58:58" ht="14.25" x14ac:dyDescent="0.25">
      <c r="BF84" s="394"/>
    </row>
    <row r="85" spans="58:58" ht="14.25" x14ac:dyDescent="0.25">
      <c r="BF85" s="394"/>
    </row>
    <row r="86" spans="58:58" ht="14.25" x14ac:dyDescent="0.25">
      <c r="BF86" s="394"/>
    </row>
    <row r="87" spans="58:58" ht="14.25" x14ac:dyDescent="0.25">
      <c r="BF87" s="394"/>
    </row>
    <row r="88" spans="58:58" ht="14.25" x14ac:dyDescent="0.25">
      <c r="BF88" s="394"/>
    </row>
    <row r="89" spans="58:58" ht="14.25" x14ac:dyDescent="0.25">
      <c r="BF89" s="394"/>
    </row>
    <row r="90" spans="58:58" ht="14.25" x14ac:dyDescent="0.25">
      <c r="BF90" s="394"/>
    </row>
    <row r="91" spans="58:58" ht="14.25" x14ac:dyDescent="0.25">
      <c r="BF91" s="394"/>
    </row>
    <row r="92" spans="58:58" ht="14.25" x14ac:dyDescent="0.25">
      <c r="BF92" s="394"/>
    </row>
    <row r="93" spans="58:58" ht="14.25" x14ac:dyDescent="0.25">
      <c r="BF93" s="394"/>
    </row>
    <row r="94" spans="58:58" ht="14.25" x14ac:dyDescent="0.25">
      <c r="BF94" s="394"/>
    </row>
    <row r="95" spans="58:58" ht="14.25" x14ac:dyDescent="0.25">
      <c r="BF95" s="394"/>
    </row>
    <row r="96" spans="58:58" ht="14.25" x14ac:dyDescent="0.25">
      <c r="BF96" s="394"/>
    </row>
    <row r="97" spans="58:58" ht="14.25" x14ac:dyDescent="0.25">
      <c r="BF97" s="394"/>
    </row>
    <row r="98" spans="58:58" ht="14.25" x14ac:dyDescent="0.25">
      <c r="BF98" s="394"/>
    </row>
    <row r="99" spans="58:58" ht="14.25" x14ac:dyDescent="0.25">
      <c r="BF99" s="394"/>
    </row>
    <row r="100" spans="58:58" ht="14.25" x14ac:dyDescent="0.25">
      <c r="BF100" s="394"/>
    </row>
    <row r="101" spans="58:58" ht="14.25" x14ac:dyDescent="0.25">
      <c r="BF101" s="394"/>
    </row>
    <row r="102" spans="58:58" ht="14.25" x14ac:dyDescent="0.25">
      <c r="BF102" s="394"/>
    </row>
    <row r="103" spans="58:58" ht="14.25" x14ac:dyDescent="0.25">
      <c r="BF103" s="394"/>
    </row>
    <row r="104" spans="58:58" ht="14.25" x14ac:dyDescent="0.25">
      <c r="BF104" s="394"/>
    </row>
    <row r="105" spans="58:58" ht="14.25" x14ac:dyDescent="0.25">
      <c r="BF105" s="394"/>
    </row>
    <row r="106" spans="58:58" ht="14.25" x14ac:dyDescent="0.25">
      <c r="BF106" s="394"/>
    </row>
    <row r="107" spans="58:58" ht="14.25" x14ac:dyDescent="0.25">
      <c r="BF107" s="394"/>
    </row>
    <row r="108" spans="58:58" ht="14.25" x14ac:dyDescent="0.25">
      <c r="BF108" s="394"/>
    </row>
    <row r="109" spans="58:58" ht="14.25" x14ac:dyDescent="0.25">
      <c r="BF109" s="394"/>
    </row>
    <row r="110" spans="58:58" ht="14.25" x14ac:dyDescent="0.25">
      <c r="BF110" s="394"/>
    </row>
    <row r="111" spans="58:58" ht="14.25" x14ac:dyDescent="0.25">
      <c r="BF111" s="394"/>
    </row>
    <row r="112" spans="58:58" ht="14.25" x14ac:dyDescent="0.25">
      <c r="BF112" s="394"/>
    </row>
    <row r="113" spans="58:58" ht="14.25" x14ac:dyDescent="0.25">
      <c r="BF113" s="394"/>
    </row>
    <row r="114" spans="58:58" ht="14.25" x14ac:dyDescent="0.25">
      <c r="BF114" s="394"/>
    </row>
    <row r="115" spans="58:58" ht="14.25" x14ac:dyDescent="0.25">
      <c r="BF115" s="394"/>
    </row>
    <row r="116" spans="58:58" ht="14.25" x14ac:dyDescent="0.25">
      <c r="BF116" s="394"/>
    </row>
    <row r="117" spans="58:58" ht="14.25" x14ac:dyDescent="0.25">
      <c r="BF117" s="394"/>
    </row>
    <row r="118" spans="58:58" ht="14.25" x14ac:dyDescent="0.25">
      <c r="BF118" s="394"/>
    </row>
    <row r="119" spans="58:58" ht="14.25" x14ac:dyDescent="0.25">
      <c r="BF119" s="394"/>
    </row>
    <row r="120" spans="58:58" ht="14.25" x14ac:dyDescent="0.25">
      <c r="BF120" s="394"/>
    </row>
    <row r="121" spans="58:58" ht="14.25" x14ac:dyDescent="0.25">
      <c r="BF121" s="394"/>
    </row>
    <row r="122" spans="58:58" ht="14.25" x14ac:dyDescent="0.25">
      <c r="BF122" s="394"/>
    </row>
    <row r="123" spans="58:58" ht="14.25" x14ac:dyDescent="0.25">
      <c r="BF123" s="394"/>
    </row>
    <row r="124" spans="58:58" ht="14.25" x14ac:dyDescent="0.25">
      <c r="BF124" s="394"/>
    </row>
    <row r="125" spans="58:58" ht="14.25" x14ac:dyDescent="0.25">
      <c r="BF125" s="394"/>
    </row>
    <row r="126" spans="58:58" ht="14.25" x14ac:dyDescent="0.25">
      <c r="BF126" s="394"/>
    </row>
    <row r="127" spans="58:58" ht="14.25" x14ac:dyDescent="0.25">
      <c r="BF127" s="394"/>
    </row>
    <row r="128" spans="58:58" ht="14.25" x14ac:dyDescent="0.25">
      <c r="BF128" s="394"/>
    </row>
    <row r="129" spans="58:58" ht="14.25" x14ac:dyDescent="0.25">
      <c r="BF129" s="394"/>
    </row>
    <row r="130" spans="58:58" ht="14.25" x14ac:dyDescent="0.25">
      <c r="BF130" s="394"/>
    </row>
    <row r="131" spans="58:58" ht="14.25" x14ac:dyDescent="0.25">
      <c r="BF131" s="394"/>
    </row>
    <row r="132" spans="58:58" ht="14.25" x14ac:dyDescent="0.25">
      <c r="BF132" s="394"/>
    </row>
    <row r="133" spans="58:58" ht="14.25" x14ac:dyDescent="0.25">
      <c r="BF133" s="394"/>
    </row>
    <row r="134" spans="58:58" ht="14.25" x14ac:dyDescent="0.25">
      <c r="BF134" s="394"/>
    </row>
    <row r="135" spans="58:58" ht="14.25" x14ac:dyDescent="0.25">
      <c r="BF135" s="394"/>
    </row>
    <row r="136" spans="58:58" ht="14.25" x14ac:dyDescent="0.25">
      <c r="BF136" s="394"/>
    </row>
    <row r="137" spans="58:58" ht="14.25" x14ac:dyDescent="0.25">
      <c r="BF137" s="394"/>
    </row>
    <row r="138" spans="58:58" ht="14.25" x14ac:dyDescent="0.25">
      <c r="BF138" s="394"/>
    </row>
  </sheetData>
  <autoFilter ref="A11:BF11" xr:uid="{00000000-0001-0000-2000-000000000000}"/>
  <mergeCells count="18">
    <mergeCell ref="H1:H2"/>
    <mergeCell ref="I1:I2"/>
    <mergeCell ref="A10:A11"/>
    <mergeCell ref="G10:G11"/>
    <mergeCell ref="B10:B11"/>
    <mergeCell ref="C10:C11"/>
    <mergeCell ref="D10:D11"/>
    <mergeCell ref="E10:E11"/>
    <mergeCell ref="F10:F11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2:XFD1048576">
    <cfRule type="cellIs" dxfId="1386" priority="8" operator="equal">
      <formula>"B- Incorporate Comments - Proceed"</formula>
    </cfRule>
    <cfRule type="cellIs" dxfId="1385" priority="6" operator="equal">
      <formula>"E - Review not Required - Proceed"</formula>
    </cfRule>
    <cfRule type="cellIs" dxfId="1384" priority="7" operator="equal">
      <formula>"D - Rejected"</formula>
    </cfRule>
    <cfRule type="cellIs" dxfId="1383" priority="9" operator="equal">
      <formula>"C - Revise and Resubmit - Do Not Proceed"</formula>
    </cfRule>
    <cfRule type="cellIs" dxfId="1382" priority="10" operator="equal">
      <formula>"A - Work May Proceed"</formula>
    </cfRule>
  </conditionalFormatting>
  <conditionalFormatting sqref="D11:BE11 B1:G2 X1:XFD9 B3:H4 B9:H9 B10:XFD10 A10:A11 B11">
    <cfRule type="cellIs" dxfId="1381" priority="54" operator="equal">
      <formula>"C - Revise and Resubmit - Do Not Proceed"</formula>
    </cfRule>
    <cfRule type="cellIs" dxfId="1380" priority="53" operator="equal">
      <formula>"B- Incorporate Comments - Proceed"</formula>
    </cfRule>
    <cfRule type="cellIs" dxfId="1379" priority="52" operator="equal">
      <formula>"D - Rejected"</formula>
    </cfRule>
    <cfRule type="cellIs" dxfId="1378" priority="51" operator="equal">
      <formula>"E - Review not Required - Proceed"</formula>
    </cfRule>
    <cfRule type="cellIs" dxfId="1377" priority="55" operator="equal">
      <formula>"A - Work May Proceed"</formula>
    </cfRule>
  </conditionalFormatting>
  <conditionalFormatting sqref="I11">
    <cfRule type="cellIs" dxfId="1376" priority="135" stopIfTrue="1" operator="between">
      <formula>"B - Incorporate Comments - Proceed "</formula>
      <formula>"B - Incorporate Comments - Proceed "</formula>
    </cfRule>
    <cfRule type="cellIs" dxfId="1375" priority="134" operator="between">
      <formula>"C - Revise and Resubmit - Do Not Proceed"</formula>
      <formula>"C - Revise and Resubmit - Do Not Proceed"</formula>
    </cfRule>
    <cfRule type="cellIs" dxfId="1374" priority="120" operator="equal">
      <formula>"B - Incorporate Comments - Proceed"</formula>
    </cfRule>
    <cfRule type="cellIs" dxfId="1373" priority="133" operator="between">
      <formula>"A - Work May Proceed"</formula>
      <formula>"A - Work May Proceed"</formula>
    </cfRule>
    <cfRule type="cellIs" dxfId="1372" priority="132" operator="between">
      <formula>"CANCELLED"</formula>
      <formula>"CANCELLED"</formula>
    </cfRule>
    <cfRule type="cellIs" dxfId="1371" priority="131" operator="between">
      <formula>"D - Rejected "</formula>
      <formula>"D - Rejected "</formula>
    </cfRule>
    <cfRule type="cellIs" dxfId="1370" priority="130" operator="between">
      <formula>"E - Review not Required - Proceed"</formula>
      <formula>"E - Review not Required - Proceed"</formula>
    </cfRule>
    <cfRule type="cellIs" dxfId="1369" priority="129" operator="between">
      <formula>"B - Incorporate Comments - Proceed"</formula>
      <formula>"B - Incorporate Comments - Proceed"</formula>
    </cfRule>
    <cfRule type="cellIs" dxfId="1368" priority="128" operator="between">
      <formula>"A - Work May Proceed"</formula>
      <formula>"A - Work May Proceed"</formula>
    </cfRule>
    <cfRule type="cellIs" dxfId="1367" priority="127" operator="between">
      <formula>"B - Incorporate Comments - Proceed"</formula>
      <formula>"B - Incorporate Comments - Proceed"</formula>
    </cfRule>
    <cfRule type="cellIs" dxfId="1366" priority="126" operator="between">
      <formula>"C - Revise and Resubmit - Do Not Proceed"</formula>
      <formula>"C - Revise and Resubmit - Do Not Proceed"</formula>
    </cfRule>
    <cfRule type="cellIs" dxfId="1365" priority="125" operator="between">
      <formula>"'D - Rejected "</formula>
      <formula>"'D - Rejected "</formula>
    </cfRule>
    <cfRule type="cellIs" dxfId="1364" priority="124" operator="between">
      <formula>"E - Review not Required - Proceed"</formula>
      <formula>"E - Review not Required - Proceed"</formula>
    </cfRule>
    <cfRule type="cellIs" dxfId="1363" priority="123" operator="equal">
      <formula>"E - Review Not Required - Proceed"</formula>
    </cfRule>
    <cfRule type="cellIs" dxfId="1362" priority="122" operator="equal">
      <formula>"B - Incorporate Comments - Proceed "</formula>
    </cfRule>
    <cfRule type="cellIs" dxfId="1361" priority="121" operator="equal">
      <formula>"For Information"</formula>
    </cfRule>
  </conditionalFormatting>
  <conditionalFormatting sqref="J5:J6 B5:I7 B8:J8">
    <cfRule type="cellIs" dxfId="1360" priority="2" operator="equal">
      <formula>"D - Rejected"</formula>
    </cfRule>
    <cfRule type="cellIs" dxfId="1359" priority="3" operator="equal">
      <formula>"B- Incorporate Comments - Proceed"</formula>
    </cfRule>
    <cfRule type="cellIs" dxfId="1358" priority="4" operator="equal">
      <formula>"C - Revise and Resubmit - Do Not Proceed"</formula>
    </cfRule>
    <cfRule type="cellIs" dxfId="1357" priority="5" stopIfTrue="1" operator="equal">
      <formula>"A - Work May Proceed"</formula>
    </cfRule>
    <cfRule type="cellIs" dxfId="1356" priority="1" operator="equal">
      <formula>"E - Review not Required - Proceed"</formula>
    </cfRule>
  </conditionalFormatting>
  <conditionalFormatting sqref="P11">
    <cfRule type="cellIs" dxfId="1355" priority="118" operator="between">
      <formula>"C - Revise and Resubmit - Do Not Proceed"</formula>
      <formula>"C - Revise and Resubmit - Do Not Proceed"</formula>
    </cfRule>
    <cfRule type="cellIs" dxfId="1354" priority="117" operator="between">
      <formula>"A - Work May Proceed"</formula>
      <formula>"A - Work May Proceed"</formula>
    </cfRule>
    <cfRule type="cellIs" dxfId="1353" priority="116" operator="between">
      <formula>"CANCELLED"</formula>
      <formula>"CANCELLED"</formula>
    </cfRule>
    <cfRule type="cellIs" dxfId="1352" priority="115" operator="between">
      <formula>"D - Rejected "</formula>
      <formula>"D - Rejected "</formula>
    </cfRule>
    <cfRule type="cellIs" dxfId="1351" priority="114" operator="between">
      <formula>"E - Review not Required - Proceed"</formula>
      <formula>"E - Review not Required - Proceed"</formula>
    </cfRule>
    <cfRule type="cellIs" dxfId="1350" priority="113" operator="between">
      <formula>"B - Incorporate Comments - Proceed"</formula>
      <formula>"B - Incorporate Comments - Proceed"</formula>
    </cfRule>
    <cfRule type="cellIs" dxfId="1349" priority="112" operator="between">
      <formula>"A - Work May Proceed"</formula>
      <formula>"A - Work May Proceed"</formula>
    </cfRule>
    <cfRule type="cellIs" dxfId="1348" priority="111" operator="between">
      <formula>"B - Incorporate Comments - Proceed"</formula>
      <formula>"B - Incorporate Comments - Proceed"</formula>
    </cfRule>
    <cfRule type="cellIs" dxfId="1347" priority="110" operator="between">
      <formula>"C - Revise and Resubmit - Do Not Proceed"</formula>
      <formula>"C - Revise and Resubmit - Do Not Proceed"</formula>
    </cfRule>
    <cfRule type="cellIs" dxfId="1346" priority="109" operator="between">
      <formula>"'D - Rejected "</formula>
      <formula>"'D - Rejected "</formula>
    </cfRule>
    <cfRule type="cellIs" dxfId="1345" priority="108" operator="between">
      <formula>"E - Review not Required - Proceed"</formula>
      <formula>"E - Review not Required - Proceed"</formula>
    </cfRule>
    <cfRule type="cellIs" dxfId="1344" priority="107" operator="equal">
      <formula>"E - Review Not Required - Proceed"</formula>
    </cfRule>
    <cfRule type="cellIs" dxfId="1343" priority="106" operator="equal">
      <formula>"B - Incorporate Comments - Proceed "</formula>
    </cfRule>
    <cfRule type="cellIs" dxfId="1342" priority="105" operator="equal">
      <formula>"For Information"</formula>
    </cfRule>
    <cfRule type="cellIs" dxfId="1341" priority="104" operator="equal">
      <formula>"B - Incorporate Comments - Proceed"</formula>
    </cfRule>
    <cfRule type="cellIs" dxfId="1340" priority="119" stopIfTrue="1" operator="between">
      <formula>"B - Incorporate Comments - Proceed "</formula>
      <formula>"B - Incorporate Comments - Proceed "</formula>
    </cfRule>
  </conditionalFormatting>
  <conditionalFormatting sqref="W11">
    <cfRule type="cellIs" dxfId="1339" priority="102" operator="between">
      <formula>"C - Revise and Resubmit - Do Not Proceed"</formula>
      <formula>"C - Revise and Resubmit - Do Not Proceed"</formula>
    </cfRule>
    <cfRule type="cellIs" dxfId="1338" priority="101" operator="between">
      <formula>"A - Work May Proceed"</formula>
      <formula>"A - Work May Proceed"</formula>
    </cfRule>
    <cfRule type="cellIs" dxfId="1337" priority="100" operator="between">
      <formula>"CANCELLED"</formula>
      <formula>"CANCELLED"</formula>
    </cfRule>
    <cfRule type="cellIs" dxfId="1336" priority="88" operator="equal">
      <formula>"B - Incorporate Comments - Proceed"</formula>
    </cfRule>
    <cfRule type="cellIs" dxfId="1335" priority="89" operator="equal">
      <formula>"For Information"</formula>
    </cfRule>
    <cfRule type="cellIs" dxfId="1334" priority="90" operator="equal">
      <formula>"B - Incorporate Comments - Proceed "</formula>
    </cfRule>
    <cfRule type="cellIs" dxfId="1333" priority="91" operator="equal">
      <formula>"E - Review Not Required - Proceed"</formula>
    </cfRule>
    <cfRule type="cellIs" dxfId="1332" priority="103" stopIfTrue="1" operator="between">
      <formula>"B - Incorporate Comments - Proceed "</formula>
      <formula>"B - Incorporate Comments - Proceed "</formula>
    </cfRule>
    <cfRule type="cellIs" dxfId="1331" priority="99" operator="between">
      <formula>"D - Rejected "</formula>
      <formula>"D - Rejected "</formula>
    </cfRule>
    <cfRule type="cellIs" dxfId="1330" priority="98" operator="between">
      <formula>"E - Review not Required - Proceed"</formula>
      <formula>"E - Review not Required - Proceed"</formula>
    </cfRule>
    <cfRule type="cellIs" dxfId="1329" priority="97" operator="between">
      <formula>"B - Incorporate Comments - Proceed"</formula>
      <formula>"B - Incorporate Comments - Proceed"</formula>
    </cfRule>
    <cfRule type="cellIs" dxfId="1328" priority="96" operator="between">
      <formula>"A - Work May Proceed"</formula>
      <formula>"A - Work May Proceed"</formula>
    </cfRule>
    <cfRule type="cellIs" dxfId="1327" priority="95" operator="between">
      <formula>"B - Incorporate Comments - Proceed"</formula>
      <formula>"B - Incorporate Comments - Proceed"</formula>
    </cfRule>
    <cfRule type="cellIs" dxfId="1326" priority="94" operator="between">
      <formula>"C - Revise and Resubmit - Do Not Proceed"</formula>
      <formula>"C - Revise and Resubmit - Do Not Proceed"</formula>
    </cfRule>
    <cfRule type="cellIs" dxfId="1325" priority="93" operator="between">
      <formula>"'D - Rejected "</formula>
      <formula>"'D - Rejected "</formula>
    </cfRule>
    <cfRule type="cellIs" dxfId="1324" priority="92" operator="between">
      <formula>"E - Review not Required - Proceed"</formula>
      <formula>"E - Review not Required - Proceed"</formula>
    </cfRule>
  </conditionalFormatting>
  <conditionalFormatting sqref="AD11">
    <cfRule type="cellIs" dxfId="1323" priority="83" operator="between">
      <formula>"D - Rejected "</formula>
      <formula>"D - Rejected "</formula>
    </cfRule>
    <cfRule type="cellIs" dxfId="1322" priority="85" operator="between">
      <formula>"A - Work May Proceed"</formula>
      <formula>"A - Work May Proceed"</formula>
    </cfRule>
    <cfRule type="cellIs" dxfId="1321" priority="86" operator="between">
      <formula>"C - Revise and Resubmit - Do Not Proceed"</formula>
      <formula>"C - Revise and Resubmit - Do Not Proceed"</formula>
    </cfRule>
    <cfRule type="cellIs" dxfId="1320" priority="87" stopIfTrue="1" operator="between">
      <formula>"B - Incorporate Comments - Proceed "</formula>
      <formula>"B - Incorporate Comments - Proceed "</formula>
    </cfRule>
    <cfRule type="cellIs" dxfId="1319" priority="84" operator="between">
      <formula>"CANCELLED"</formula>
      <formula>"CANCELLED"</formula>
    </cfRule>
    <cfRule type="cellIs" dxfId="1318" priority="72" operator="equal">
      <formula>"B - Incorporate Comments - Proceed"</formula>
    </cfRule>
    <cfRule type="cellIs" dxfId="1317" priority="73" operator="equal">
      <formula>"For Information"</formula>
    </cfRule>
    <cfRule type="cellIs" dxfId="1316" priority="74" operator="equal">
      <formula>"B - Incorporate Comments - Proceed "</formula>
    </cfRule>
    <cfRule type="cellIs" dxfId="1315" priority="75" operator="equal">
      <formula>"E - Review Not Required - Proceed"</formula>
    </cfRule>
    <cfRule type="cellIs" dxfId="1314" priority="76" operator="between">
      <formula>"E - Review not Required - Proceed"</formula>
      <formula>"E - Review not Required - Proceed"</formula>
    </cfRule>
    <cfRule type="cellIs" dxfId="1313" priority="77" operator="between">
      <formula>"'D - Rejected "</formula>
      <formula>"'D - Rejected "</formula>
    </cfRule>
    <cfRule type="cellIs" dxfId="1312" priority="78" operator="between">
      <formula>"C - Revise and Resubmit - Do Not Proceed"</formula>
      <formula>"C - Revise and Resubmit - Do Not Proceed"</formula>
    </cfRule>
    <cfRule type="cellIs" dxfId="1311" priority="79" operator="between">
      <formula>"B - Incorporate Comments - Proceed"</formula>
      <formula>"B - Incorporate Comments - Proceed"</formula>
    </cfRule>
    <cfRule type="cellIs" dxfId="1310" priority="80" operator="between">
      <formula>"A - Work May Proceed"</formula>
      <formula>"A - Work May Proceed"</formula>
    </cfRule>
    <cfRule type="cellIs" dxfId="1309" priority="81" operator="between">
      <formula>"B - Incorporate Comments - Proceed"</formula>
      <formula>"B - Incorporate Comments - Proceed"</formula>
    </cfRule>
    <cfRule type="cellIs" dxfId="1308" priority="82" operator="between">
      <formula>"E - Review not Required - Proceed"</formula>
      <formula>"E - Review not Required - Proceed"</formula>
    </cfRule>
  </conditionalFormatting>
  <conditionalFormatting sqref="AK11">
    <cfRule type="cellIs" dxfId="1307" priority="71" stopIfTrue="1" operator="between">
      <formula>"B - Incorporate Comments - Proceed "</formula>
      <formula>"B - Incorporate Comments - Proceed "</formula>
    </cfRule>
    <cfRule type="cellIs" dxfId="1306" priority="59" operator="equal">
      <formula>"E - Review Not Required - Proceed"</formula>
    </cfRule>
    <cfRule type="cellIs" dxfId="1305" priority="58" operator="equal">
      <formula>"B - Incorporate Comments - Proceed "</formula>
    </cfRule>
    <cfRule type="cellIs" dxfId="1304" priority="57" operator="equal">
      <formula>"For Information"</formula>
    </cfRule>
    <cfRule type="cellIs" dxfId="1303" priority="68" operator="between">
      <formula>"CANCELLED"</formula>
      <formula>"CANCELLED"</formula>
    </cfRule>
    <cfRule type="cellIs" dxfId="1302" priority="69" operator="between">
      <formula>"A - Work May Proceed"</formula>
      <formula>"A - Work May Proceed"</formula>
    </cfRule>
    <cfRule type="cellIs" dxfId="1301" priority="70" operator="between">
      <formula>"C - Revise and Resubmit - Do Not Proceed"</formula>
      <formula>"C - Revise and Resubmit - Do Not Proceed"</formula>
    </cfRule>
    <cfRule type="cellIs" dxfId="1300" priority="61" operator="between">
      <formula>"'D - Rejected "</formula>
      <formula>"'D - Rejected "</formula>
    </cfRule>
    <cfRule type="cellIs" dxfId="1299" priority="67" operator="between">
      <formula>"D - Rejected "</formula>
      <formula>"D - Rejected "</formula>
    </cfRule>
    <cfRule type="cellIs" dxfId="1298" priority="66" operator="between">
      <formula>"E - Review not Required - Proceed"</formula>
      <formula>"E - Review not Required - Proceed"</formula>
    </cfRule>
    <cfRule type="cellIs" dxfId="1297" priority="65" operator="between">
      <formula>"B - Incorporate Comments - Proceed"</formula>
      <formula>"B - Incorporate Comments - Proceed"</formula>
    </cfRule>
    <cfRule type="cellIs" dxfId="1296" priority="64" operator="between">
      <formula>"A - Work May Proceed"</formula>
      <formula>"A - Work May Proceed"</formula>
    </cfRule>
    <cfRule type="cellIs" dxfId="1295" priority="63" operator="between">
      <formula>"B - Incorporate Comments - Proceed"</formula>
      <formula>"B - Incorporate Comments - Proceed"</formula>
    </cfRule>
    <cfRule type="cellIs" dxfId="1294" priority="62" operator="between">
      <formula>"C - Revise and Resubmit - Do Not Proceed"</formula>
      <formula>"C - Revise and Resubmit - Do Not Proceed"</formula>
    </cfRule>
    <cfRule type="cellIs" dxfId="1293" priority="56" operator="equal">
      <formula>"B - Incorporate Comments - Proceed"</formula>
    </cfRule>
    <cfRule type="cellIs" dxfId="1292" priority="60" operator="between">
      <formula>"E - Review not Required - Proceed"</formula>
      <formula>"E - Review not Required - Proceed"</formula>
    </cfRule>
  </conditionalFormatting>
  <conditionalFormatting sqref="AR11">
    <cfRule type="cellIs" dxfId="1291" priority="12" operator="equal">
      <formula>"D - Rejected"</formula>
    </cfRule>
    <cfRule type="cellIs" dxfId="1290" priority="13" operator="equal">
      <formula>"B - Incorporate Comments - Proceed"</formula>
    </cfRule>
    <cfRule type="cellIs" dxfId="1289" priority="14" operator="equal">
      <formula>"C - Revise and Resubmit - Do Not Proceed"</formula>
    </cfRule>
    <cfRule type="cellIs" dxfId="1288" priority="11" operator="equal">
      <formula>"E - Review not Required - Proceed"</formula>
    </cfRule>
    <cfRule type="cellIs" dxfId="1287" priority="24" operator="between">
      <formula>"B - Incorporate Comments - Proceed"</formula>
      <formula>"B - Incorporate Comments - Proceed"</formula>
    </cfRule>
    <cfRule type="cellIs" dxfId="1286" priority="22" operator="between">
      <formula>"B - Incorporate Comments - Proceed"</formula>
      <formula>"B - Incorporate Comments - Proceed"</formula>
    </cfRule>
    <cfRule type="cellIs" dxfId="1285" priority="21" operator="between">
      <formula>"C - Revise and Resubmit - Do Not Proceed"</formula>
      <formula>"C - Revise and Resubmit - Do Not Proceed"</formula>
    </cfRule>
    <cfRule type="cellIs" dxfId="1284" priority="20" operator="between">
      <formula>"'D - Rejected "</formula>
      <formula>"'D - Rejected "</formula>
    </cfRule>
    <cfRule type="cellIs" dxfId="1283" priority="19" operator="between">
      <formula>"E - Review not Required - Proceed"</formula>
      <formula>"E - Review not Required - Proceed"</formula>
    </cfRule>
    <cfRule type="cellIs" dxfId="1282" priority="18" operator="equal">
      <formula>"E - Review Not Required - Proceed"</formula>
    </cfRule>
    <cfRule type="cellIs" dxfId="1281" priority="16" operator="equal">
      <formula>"For Information"</formula>
    </cfRule>
    <cfRule type="cellIs" dxfId="1280" priority="15" operator="equal">
      <formula>"A - Work May Proceed"</formula>
    </cfRule>
    <cfRule type="cellIs" dxfId="1279" priority="23" operator="between">
      <formula>"A - Work May Proceed"</formula>
      <formula>"A - Work May Proceed"</formula>
    </cfRule>
    <cfRule type="cellIs" dxfId="1278" priority="17" operator="equal">
      <formula>"B - Incorporate Comments - Proceed "</formula>
    </cfRule>
    <cfRule type="cellIs" dxfId="1277" priority="30" stopIfTrue="1" operator="between">
      <formula>"B - Incorporate Comments - Proceed "</formula>
      <formula>"B - Incorporate Comments - Proceed "</formula>
    </cfRule>
    <cfRule type="cellIs" dxfId="1276" priority="29" operator="between">
      <formula>"C - Revise and Resubmit - Do Not Proceed"</formula>
      <formula>"C - Revise and Resubmit - Do Not Proceed"</formula>
    </cfRule>
    <cfRule type="cellIs" dxfId="1275" priority="28" operator="between">
      <formula>"A - Work May Proceed"</formula>
      <formula>"A - Work May Proceed"</formula>
    </cfRule>
    <cfRule type="cellIs" dxfId="1274" priority="27" operator="between">
      <formula>"CANCELLED"</formula>
      <formula>"CANCELLED"</formula>
    </cfRule>
    <cfRule type="cellIs" dxfId="1273" priority="26" operator="between">
      <formula>"D - Rejected "</formula>
      <formula>"D - Rejected "</formula>
    </cfRule>
    <cfRule type="cellIs" dxfId="1272" priority="25" operator="between">
      <formula>"E - Review not Required - Proceed"</formula>
      <formula>"E - Review not Required - Proceed"</formula>
    </cfRule>
  </conditionalFormatting>
  <conditionalFormatting sqref="AY11">
    <cfRule type="cellIs" dxfId="1271" priority="50" stopIfTrue="1" operator="between">
      <formula>"B - Incorporate Comments - Proceed "</formula>
      <formula>"B - Incorporate Comments - Proceed "</formula>
    </cfRule>
    <cfRule type="cellIs" dxfId="1270" priority="49" operator="between">
      <formula>"C - Revise and Resubmit - Do Not Proceed"</formula>
      <formula>"C - Revise and Resubmit - Do Not Proceed"</formula>
    </cfRule>
    <cfRule type="cellIs" dxfId="1269" priority="48" operator="between">
      <formula>"A - Work May Proceed"</formula>
      <formula>"A - Work May Proceed"</formula>
    </cfRule>
    <cfRule type="cellIs" dxfId="1268" priority="47" operator="between">
      <formula>"CANCELLED"</formula>
      <formula>"CANCELLED"</formula>
    </cfRule>
    <cfRule type="cellIs" dxfId="1267" priority="46" operator="between">
      <formula>"D - Rejected "</formula>
      <formula>"D - Rejected "</formula>
    </cfRule>
    <cfRule type="cellIs" dxfId="1266" priority="45" operator="between">
      <formula>"E - Review not Required - Proceed"</formula>
      <formula>"E - Review not Required - Proceed"</formula>
    </cfRule>
    <cfRule type="cellIs" dxfId="1265" priority="44" operator="between">
      <formula>"B - Incorporate Comments - Proceed"</formula>
      <formula>"B - Incorporate Comments - Proceed"</formula>
    </cfRule>
    <cfRule type="cellIs" dxfId="1264" priority="43" operator="between">
      <formula>"A - Work May Proceed"</formula>
      <formula>"A - Work May Proceed"</formula>
    </cfRule>
    <cfRule type="cellIs" dxfId="1263" priority="37" operator="equal">
      <formula>"B - Incorporate Comments - Proceed "</formula>
    </cfRule>
    <cfRule type="cellIs" dxfId="1262" priority="36" operator="equal">
      <formula>"For Information"</formula>
    </cfRule>
    <cfRule type="cellIs" dxfId="1261" priority="35" operator="equal">
      <formula>"A - Work May Proceed"</formula>
    </cfRule>
    <cfRule type="cellIs" dxfId="1260" priority="34" operator="equal">
      <formula>"C - Revise and Resubmit - Do Not Proceed"</formula>
    </cfRule>
    <cfRule type="cellIs" dxfId="1259" priority="42" operator="between">
      <formula>"B - Incorporate Comments - Proceed"</formula>
      <formula>"B - Incorporate Comments - Proceed"</formula>
    </cfRule>
    <cfRule type="cellIs" dxfId="1258" priority="33" operator="equal">
      <formula>"B - Incorporate Comments - Proceed"</formula>
    </cfRule>
    <cfRule type="cellIs" dxfId="1257" priority="32" operator="equal">
      <formula>"D - Rejected"</formula>
    </cfRule>
    <cfRule type="cellIs" dxfId="1256" priority="41" operator="between">
      <formula>"C - Revise and Resubmit - Do Not Proceed"</formula>
      <formula>"C - Revise and Resubmit - Do Not Proceed"</formula>
    </cfRule>
    <cfRule type="cellIs" dxfId="1255" priority="31" operator="equal">
      <formula>"E - Review not Required - Proceed"</formula>
    </cfRule>
    <cfRule type="cellIs" dxfId="1254" priority="40" operator="between">
      <formula>"'D - Rejected "</formula>
      <formula>"'D - Rejected "</formula>
    </cfRule>
    <cfRule type="cellIs" dxfId="1253" priority="39" operator="between">
      <formula>"E - Review not Required - Proceed"</formula>
      <formula>"E - Review not Required - Proceed"</formula>
    </cfRule>
    <cfRule type="cellIs" dxfId="1252" priority="38" operator="equal">
      <formula>"E - Review Not Required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4">
    <tabColor theme="7"/>
  </sheetPr>
  <dimension ref="A1:BF16"/>
  <sheetViews>
    <sheetView zoomScale="55" zoomScaleNormal="55" zoomScaleSheetLayoutView="63" workbookViewId="0">
      <pane ySplit="11" topLeftCell="A12" activePane="bottomLeft" state="frozen"/>
      <selection activeCell="A14" sqref="A14"/>
      <selection pane="bottomLeft" activeCell="F28" sqref="F28"/>
    </sheetView>
  </sheetViews>
  <sheetFormatPr defaultColWidth="9.140625" defaultRowHeight="15" x14ac:dyDescent="0.25"/>
  <cols>
    <col min="1" max="1" width="22.425781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3" width="30.140625" style="471" customWidth="1"/>
    <col min="14" max="14" width="30.140625" style="396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0.140625" style="398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39" style="44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 s="111"/>
      <c r="O1"/>
      <c r="P1"/>
      <c r="Q1"/>
      <c r="R1"/>
      <c r="S1"/>
      <c r="T1"/>
      <c r="U1" s="111"/>
      <c r="V1"/>
      <c r="W1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2"/>
    </row>
    <row r="2" spans="1:58" s="379" customFormat="1" ht="24" customHeight="1" x14ac:dyDescent="0.35">
      <c r="A2" s="8"/>
      <c r="B2" s="25" t="s">
        <v>28</v>
      </c>
      <c r="C2" s="26" t="s">
        <v>171</v>
      </c>
      <c r="D2" s="26"/>
      <c r="E2" s="26"/>
      <c r="F2" s="27"/>
      <c r="G2" s="8"/>
      <c r="H2" s="548"/>
      <c r="I2" s="558"/>
      <c r="J2"/>
      <c r="K2"/>
      <c r="L2"/>
      <c r="M2"/>
      <c r="N2" s="111"/>
      <c r="O2"/>
      <c r="P2"/>
      <c r="Q2"/>
      <c r="R2"/>
      <c r="S2"/>
      <c r="T2"/>
      <c r="U2" s="111"/>
      <c r="V2"/>
      <c r="W2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2"/>
    </row>
    <row r="3" spans="1:58" s="379" customFormat="1" ht="24" customHeight="1" x14ac:dyDescent="0.35">
      <c r="A3" s="8"/>
      <c r="B3" s="25" t="s">
        <v>507</v>
      </c>
      <c r="C3" s="26" t="s">
        <v>147</v>
      </c>
      <c r="D3" s="26"/>
      <c r="E3" s="26"/>
      <c r="F3" s="27"/>
      <c r="G3" s="8"/>
      <c r="H3" s="8"/>
      <c r="I3"/>
      <c r="J3"/>
      <c r="K3"/>
      <c r="L3"/>
      <c r="M3"/>
      <c r="N3" s="111"/>
      <c r="O3"/>
      <c r="P3"/>
      <c r="Q3"/>
      <c r="R3"/>
      <c r="S3"/>
      <c r="T3"/>
      <c r="U3" s="111"/>
      <c r="V3"/>
      <c r="W3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2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 s="111"/>
      <c r="O4"/>
      <c r="P4"/>
      <c r="Q4"/>
      <c r="R4"/>
      <c r="S4"/>
      <c r="T4"/>
      <c r="U4" s="111"/>
      <c r="V4"/>
      <c r="W4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2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 s="111"/>
      <c r="O5"/>
      <c r="P5"/>
      <c r="Q5"/>
      <c r="R5"/>
      <c r="S5"/>
      <c r="T5"/>
      <c r="U5" s="111"/>
      <c r="V5"/>
      <c r="W5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2"/>
    </row>
    <row r="6" spans="1:58" s="379" customFormat="1" ht="24" customHeight="1" x14ac:dyDescent="0.35">
      <c r="A6" s="8"/>
      <c r="B6" s="64">
        <f>COUNTIF(B11:B16,"A - Work May Proceed")</f>
        <v>4</v>
      </c>
      <c r="C6" s="65">
        <f>COUNTIF(B11:B16,"B- Incorporate Comments - Proceed")</f>
        <v>0</v>
      </c>
      <c r="D6" s="65">
        <f>COUNTIF(B11:B16,"C - Revise and Resubmit - Do Not Proceed")</f>
        <v>0</v>
      </c>
      <c r="E6" s="65">
        <f>COUNTIF(B11:B16,"D - Rejected")</f>
        <v>0</v>
      </c>
      <c r="F6" s="65">
        <f>COUNTIF(B11:B16,"E - Review not Required - Proceed")</f>
        <v>0</v>
      </c>
      <c r="G6" s="66">
        <f>COUNTIF(B11:B16,"UR")</f>
        <v>0</v>
      </c>
      <c r="H6" s="66">
        <f>COUNTIF(B11:B16,"FA")</f>
        <v>0</v>
      </c>
      <c r="I6" s="66">
        <f>COUNTIF(B11:B16,"Terminated")</f>
        <v>0</v>
      </c>
      <c r="J6" s="66">
        <f>COUNTIF(B11:B16,"Cancelled")</f>
        <v>0</v>
      </c>
      <c r="K6"/>
      <c r="L6"/>
      <c r="M6"/>
      <c r="N6" s="111"/>
      <c r="O6"/>
      <c r="P6"/>
      <c r="Q6"/>
      <c r="R6"/>
      <c r="S6"/>
      <c r="T6"/>
      <c r="U6" s="111"/>
      <c r="V6"/>
      <c r="W6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2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 s="111"/>
      <c r="O7"/>
      <c r="P7"/>
      <c r="Q7"/>
      <c r="R7"/>
      <c r="S7"/>
      <c r="T7"/>
      <c r="U7" s="111"/>
      <c r="V7"/>
      <c r="W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2"/>
    </row>
    <row r="8" spans="1:58" s="379" customFormat="1" ht="24" customHeight="1" x14ac:dyDescent="0.35">
      <c r="A8" s="8"/>
      <c r="B8" s="72" t="s">
        <v>509</v>
      </c>
      <c r="C8" s="73">
        <f>SUM(B6:I6)</f>
        <v>4</v>
      </c>
      <c r="D8" s="69"/>
      <c r="E8" s="70"/>
      <c r="F8" s="70"/>
      <c r="G8" s="74"/>
      <c r="H8" s="75"/>
      <c r="I8" s="76"/>
      <c r="J8" s="75"/>
      <c r="K8"/>
      <c r="L8"/>
      <c r="M8"/>
      <c r="N8" s="111"/>
      <c r="O8"/>
      <c r="P8"/>
      <c r="Q8"/>
      <c r="R8"/>
      <c r="S8"/>
      <c r="T8"/>
      <c r="U8" s="111"/>
      <c r="V8"/>
      <c r="W8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2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 s="111"/>
      <c r="O9"/>
      <c r="P9"/>
      <c r="Q9"/>
      <c r="R9"/>
      <c r="S9"/>
      <c r="T9"/>
      <c r="U9" s="111"/>
      <c r="V9"/>
      <c r="W9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2"/>
    </row>
    <row r="10" spans="1:58" s="405" customFormat="1" ht="36.75" customHeight="1" x14ac:dyDescent="0.2">
      <c r="A10" s="559" t="s">
        <v>3259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112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113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56" t="s">
        <v>5</v>
      </c>
      <c r="C12" s="56" t="s">
        <v>208</v>
      </c>
      <c r="D12" s="12" t="s">
        <v>1338</v>
      </c>
      <c r="E12" s="12" t="s">
        <v>1337</v>
      </c>
      <c r="F12" s="16" t="s">
        <v>1336</v>
      </c>
      <c r="G12" s="10" t="s">
        <v>172</v>
      </c>
      <c r="H12" s="10" t="s">
        <v>147</v>
      </c>
      <c r="I12" s="16" t="s">
        <v>3</v>
      </c>
      <c r="J12" s="14">
        <v>45634</v>
      </c>
      <c r="K12" s="12" t="s">
        <v>1339</v>
      </c>
      <c r="L12" s="20">
        <f>J12+7</f>
        <v>45641</v>
      </c>
      <c r="M12" s="14">
        <v>45651</v>
      </c>
      <c r="N12" s="92">
        <f>M12-L12</f>
        <v>10</v>
      </c>
      <c r="O12" s="12" t="s">
        <v>1344</v>
      </c>
      <c r="P12" s="60" t="s">
        <v>5</v>
      </c>
      <c r="Q12" s="20">
        <v>45659</v>
      </c>
      <c r="R12" s="12" t="s">
        <v>1789</v>
      </c>
      <c r="S12" s="20">
        <f>Q12+7</f>
        <v>45666</v>
      </c>
      <c r="T12" s="20">
        <v>45671</v>
      </c>
      <c r="U12" s="91">
        <f>T12-S12</f>
        <v>5</v>
      </c>
      <c r="V12" s="12" t="s">
        <v>1790</v>
      </c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259"/>
    </row>
    <row r="13" spans="1:58" s="381" customFormat="1" ht="42" customHeight="1" x14ac:dyDescent="0.25">
      <c r="A13" s="367">
        <v>100008</v>
      </c>
      <c r="B13" s="16" t="s">
        <v>5</v>
      </c>
      <c r="C13" s="56" t="s">
        <v>725</v>
      </c>
      <c r="D13" s="12" t="s">
        <v>5335</v>
      </c>
      <c r="E13" s="12" t="s">
        <v>5336</v>
      </c>
      <c r="F13" s="16" t="s">
        <v>5337</v>
      </c>
      <c r="G13" s="10" t="s">
        <v>172</v>
      </c>
      <c r="H13" s="10" t="s">
        <v>147</v>
      </c>
      <c r="I13" s="16" t="s">
        <v>3</v>
      </c>
      <c r="J13" s="14">
        <v>46008</v>
      </c>
      <c r="K13" s="12" t="s">
        <v>5338</v>
      </c>
      <c r="L13" s="20">
        <f>J13+7</f>
        <v>46015</v>
      </c>
      <c r="M13" s="14">
        <v>46019</v>
      </c>
      <c r="N13" s="92">
        <f>M13-L13</f>
        <v>4</v>
      </c>
      <c r="O13" s="12" t="s">
        <v>5340</v>
      </c>
      <c r="P13" s="16" t="s">
        <v>3</v>
      </c>
      <c r="Q13" s="20">
        <v>46029</v>
      </c>
      <c r="R13" s="12" t="s">
        <v>5509</v>
      </c>
      <c r="S13" s="20">
        <f>Q13+7</f>
        <v>46036</v>
      </c>
      <c r="T13" s="20">
        <v>46036</v>
      </c>
      <c r="U13" s="91">
        <f>T13-S13</f>
        <v>0</v>
      </c>
      <c r="V13" s="12" t="s">
        <v>5530</v>
      </c>
      <c r="W13" s="12" t="s">
        <v>18</v>
      </c>
      <c r="X13" s="20">
        <v>46042</v>
      </c>
      <c r="Y13" s="12" t="s">
        <v>5596</v>
      </c>
      <c r="Z13" s="20">
        <f>X13+7</f>
        <v>46049</v>
      </c>
      <c r="AA13" s="20">
        <v>46046</v>
      </c>
      <c r="AB13" s="91">
        <f>AA13-Z13</f>
        <v>-3</v>
      </c>
      <c r="AC13" s="12" t="s">
        <v>5629</v>
      </c>
      <c r="AD13" s="16" t="s">
        <v>5</v>
      </c>
      <c r="AE13" s="20">
        <v>46053</v>
      </c>
      <c r="AF13" s="12" t="s">
        <v>5702</v>
      </c>
      <c r="AG13" s="20">
        <f>AE13+7</f>
        <v>46060</v>
      </c>
      <c r="AH13" s="20">
        <v>46057</v>
      </c>
      <c r="AI13" s="91">
        <f>AH13-AG13</f>
        <v>-3</v>
      </c>
      <c r="AJ13" s="12" t="s">
        <v>5725</v>
      </c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259"/>
    </row>
    <row r="14" spans="1:58" s="381" customFormat="1" ht="42" customHeight="1" x14ac:dyDescent="0.25">
      <c r="A14" s="367">
        <v>310002</v>
      </c>
      <c r="B14" s="16" t="s">
        <v>5</v>
      </c>
      <c r="C14" s="56" t="s">
        <v>208</v>
      </c>
      <c r="D14" s="12" t="s">
        <v>6588</v>
      </c>
      <c r="E14" s="12" t="s">
        <v>6587</v>
      </c>
      <c r="F14" s="16" t="s">
        <v>6589</v>
      </c>
      <c r="G14" s="10" t="s">
        <v>172</v>
      </c>
      <c r="H14" s="10" t="s">
        <v>147</v>
      </c>
      <c r="I14" s="16" t="s">
        <v>3</v>
      </c>
      <c r="J14" s="14">
        <v>46141</v>
      </c>
      <c r="K14" s="12" t="s">
        <v>6590</v>
      </c>
      <c r="L14" s="20">
        <f>J14+7</f>
        <v>46148</v>
      </c>
      <c r="M14" s="14">
        <v>46153</v>
      </c>
      <c r="N14" s="92">
        <f>M14-L14</f>
        <v>5</v>
      </c>
      <c r="O14" s="12" t="s">
        <v>6688</v>
      </c>
      <c r="P14" s="16" t="s">
        <v>5</v>
      </c>
      <c r="Q14" s="20">
        <v>46154</v>
      </c>
      <c r="R14" s="12" t="s">
        <v>6754</v>
      </c>
      <c r="S14" s="20">
        <f>Q14+7</f>
        <v>46161</v>
      </c>
      <c r="T14" s="20">
        <v>46162</v>
      </c>
      <c r="U14" s="91">
        <f>T14-S14</f>
        <v>1</v>
      </c>
      <c r="V14" s="12" t="s">
        <v>6778</v>
      </c>
      <c r="W14" s="12"/>
      <c r="X14" s="20"/>
      <c r="Y14" s="12"/>
      <c r="Z14" s="12"/>
      <c r="AA14" s="20"/>
      <c r="AB14" s="20"/>
      <c r="AC14" s="12"/>
      <c r="AD14" s="12"/>
      <c r="AE14" s="20"/>
      <c r="AF14" s="12"/>
      <c r="AG14" s="12"/>
      <c r="AH14" s="20"/>
      <c r="AI14" s="20"/>
      <c r="AJ14" s="12"/>
      <c r="AK14" s="10"/>
      <c r="AL14" s="14"/>
      <c r="AM14" s="12"/>
      <c r="AN14" s="12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/>
      <c r="BF14" s="259"/>
    </row>
    <row r="15" spans="1:58" s="381" customFormat="1" ht="42" customHeight="1" x14ac:dyDescent="0.25">
      <c r="A15" s="367">
        <v>310002</v>
      </c>
      <c r="B15" s="11" t="s">
        <v>5</v>
      </c>
      <c r="C15" s="56" t="s">
        <v>725</v>
      </c>
      <c r="D15" s="12" t="s">
        <v>6635</v>
      </c>
      <c r="E15" s="12" t="s">
        <v>6636</v>
      </c>
      <c r="F15" s="16" t="s">
        <v>6638</v>
      </c>
      <c r="G15" s="10" t="s">
        <v>172</v>
      </c>
      <c r="H15" s="10" t="s">
        <v>147</v>
      </c>
      <c r="I15" s="11" t="s">
        <v>18</v>
      </c>
      <c r="J15" s="14">
        <v>46145</v>
      </c>
      <c r="K15" s="12" t="s">
        <v>6637</v>
      </c>
      <c r="L15" s="20">
        <f>J15+7</f>
        <v>46152</v>
      </c>
      <c r="M15" s="14">
        <v>46156</v>
      </c>
      <c r="N15" s="92">
        <f>M15-L15</f>
        <v>4</v>
      </c>
      <c r="O15" s="12" t="s">
        <v>6646</v>
      </c>
      <c r="P15" s="11" t="s">
        <v>18</v>
      </c>
      <c r="Q15" s="20">
        <v>46157</v>
      </c>
      <c r="R15" s="12" t="s">
        <v>6798</v>
      </c>
      <c r="S15" s="20">
        <f>Q15+7</f>
        <v>46164</v>
      </c>
      <c r="T15" s="20">
        <v>46165</v>
      </c>
      <c r="U15" s="91">
        <f>T15-S15</f>
        <v>1</v>
      </c>
      <c r="V15" s="12" t="s">
        <v>6822</v>
      </c>
      <c r="W15" s="11" t="s">
        <v>18</v>
      </c>
      <c r="X15" s="20">
        <v>46166</v>
      </c>
      <c r="Y15" s="12" t="s">
        <v>6903</v>
      </c>
      <c r="Z15" s="20">
        <f>X15+7</f>
        <v>46173</v>
      </c>
      <c r="AA15" s="20">
        <v>46175</v>
      </c>
      <c r="AB15" s="91">
        <f>AA15-Z15</f>
        <v>2</v>
      </c>
      <c r="AC15" s="12" t="s">
        <v>6912</v>
      </c>
      <c r="AD15" s="12" t="s">
        <v>5</v>
      </c>
      <c r="AE15" s="20">
        <v>46190</v>
      </c>
      <c r="AF15" s="12" t="s">
        <v>7024</v>
      </c>
      <c r="AG15" s="20">
        <f>AE15+7</f>
        <v>46197</v>
      </c>
      <c r="AH15" s="20">
        <v>46193</v>
      </c>
      <c r="AI15" s="91">
        <f>AH15-AG15</f>
        <v>-4</v>
      </c>
      <c r="AJ15" s="12" t="s">
        <v>7031</v>
      </c>
      <c r="AK15" s="10"/>
      <c r="AL15" s="14"/>
      <c r="AM15" s="12"/>
      <c r="AN15" s="12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2"/>
      <c r="BF15" s="259"/>
    </row>
    <row r="16" spans="1:58" s="381" customFormat="1" ht="42" customHeight="1" thickBot="1" x14ac:dyDescent="0.3">
      <c r="A16" s="369"/>
      <c r="B16" s="371"/>
      <c r="C16" s="444"/>
      <c r="D16" s="370"/>
      <c r="E16" s="370"/>
      <c r="F16" s="262"/>
      <c r="G16" s="263"/>
      <c r="H16" s="263"/>
      <c r="I16" s="262"/>
      <c r="J16" s="474"/>
      <c r="K16" s="370"/>
      <c r="L16" s="370"/>
      <c r="M16" s="474"/>
      <c r="N16" s="425"/>
      <c r="O16" s="370"/>
      <c r="P16" s="262"/>
      <c r="Q16" s="476"/>
      <c r="R16" s="370"/>
      <c r="S16" s="370"/>
      <c r="T16" s="476"/>
      <c r="U16" s="481"/>
      <c r="V16" s="370"/>
      <c r="W16" s="370"/>
      <c r="X16" s="476"/>
      <c r="Y16" s="370"/>
      <c r="Z16" s="370"/>
      <c r="AA16" s="476"/>
      <c r="AB16" s="476"/>
      <c r="AC16" s="370"/>
      <c r="AD16" s="370"/>
      <c r="AE16" s="476"/>
      <c r="AF16" s="370"/>
      <c r="AG16" s="370"/>
      <c r="AH16" s="476"/>
      <c r="AI16" s="476"/>
      <c r="AJ16" s="370"/>
      <c r="AK16" s="263"/>
      <c r="AL16" s="474"/>
      <c r="AM16" s="370"/>
      <c r="AN16" s="370"/>
      <c r="AO16" s="474"/>
      <c r="AP16" s="474"/>
      <c r="AQ16" s="474"/>
      <c r="AR16" s="474"/>
      <c r="AS16" s="474"/>
      <c r="AT16" s="474"/>
      <c r="AU16" s="474"/>
      <c r="AV16" s="474"/>
      <c r="AW16" s="474"/>
      <c r="AX16" s="474"/>
      <c r="AY16" s="474"/>
      <c r="AZ16" s="474"/>
      <c r="BA16" s="474"/>
      <c r="BB16" s="474"/>
      <c r="BC16" s="474"/>
      <c r="BD16" s="474"/>
      <c r="BE16" s="370"/>
      <c r="BF16" s="266"/>
    </row>
  </sheetData>
  <autoFilter ref="A11:BF11" xr:uid="{00000000-0001-0000-2400-000000000000}"/>
  <mergeCells count="18">
    <mergeCell ref="A10:A11"/>
    <mergeCell ref="H1:H2"/>
    <mergeCell ref="I1:I2"/>
    <mergeCell ref="G10:G11"/>
    <mergeCell ref="B10:B11"/>
    <mergeCell ref="C10:C11"/>
    <mergeCell ref="D10:D11"/>
    <mergeCell ref="E10:E11"/>
    <mergeCell ref="F10:F11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0:A1048576">
    <cfRule type="cellIs" dxfId="1251" priority="1" operator="equal">
      <formula>"E - Review not Required - Proceed"</formula>
    </cfRule>
    <cfRule type="cellIs" dxfId="1250" priority="2" operator="equal">
      <formula>"D - Rejected"</formula>
    </cfRule>
    <cfRule type="cellIs" dxfId="1249" priority="3" operator="equal">
      <formula>"B- Incorporate Comments - Proceed"</formula>
    </cfRule>
    <cfRule type="cellIs" dxfId="1248" priority="4" operator="equal">
      <formula>"C - Revise and Resubmit - Do Not Proceed"</formula>
    </cfRule>
    <cfRule type="cellIs" dxfId="1247" priority="5" operator="equal">
      <formula>"A - Work May Proceed"</formula>
    </cfRule>
  </conditionalFormatting>
  <conditionalFormatting sqref="B12:XFD1048576">
    <cfRule type="cellIs" dxfId="1246" priority="6" operator="equal">
      <formula>"E - Review not Required - Proceed"</formula>
    </cfRule>
    <cfRule type="cellIs" dxfId="1245" priority="7" operator="equal">
      <formula>"D - Rejected"</formula>
    </cfRule>
    <cfRule type="cellIs" dxfId="1244" priority="8" operator="equal">
      <formula>"B- Incorporate Comments - Proceed"</formula>
    </cfRule>
    <cfRule type="cellIs" dxfId="1243" priority="9" operator="equal">
      <formula>"C - Revise and Resubmit - Do Not Proceed"</formula>
    </cfRule>
    <cfRule type="cellIs" dxfId="1242" priority="10" operator="equal">
      <formula>"A - Work May Proceed"</formula>
    </cfRule>
  </conditionalFormatting>
  <conditionalFormatting sqref="D11:BE11 B1:G2 X1:XFD9 B3:H4 B9:H9 B10:XFD10 B11">
    <cfRule type="cellIs" dxfId="1241" priority="63" operator="equal">
      <formula>"B- Incorporate Comments - Proceed"</formula>
    </cfRule>
    <cfRule type="cellIs" dxfId="1240" priority="62" operator="equal">
      <formula>"D - Rejected"</formula>
    </cfRule>
    <cfRule type="cellIs" dxfId="1239" priority="61" operator="equal">
      <formula>"E - Review not Required - Proceed"</formula>
    </cfRule>
    <cfRule type="cellIs" dxfId="1238" priority="65" operator="equal">
      <formula>"A - Work May Proceed"</formula>
    </cfRule>
    <cfRule type="cellIs" dxfId="1237" priority="64" operator="equal">
      <formula>"C - Revise and Resubmit - Do Not Proceed"</formula>
    </cfRule>
  </conditionalFormatting>
  <conditionalFormatting sqref="I11">
    <cfRule type="cellIs" dxfId="1236" priority="131" operator="equal">
      <formula>"For Information"</formula>
    </cfRule>
    <cfRule type="cellIs" dxfId="1235" priority="130" operator="equal">
      <formula>"B - Incorporate Comments - Proceed"</formula>
    </cfRule>
    <cfRule type="cellIs" dxfId="1234" priority="135" operator="between">
      <formula>"'D - Rejected "</formula>
      <formula>"'D - Rejected "</formula>
    </cfRule>
    <cfRule type="cellIs" dxfId="1233" priority="142" operator="between">
      <formula>"CANCELLED"</formula>
      <formula>"CANCELLED"</formula>
    </cfRule>
    <cfRule type="cellIs" dxfId="1232" priority="141" operator="between">
      <formula>"D - Rejected "</formula>
      <formula>"D - Rejected "</formula>
    </cfRule>
    <cfRule type="cellIs" dxfId="1231" priority="145" stopIfTrue="1" operator="between">
      <formula>"B - Incorporate Comments - Proceed "</formula>
      <formula>"B - Incorporate Comments - Proceed "</formula>
    </cfRule>
    <cfRule type="cellIs" dxfId="1230" priority="140" operator="between">
      <formula>"E - Review not Required - Proceed"</formula>
      <formula>"E - Review not Required - Proceed"</formula>
    </cfRule>
    <cfRule type="cellIs" dxfId="1229" priority="139" operator="between">
      <formula>"B - Incorporate Comments - Proceed"</formula>
      <formula>"B - Incorporate Comments - Proceed"</formula>
    </cfRule>
    <cfRule type="cellIs" dxfId="1228" priority="138" operator="between">
      <formula>"A - Work May Proceed"</formula>
      <formula>"A - Work May Proceed"</formula>
    </cfRule>
    <cfRule type="cellIs" dxfId="1227" priority="137" operator="between">
      <formula>"B - Incorporate Comments - Proceed"</formula>
      <formula>"B - Incorporate Comments - Proceed"</formula>
    </cfRule>
    <cfRule type="cellIs" dxfId="1226" priority="136" operator="between">
      <formula>"C - Revise and Resubmit - Do Not Proceed"</formula>
      <formula>"C - Revise and Resubmit - Do Not Proceed"</formula>
    </cfRule>
    <cfRule type="cellIs" dxfId="1225" priority="134" operator="between">
      <formula>"E - Review not Required - Proceed"</formula>
      <formula>"E - Review not Required - Proceed"</formula>
    </cfRule>
    <cfRule type="cellIs" dxfId="1224" priority="133" operator="equal">
      <formula>"E - Review Not Required - Proceed"</formula>
    </cfRule>
    <cfRule type="cellIs" dxfId="1223" priority="132" operator="equal">
      <formula>"B - Incorporate Comments - Proceed "</formula>
    </cfRule>
    <cfRule type="cellIs" dxfId="1222" priority="143" operator="between">
      <formula>"A - Work May Proceed"</formula>
      <formula>"A - Work May Proceed"</formula>
    </cfRule>
    <cfRule type="cellIs" dxfId="1221" priority="144" operator="between">
      <formula>"C - Revise and Resubmit - Do Not Proceed"</formula>
      <formula>"C - Revise and Resubmit - Do Not Proceed"</formula>
    </cfRule>
  </conditionalFormatting>
  <conditionalFormatting sqref="J5:J6 B5:I7 B8:J8">
    <cfRule type="cellIs" dxfId="1220" priority="11" operator="equal">
      <formula>"E - Review not Required - Proceed"</formula>
    </cfRule>
    <cfRule type="cellIs" dxfId="1219" priority="12" operator="equal">
      <formula>"D - Rejected"</formula>
    </cfRule>
    <cfRule type="cellIs" dxfId="1218" priority="13" operator="equal">
      <formula>"B- Incorporate Comments - Proceed"</formula>
    </cfRule>
    <cfRule type="cellIs" dxfId="1217" priority="14" operator="equal">
      <formula>"C - Revise and Resubmit - Do Not Proceed"</formula>
    </cfRule>
    <cfRule type="cellIs" dxfId="1216" priority="15" stopIfTrue="1" operator="equal">
      <formula>"A - Work May Proceed"</formula>
    </cfRule>
  </conditionalFormatting>
  <conditionalFormatting sqref="P11">
    <cfRule type="cellIs" dxfId="1215" priority="128" operator="between">
      <formula>"C - Revise and Resubmit - Do Not Proceed"</formula>
      <formula>"C - Revise and Resubmit - Do Not Proceed"</formula>
    </cfRule>
    <cfRule type="cellIs" dxfId="1214" priority="118" operator="between">
      <formula>"E - Review not Required - Proceed"</formula>
      <formula>"E - Review not Required - Proceed"</formula>
    </cfRule>
    <cfRule type="cellIs" dxfId="1213" priority="117" operator="equal">
      <formula>"E - Review Not Required - Proceed"</formula>
    </cfRule>
    <cfRule type="cellIs" dxfId="1212" priority="116" operator="equal">
      <formula>"B - Incorporate Comments - Proceed "</formula>
    </cfRule>
    <cfRule type="cellIs" dxfId="1211" priority="115" operator="equal">
      <formula>"For Information"</formula>
    </cfRule>
    <cfRule type="cellIs" dxfId="1210" priority="114" operator="equal">
      <formula>"B - Incorporate Comments - Proceed"</formula>
    </cfRule>
    <cfRule type="cellIs" dxfId="1209" priority="124" operator="between">
      <formula>"E - Review not Required - Proceed"</formula>
      <formula>"E - Review not Required - Proceed"</formula>
    </cfRule>
    <cfRule type="cellIs" dxfId="1208" priority="121" operator="between">
      <formula>"B - Incorporate Comments - Proceed"</formula>
      <formula>"B - Incorporate Comments - Proceed"</formula>
    </cfRule>
    <cfRule type="cellIs" dxfId="1207" priority="122" operator="between">
      <formula>"A - Work May Proceed"</formula>
      <formula>"A - Work May Proceed"</formula>
    </cfRule>
    <cfRule type="cellIs" dxfId="1206" priority="123" operator="between">
      <formula>"B - Incorporate Comments - Proceed"</formula>
      <formula>"B - Incorporate Comments - Proceed"</formula>
    </cfRule>
    <cfRule type="cellIs" dxfId="1205" priority="125" operator="between">
      <formula>"D - Rejected "</formula>
      <formula>"D - Rejected "</formula>
    </cfRule>
    <cfRule type="cellIs" dxfId="1204" priority="126" operator="between">
      <formula>"CANCELLED"</formula>
      <formula>"CANCELLED"</formula>
    </cfRule>
    <cfRule type="cellIs" dxfId="1203" priority="127" operator="between">
      <formula>"A - Work May Proceed"</formula>
      <formula>"A - Work May Proceed"</formula>
    </cfRule>
    <cfRule type="cellIs" dxfId="1202" priority="129" stopIfTrue="1" operator="between">
      <formula>"B - Incorporate Comments - Proceed "</formula>
      <formula>"B - Incorporate Comments - Proceed "</formula>
    </cfRule>
    <cfRule type="cellIs" dxfId="1201" priority="120" operator="between">
      <formula>"C - Revise and Resubmit - Do Not Proceed"</formula>
      <formula>"C - Revise and Resubmit - Do Not Proceed"</formula>
    </cfRule>
    <cfRule type="cellIs" dxfId="1200" priority="119" operator="between">
      <formula>"'D - Rejected "</formula>
      <formula>"'D - Rejected "</formula>
    </cfRule>
  </conditionalFormatting>
  <conditionalFormatting sqref="W11">
    <cfRule type="cellIs" dxfId="1199" priority="98" operator="equal">
      <formula>"B - Incorporate Comments - Proceed"</formula>
    </cfRule>
    <cfRule type="cellIs" dxfId="1198" priority="99" operator="equal">
      <formula>"For Information"</formula>
    </cfRule>
    <cfRule type="cellIs" dxfId="1197" priority="100" operator="equal">
      <formula>"B - Incorporate Comments - Proceed "</formula>
    </cfRule>
    <cfRule type="cellIs" dxfId="1196" priority="101" operator="equal">
      <formula>"E - Review Not Required - Proceed"</formula>
    </cfRule>
    <cfRule type="cellIs" dxfId="1195" priority="102" operator="between">
      <formula>"E - Review not Required - Proceed"</formula>
      <formula>"E - Review not Required - Proceed"</formula>
    </cfRule>
    <cfRule type="cellIs" dxfId="1194" priority="103" operator="between">
      <formula>"'D - Rejected "</formula>
      <formula>"'D - Rejected "</formula>
    </cfRule>
    <cfRule type="cellIs" dxfId="1193" priority="104" operator="between">
      <formula>"C - Revise and Resubmit - Do Not Proceed"</formula>
      <formula>"C - Revise and Resubmit - Do Not Proceed"</formula>
    </cfRule>
    <cfRule type="cellIs" dxfId="1192" priority="105" operator="between">
      <formula>"B - Incorporate Comments - Proceed"</formula>
      <formula>"B - Incorporate Comments - Proceed"</formula>
    </cfRule>
    <cfRule type="cellIs" dxfId="1191" priority="106" operator="between">
      <formula>"A - Work May Proceed"</formula>
      <formula>"A - Work May Proceed"</formula>
    </cfRule>
    <cfRule type="cellIs" dxfId="1190" priority="107" operator="between">
      <formula>"B - Incorporate Comments - Proceed"</formula>
      <formula>"B - Incorporate Comments - Proceed"</formula>
    </cfRule>
    <cfRule type="cellIs" dxfId="1189" priority="108" operator="between">
      <formula>"E - Review not Required - Proceed"</formula>
      <formula>"E - Review not Required - Proceed"</formula>
    </cfRule>
    <cfRule type="cellIs" dxfId="1188" priority="109" operator="between">
      <formula>"D - Rejected "</formula>
      <formula>"D - Rejected "</formula>
    </cfRule>
    <cfRule type="cellIs" dxfId="1187" priority="110" operator="between">
      <formula>"CANCELLED"</formula>
      <formula>"CANCELLED"</formula>
    </cfRule>
    <cfRule type="cellIs" dxfId="1186" priority="112" operator="between">
      <formula>"C - Revise and Resubmit - Do Not Proceed"</formula>
      <formula>"C - Revise and Resubmit - Do Not Proceed"</formula>
    </cfRule>
    <cfRule type="cellIs" dxfId="1185" priority="113" stopIfTrue="1" operator="between">
      <formula>"B - Incorporate Comments - Proceed "</formula>
      <formula>"B - Incorporate Comments - Proceed "</formula>
    </cfRule>
    <cfRule type="cellIs" dxfId="1184" priority="111" operator="between">
      <formula>"A - Work May Proceed"</formula>
      <formula>"A - Work May Proceed"</formula>
    </cfRule>
  </conditionalFormatting>
  <conditionalFormatting sqref="AD11">
    <cfRule type="cellIs" dxfId="1183" priority="83" operator="equal">
      <formula>"For Information"</formula>
    </cfRule>
    <cfRule type="cellIs" dxfId="1182" priority="93" operator="between">
      <formula>"D - Rejected "</formula>
      <formula>"D - Rejected "</formula>
    </cfRule>
    <cfRule type="cellIs" dxfId="1181" priority="82" operator="equal">
      <formula>"B - Incorporate Comments - Proceed"</formula>
    </cfRule>
    <cfRule type="cellIs" dxfId="1180" priority="95" operator="between">
      <formula>"A - Work May Proceed"</formula>
      <formula>"A - Work May Proceed"</formula>
    </cfRule>
    <cfRule type="cellIs" dxfId="1179" priority="96" operator="between">
      <formula>"C - Revise and Resubmit - Do Not Proceed"</formula>
      <formula>"C - Revise and Resubmit - Do Not Proceed"</formula>
    </cfRule>
    <cfRule type="cellIs" dxfId="1178" priority="97" stopIfTrue="1" operator="between">
      <formula>"B - Incorporate Comments - Proceed "</formula>
      <formula>"B - Incorporate Comments - Proceed "</formula>
    </cfRule>
    <cfRule type="cellIs" dxfId="1177" priority="92" operator="between">
      <formula>"E - Review not Required - Proceed"</formula>
      <formula>"E - Review not Required - Proceed"</formula>
    </cfRule>
    <cfRule type="cellIs" dxfId="1176" priority="91" operator="between">
      <formula>"B - Incorporate Comments - Proceed"</formula>
      <formula>"B - Incorporate Comments - Proceed"</formula>
    </cfRule>
    <cfRule type="cellIs" dxfId="1175" priority="90" operator="between">
      <formula>"A - Work May Proceed"</formula>
      <formula>"A - Work May Proceed"</formula>
    </cfRule>
    <cfRule type="cellIs" dxfId="1174" priority="89" operator="between">
      <formula>"B - Incorporate Comments - Proceed"</formula>
      <formula>"B - Incorporate Comments - Proceed"</formula>
    </cfRule>
    <cfRule type="cellIs" dxfId="1173" priority="88" operator="between">
      <formula>"C - Revise and Resubmit - Do Not Proceed"</formula>
      <formula>"C - Revise and Resubmit - Do Not Proceed"</formula>
    </cfRule>
    <cfRule type="cellIs" dxfId="1172" priority="87" operator="between">
      <formula>"'D - Rejected "</formula>
      <formula>"'D - Rejected "</formula>
    </cfRule>
    <cfRule type="cellIs" dxfId="1171" priority="86" operator="between">
      <formula>"E - Review not Required - Proceed"</formula>
      <formula>"E - Review not Required - Proceed"</formula>
    </cfRule>
    <cfRule type="cellIs" dxfId="1170" priority="94" operator="between">
      <formula>"CANCELLED"</formula>
      <formula>"CANCELLED"</formula>
    </cfRule>
    <cfRule type="cellIs" dxfId="1169" priority="85" operator="equal">
      <formula>"E - Review Not Required - Proceed"</formula>
    </cfRule>
    <cfRule type="cellIs" dxfId="1168" priority="84" operator="equal">
      <formula>"B - Incorporate Comments - Proceed "</formula>
    </cfRule>
  </conditionalFormatting>
  <conditionalFormatting sqref="AK11">
    <cfRule type="cellIs" dxfId="1167" priority="74" operator="between">
      <formula>"A - Work May Proceed"</formula>
      <formula>"A - Work May Proceed"</formula>
    </cfRule>
    <cfRule type="cellIs" dxfId="1166" priority="75" operator="between">
      <formula>"B - Incorporate Comments - Proceed"</formula>
      <formula>"B - Incorporate Comments - Proceed"</formula>
    </cfRule>
    <cfRule type="cellIs" dxfId="1165" priority="76" operator="between">
      <formula>"E - Review not Required - Proceed"</formula>
      <formula>"E - Review not Required - Proceed"</formula>
    </cfRule>
    <cfRule type="cellIs" dxfId="1164" priority="77" operator="between">
      <formula>"D - Rejected "</formula>
      <formula>"D - Rejected "</formula>
    </cfRule>
    <cfRule type="cellIs" dxfId="1163" priority="78" operator="between">
      <formula>"CANCELLED"</formula>
      <formula>"CANCELLED"</formula>
    </cfRule>
    <cfRule type="cellIs" dxfId="1162" priority="79" operator="between">
      <formula>"A - Work May Proceed"</formula>
      <formula>"A - Work May Proceed"</formula>
    </cfRule>
    <cfRule type="cellIs" dxfId="1161" priority="80" operator="between">
      <formula>"C - Revise and Resubmit - Do Not Proceed"</formula>
      <formula>"C - Revise and Resubmit - Do Not Proceed"</formula>
    </cfRule>
    <cfRule type="cellIs" dxfId="1160" priority="81" stopIfTrue="1" operator="between">
      <formula>"B - Incorporate Comments - Proceed "</formula>
      <formula>"B - Incorporate Comments - Proceed "</formula>
    </cfRule>
    <cfRule type="cellIs" dxfId="1159" priority="66" operator="equal">
      <formula>"B - Incorporate Comments - Proceed"</formula>
    </cfRule>
    <cfRule type="cellIs" dxfId="1158" priority="67" operator="equal">
      <formula>"For Information"</formula>
    </cfRule>
    <cfRule type="cellIs" dxfId="1157" priority="68" operator="equal">
      <formula>"B - Incorporate Comments - Proceed "</formula>
    </cfRule>
    <cfRule type="cellIs" dxfId="1156" priority="69" operator="equal">
      <formula>"E - Review Not Required - Proceed"</formula>
    </cfRule>
    <cfRule type="cellIs" dxfId="1155" priority="70" operator="between">
      <formula>"E - Review not Required - Proceed"</formula>
      <formula>"E - Review not Required - Proceed"</formula>
    </cfRule>
    <cfRule type="cellIs" dxfId="1154" priority="71" operator="between">
      <formula>"'D - Rejected "</formula>
      <formula>"'D - Rejected "</formula>
    </cfRule>
    <cfRule type="cellIs" dxfId="1153" priority="72" operator="between">
      <formula>"C - Revise and Resubmit - Do Not Proceed"</formula>
      <formula>"C - Revise and Resubmit - Do Not Proceed"</formula>
    </cfRule>
    <cfRule type="cellIs" dxfId="1152" priority="73" operator="between">
      <formula>"B - Incorporate Comments - Proceed"</formula>
      <formula>"B - Incorporate Comments - Proceed"</formula>
    </cfRule>
  </conditionalFormatting>
  <conditionalFormatting sqref="AR11">
    <cfRule type="cellIs" dxfId="1151" priority="36" operator="between">
      <formula>"D - Rejected "</formula>
      <formula>"D - Rejected "</formula>
    </cfRule>
    <cfRule type="cellIs" dxfId="1150" priority="35" operator="between">
      <formula>"E - Review not Required - Proceed"</formula>
      <formula>"E - Review not Required - Proceed"</formula>
    </cfRule>
    <cfRule type="cellIs" dxfId="1149" priority="34" operator="between">
      <formula>"B - Incorporate Comments - Proceed"</formula>
      <formula>"B - Incorporate Comments - Proceed"</formula>
    </cfRule>
    <cfRule type="cellIs" dxfId="1148" priority="33" operator="between">
      <formula>"A - Work May Proceed"</formula>
      <formula>"A - Work May Proceed"</formula>
    </cfRule>
    <cfRule type="cellIs" dxfId="1147" priority="32" operator="between">
      <formula>"B - Incorporate Comments - Proceed"</formula>
      <formula>"B - Incorporate Comments - Proceed"</formula>
    </cfRule>
    <cfRule type="cellIs" dxfId="1146" priority="31" operator="between">
      <formula>"C - Revise and Resubmit - Do Not Proceed"</formula>
      <formula>"C - Revise and Resubmit - Do Not Proceed"</formula>
    </cfRule>
    <cfRule type="cellIs" dxfId="1145" priority="30" operator="between">
      <formula>"'D - Rejected "</formula>
      <formula>"'D - Rejected "</formula>
    </cfRule>
    <cfRule type="cellIs" dxfId="1144" priority="29" operator="between">
      <formula>"E - Review not Required - Proceed"</formula>
      <formula>"E - Review not Required - Proceed"</formula>
    </cfRule>
    <cfRule type="cellIs" dxfId="1143" priority="28" operator="equal">
      <formula>"E - Review Not Required - Proceed"</formula>
    </cfRule>
    <cfRule type="cellIs" dxfId="1142" priority="27" operator="equal">
      <formula>"B - Incorporate Comments - Proceed "</formula>
    </cfRule>
    <cfRule type="cellIs" dxfId="1141" priority="26" operator="equal">
      <formula>"For Information"</formula>
    </cfRule>
    <cfRule type="cellIs" dxfId="1140" priority="25" operator="equal">
      <formula>"A - Work May Proceed"</formula>
    </cfRule>
    <cfRule type="cellIs" dxfId="1139" priority="24" operator="equal">
      <formula>"C - Revise and Resubmit - Do Not Proceed"</formula>
    </cfRule>
    <cfRule type="cellIs" dxfId="1138" priority="22" operator="equal">
      <formula>"D - Rejected"</formula>
    </cfRule>
    <cfRule type="cellIs" dxfId="1137" priority="21" operator="equal">
      <formula>"E - Review not Required - Proceed"</formula>
    </cfRule>
    <cfRule type="cellIs" dxfId="1136" priority="37" operator="between">
      <formula>"CANCELLED"</formula>
      <formula>"CANCELLED"</formula>
    </cfRule>
    <cfRule type="cellIs" dxfId="1135" priority="23" operator="equal">
      <formula>"B - Incorporate Comments - Proceed"</formula>
    </cfRule>
    <cfRule type="cellIs" dxfId="1134" priority="40" stopIfTrue="1" operator="between">
      <formula>"B - Incorporate Comments - Proceed "</formula>
      <formula>"B - Incorporate Comments - Proceed "</formula>
    </cfRule>
    <cfRule type="cellIs" dxfId="1133" priority="39" operator="between">
      <formula>"C - Revise and Resubmit - Do Not Proceed"</formula>
      <formula>"C - Revise and Resubmit - Do Not Proceed"</formula>
    </cfRule>
    <cfRule type="cellIs" dxfId="1132" priority="38" operator="between">
      <formula>"A - Work May Proceed"</formula>
      <formula>"A - Work May Proceed"</formula>
    </cfRule>
  </conditionalFormatting>
  <conditionalFormatting sqref="AY11">
    <cfRule type="cellIs" dxfId="1131" priority="60" stopIfTrue="1" operator="between">
      <formula>"B - Incorporate Comments - Proceed "</formula>
      <formula>"B - Incorporate Comments - Proceed "</formula>
    </cfRule>
    <cfRule type="cellIs" dxfId="1130" priority="58" operator="between">
      <formula>"A - Work May Proceed"</formula>
      <formula>"A - Work May Proceed"</formula>
    </cfRule>
    <cfRule type="cellIs" dxfId="1129" priority="57" operator="between">
      <formula>"CANCELLED"</formula>
      <formula>"CANCELLED"</formula>
    </cfRule>
    <cfRule type="cellIs" dxfId="1128" priority="56" operator="between">
      <formula>"D - Rejected "</formula>
      <formula>"D - Rejected "</formula>
    </cfRule>
    <cfRule type="cellIs" dxfId="1127" priority="55" operator="between">
      <formula>"E - Review not Required - Proceed"</formula>
      <formula>"E - Review not Required - Proceed"</formula>
    </cfRule>
    <cfRule type="cellIs" dxfId="1126" priority="50" operator="between">
      <formula>"'D - Rejected "</formula>
      <formula>"'D - Rejected "</formula>
    </cfRule>
    <cfRule type="cellIs" dxfId="1125" priority="49" operator="between">
      <formula>"E - Review not Required - Proceed"</formula>
      <formula>"E - Review not Required - Proceed"</formula>
    </cfRule>
    <cfRule type="cellIs" dxfId="1124" priority="59" operator="between">
      <formula>"C - Revise and Resubmit - Do Not Proceed"</formula>
      <formula>"C - Revise and Resubmit - Do Not Proceed"</formula>
    </cfRule>
    <cfRule type="cellIs" dxfId="1123" priority="48" operator="equal">
      <formula>"E - Review Not Required - Proceed"</formula>
    </cfRule>
    <cfRule type="cellIs" dxfId="1122" priority="47" operator="equal">
      <formula>"B - Incorporate Comments - Proceed "</formula>
    </cfRule>
    <cfRule type="cellIs" dxfId="1121" priority="46" operator="equal">
      <formula>"For Information"</formula>
    </cfRule>
    <cfRule type="cellIs" dxfId="1120" priority="45" operator="equal">
      <formula>"A - Work May Proceed"</formula>
    </cfRule>
    <cfRule type="cellIs" dxfId="1119" priority="44" operator="equal">
      <formula>"C - Revise and Resubmit - Do Not Proceed"</formula>
    </cfRule>
    <cfRule type="cellIs" dxfId="1118" priority="43" operator="equal">
      <formula>"B - Incorporate Comments - Proceed"</formula>
    </cfRule>
    <cfRule type="cellIs" dxfId="1117" priority="42" operator="equal">
      <formula>"D - Rejected"</formula>
    </cfRule>
    <cfRule type="cellIs" dxfId="1116" priority="41" operator="equal">
      <formula>"E - Review not Required - Proceed"</formula>
    </cfRule>
    <cfRule type="cellIs" dxfId="1115" priority="53" operator="between">
      <formula>"A - Work May Proceed"</formula>
      <formula>"A - Work May Proceed"</formula>
    </cfRule>
    <cfRule type="cellIs" dxfId="1114" priority="52" operator="between">
      <formula>"B - Incorporate Comments - Proceed"</formula>
      <formula>"B - Incorporate Comments - Proceed"</formula>
    </cfRule>
    <cfRule type="cellIs" dxfId="1113" priority="51" operator="between">
      <formula>"C - Revise and Resubmit - Do Not Proceed"</formula>
      <formula>"C - Revise and Resubmit - Do Not Proceed"</formula>
    </cfRule>
    <cfRule type="cellIs" dxfId="1112" priority="54" operator="between">
      <formula>"B - Incorporate Comments - Proceed"</formula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/>
  </sheetPr>
  <dimension ref="A1:BF29"/>
  <sheetViews>
    <sheetView zoomScale="55" zoomScaleNormal="55" zoomScaleSheetLayoutView="71" workbookViewId="0">
      <pane ySplit="11" topLeftCell="A12" activePane="bottomLeft" state="frozen"/>
      <selection activeCell="A14" sqref="A14"/>
      <selection pane="bottomLeft" activeCell="BA22" sqref="BA22"/>
    </sheetView>
  </sheetViews>
  <sheetFormatPr defaultColWidth="9.140625" defaultRowHeight="15" x14ac:dyDescent="0.25"/>
  <cols>
    <col min="1" max="1" width="25.1406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7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9.85546875" style="472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198"/>
    </row>
    <row r="2" spans="1:58" s="379" customFormat="1" ht="24" customHeight="1" x14ac:dyDescent="0.35">
      <c r="A2" s="8"/>
      <c r="B2" s="25" t="s">
        <v>28</v>
      </c>
      <c r="C2" s="26" t="s">
        <v>171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/>
      <c r="V2"/>
      <c r="W2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198"/>
    </row>
    <row r="3" spans="1:58" s="379" customFormat="1" ht="24" customHeight="1" x14ac:dyDescent="0.35">
      <c r="A3" s="8"/>
      <c r="B3" s="25" t="s">
        <v>507</v>
      </c>
      <c r="C3" s="49" t="s">
        <v>277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198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198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/>
      <c r="V5"/>
      <c r="W5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198"/>
    </row>
    <row r="6" spans="1:58" s="379" customFormat="1" ht="24" customHeight="1" x14ac:dyDescent="0.35">
      <c r="A6" s="8"/>
      <c r="B6" s="64">
        <f>COUNTIF(B11:B29,"A - Work May Proceed")</f>
        <v>17</v>
      </c>
      <c r="C6" s="65">
        <f>COUNTIF(B11:B29,"B- Incorporate Comments - Proceed")</f>
        <v>0</v>
      </c>
      <c r="D6" s="65">
        <f>COUNTIF(B11:B29,"C - Revise and Resubmit - Do Not Proceed")</f>
        <v>0</v>
      </c>
      <c r="E6" s="65">
        <f>COUNTIF(B11:B29,"D - Rejected")</f>
        <v>0</v>
      </c>
      <c r="F6" s="65">
        <f>COUNTIF(B11:B29,"E - Review not Required - Proceed")</f>
        <v>0</v>
      </c>
      <c r="G6" s="66">
        <f>COUNTIF(B11:B29,"UR")</f>
        <v>0</v>
      </c>
      <c r="H6" s="66">
        <f>COUNTIF(B11:B29,"FA")</f>
        <v>0</v>
      </c>
      <c r="I6" s="66">
        <f>COUNTIF(B11:B29,"Terminated")</f>
        <v>0</v>
      </c>
      <c r="J6" s="66">
        <f>COUNTIF(B11:B29,"Cancelled")</f>
        <v>0</v>
      </c>
      <c r="K6"/>
      <c r="L6"/>
      <c r="M6"/>
      <c r="N6"/>
      <c r="O6"/>
      <c r="P6"/>
      <c r="Q6"/>
      <c r="R6"/>
      <c r="S6"/>
      <c r="T6"/>
      <c r="U6"/>
      <c r="V6"/>
      <c r="W6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198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/>
      <c r="V7"/>
      <c r="W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198"/>
    </row>
    <row r="8" spans="1:58" s="379" customFormat="1" ht="24" customHeight="1" x14ac:dyDescent="0.35">
      <c r="A8" s="8"/>
      <c r="B8" s="72" t="s">
        <v>509</v>
      </c>
      <c r="C8" s="73">
        <f>SUM(B6:J6)</f>
        <v>17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/>
      <c r="V8"/>
      <c r="W8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198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198"/>
    </row>
    <row r="10" spans="1:58" s="405" customFormat="1" ht="36.75" customHeight="1" x14ac:dyDescent="0.2">
      <c r="A10" s="559" t="s">
        <v>3259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442">
        <v>310002</v>
      </c>
      <c r="B12" s="22" t="s">
        <v>5</v>
      </c>
      <c r="C12" s="13" t="s">
        <v>208</v>
      </c>
      <c r="D12" s="12" t="s">
        <v>3381</v>
      </c>
      <c r="E12" s="12" t="s">
        <v>3382</v>
      </c>
      <c r="F12" s="16" t="s">
        <v>3269</v>
      </c>
      <c r="G12" s="10" t="s">
        <v>172</v>
      </c>
      <c r="H12" s="10" t="s">
        <v>277</v>
      </c>
      <c r="I12" s="23" t="s">
        <v>18</v>
      </c>
      <c r="J12" s="14">
        <v>45806</v>
      </c>
      <c r="K12" s="13" t="s">
        <v>3404</v>
      </c>
      <c r="L12" s="14">
        <f t="shared" ref="L12:L27" si="0">J12+7</f>
        <v>45813</v>
      </c>
      <c r="M12" s="14">
        <v>45829</v>
      </c>
      <c r="N12" s="92">
        <f t="shared" ref="N12:N26" si="1">M12-L12</f>
        <v>16</v>
      </c>
      <c r="O12" s="10" t="s">
        <v>3419</v>
      </c>
      <c r="P12" s="22" t="s">
        <v>5</v>
      </c>
      <c r="Q12" s="21">
        <v>45831</v>
      </c>
      <c r="R12" s="10" t="s">
        <v>3513</v>
      </c>
      <c r="S12" s="21">
        <f>Q12+7</f>
        <v>45838</v>
      </c>
      <c r="T12" s="21">
        <v>45837</v>
      </c>
      <c r="U12" s="92">
        <f t="shared" ref="U12:U27" si="2">T12-S12</f>
        <v>-1</v>
      </c>
      <c r="V12" s="10" t="s">
        <v>3512</v>
      </c>
      <c r="W12" s="10"/>
      <c r="X12" s="21"/>
      <c r="Y12" s="10"/>
      <c r="Z12" s="10"/>
      <c r="AA12" s="21"/>
      <c r="AB12" s="21"/>
      <c r="AC12" s="10"/>
      <c r="AD12" s="10"/>
      <c r="AE12" s="21"/>
      <c r="AF12" s="10"/>
      <c r="AG12" s="10"/>
      <c r="AH12" s="21"/>
      <c r="AI12" s="21"/>
      <c r="AJ12" s="10"/>
      <c r="AK12" s="10"/>
      <c r="AL12" s="17"/>
      <c r="AM12" s="11"/>
      <c r="AN12" s="11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1"/>
      <c r="BF12" s="460"/>
    </row>
    <row r="13" spans="1:58" s="381" customFormat="1" ht="42" customHeight="1" x14ac:dyDescent="0.25">
      <c r="A13" s="442">
        <v>310002</v>
      </c>
      <c r="B13" s="16" t="s">
        <v>5</v>
      </c>
      <c r="C13" s="13" t="s">
        <v>208</v>
      </c>
      <c r="D13" s="12" t="s">
        <v>3982</v>
      </c>
      <c r="E13" s="12" t="s">
        <v>3983</v>
      </c>
      <c r="F13" s="16" t="s">
        <v>3981</v>
      </c>
      <c r="G13" s="10" t="s">
        <v>172</v>
      </c>
      <c r="H13" s="10" t="s">
        <v>277</v>
      </c>
      <c r="I13" s="16" t="s">
        <v>18</v>
      </c>
      <c r="J13" s="14">
        <v>45887</v>
      </c>
      <c r="K13" s="13" t="s">
        <v>3984</v>
      </c>
      <c r="L13" s="14">
        <f t="shared" si="0"/>
        <v>45894</v>
      </c>
      <c r="M13" s="14">
        <v>45901</v>
      </c>
      <c r="N13" s="92">
        <f t="shared" si="1"/>
        <v>7</v>
      </c>
      <c r="O13" s="10" t="s">
        <v>3999</v>
      </c>
      <c r="P13" s="10" t="s">
        <v>5</v>
      </c>
      <c r="Q13" s="21">
        <v>45901</v>
      </c>
      <c r="R13" s="10" t="s">
        <v>4088</v>
      </c>
      <c r="S13" s="21">
        <f>Q13+7</f>
        <v>45908</v>
      </c>
      <c r="T13" s="21">
        <v>45916</v>
      </c>
      <c r="U13" s="92">
        <f t="shared" si="2"/>
        <v>8</v>
      </c>
      <c r="V13" s="10" t="s">
        <v>4091</v>
      </c>
      <c r="W13" s="10"/>
      <c r="X13" s="21"/>
      <c r="Y13" s="10"/>
      <c r="Z13" s="10"/>
      <c r="AA13" s="21"/>
      <c r="AB13" s="21"/>
      <c r="AC13" s="10"/>
      <c r="AD13" s="10"/>
      <c r="AE13" s="21"/>
      <c r="AF13" s="10"/>
      <c r="AG13" s="10"/>
      <c r="AH13" s="21"/>
      <c r="AI13" s="21"/>
      <c r="AJ13" s="10"/>
      <c r="AK13" s="10"/>
      <c r="AL13" s="17"/>
      <c r="AM13" s="11"/>
      <c r="AN13" s="11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1"/>
      <c r="BF13" s="460"/>
    </row>
    <row r="14" spans="1:58" s="381" customFormat="1" ht="42" customHeight="1" x14ac:dyDescent="0.25">
      <c r="A14" s="442">
        <v>310002</v>
      </c>
      <c r="B14" s="16" t="s">
        <v>5</v>
      </c>
      <c r="C14" s="13" t="s">
        <v>208</v>
      </c>
      <c r="D14" s="12" t="s">
        <v>4102</v>
      </c>
      <c r="E14" s="12" t="s">
        <v>4103</v>
      </c>
      <c r="F14" s="16" t="s">
        <v>4124</v>
      </c>
      <c r="G14" s="10" t="s">
        <v>172</v>
      </c>
      <c r="H14" s="10" t="s">
        <v>277</v>
      </c>
      <c r="I14" s="16" t="s">
        <v>18</v>
      </c>
      <c r="J14" s="14">
        <v>45910</v>
      </c>
      <c r="K14" s="13" t="s">
        <v>4153</v>
      </c>
      <c r="L14" s="14">
        <f t="shared" si="0"/>
        <v>45917</v>
      </c>
      <c r="M14" s="14">
        <v>45917</v>
      </c>
      <c r="N14" s="92">
        <f t="shared" si="1"/>
        <v>0</v>
      </c>
      <c r="O14" s="10" t="s">
        <v>4157</v>
      </c>
      <c r="P14" s="10" t="s">
        <v>5</v>
      </c>
      <c r="Q14" s="21">
        <v>45919</v>
      </c>
      <c r="R14" s="10" t="s">
        <v>4228</v>
      </c>
      <c r="S14" s="21">
        <f>Q14+7</f>
        <v>45926</v>
      </c>
      <c r="T14" s="21">
        <v>45929</v>
      </c>
      <c r="U14" s="92">
        <f t="shared" si="2"/>
        <v>3</v>
      </c>
      <c r="V14" s="10" t="s">
        <v>4237</v>
      </c>
      <c r="W14" s="10"/>
      <c r="X14" s="21"/>
      <c r="Y14" s="10"/>
      <c r="Z14" s="10"/>
      <c r="AA14" s="21"/>
      <c r="AB14" s="21"/>
      <c r="AC14" s="10"/>
      <c r="AD14" s="10"/>
      <c r="AE14" s="21"/>
      <c r="AF14" s="10"/>
      <c r="AG14" s="10"/>
      <c r="AH14" s="21"/>
      <c r="AI14" s="21"/>
      <c r="AJ14" s="10"/>
      <c r="AK14" s="10"/>
      <c r="AL14" s="17"/>
      <c r="AM14" s="11"/>
      <c r="AN14" s="11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1"/>
      <c r="BF14" s="460"/>
    </row>
    <row r="15" spans="1:58" s="381" customFormat="1" ht="42" customHeight="1" x14ac:dyDescent="0.25">
      <c r="A15" s="442">
        <v>310002</v>
      </c>
      <c r="B15" s="16" t="s">
        <v>5</v>
      </c>
      <c r="C15" s="13" t="s">
        <v>208</v>
      </c>
      <c r="D15" s="12" t="s">
        <v>4404</v>
      </c>
      <c r="E15" s="12" t="s">
        <v>4405</v>
      </c>
      <c r="F15" s="16" t="s">
        <v>4406</v>
      </c>
      <c r="G15" s="10" t="s">
        <v>172</v>
      </c>
      <c r="H15" s="10" t="s">
        <v>277</v>
      </c>
      <c r="I15" s="16" t="s">
        <v>18</v>
      </c>
      <c r="J15" s="14">
        <v>45936</v>
      </c>
      <c r="K15" s="13" t="s">
        <v>4407</v>
      </c>
      <c r="L15" s="14">
        <f t="shared" si="0"/>
        <v>45943</v>
      </c>
      <c r="M15" s="14">
        <v>45948</v>
      </c>
      <c r="N15" s="92">
        <f t="shared" si="1"/>
        <v>5</v>
      </c>
      <c r="O15" s="10" t="s">
        <v>4412</v>
      </c>
      <c r="P15" s="10" t="s">
        <v>5</v>
      </c>
      <c r="Q15" s="21">
        <v>45948</v>
      </c>
      <c r="R15" s="10" t="s">
        <v>4514</v>
      </c>
      <c r="S15" s="21">
        <f>Q15+7</f>
        <v>45955</v>
      </c>
      <c r="T15" s="21">
        <v>45956</v>
      </c>
      <c r="U15" s="92">
        <f t="shared" si="2"/>
        <v>1</v>
      </c>
      <c r="V15" s="10" t="s">
        <v>4521</v>
      </c>
      <c r="W15" s="10"/>
      <c r="X15" s="21"/>
      <c r="Y15" s="10"/>
      <c r="Z15" s="10"/>
      <c r="AA15" s="21"/>
      <c r="AB15" s="21"/>
      <c r="AC15" s="10"/>
      <c r="AD15" s="10"/>
      <c r="AE15" s="21"/>
      <c r="AF15" s="10"/>
      <c r="AG15" s="10"/>
      <c r="AH15" s="21"/>
      <c r="AI15" s="21"/>
      <c r="AJ15" s="10"/>
      <c r="AK15" s="10"/>
      <c r="AL15" s="17"/>
      <c r="AM15" s="11"/>
      <c r="AN15" s="11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1"/>
      <c r="BF15" s="460"/>
    </row>
    <row r="16" spans="1:58" s="381" customFormat="1" ht="42" customHeight="1" x14ac:dyDescent="0.25">
      <c r="A16" s="442">
        <v>310002</v>
      </c>
      <c r="B16" s="16" t="s">
        <v>5</v>
      </c>
      <c r="C16" s="13" t="s">
        <v>588</v>
      </c>
      <c r="D16" s="12" t="s">
        <v>4422</v>
      </c>
      <c r="E16" s="12" t="s">
        <v>4423</v>
      </c>
      <c r="F16" s="16" t="s">
        <v>4424</v>
      </c>
      <c r="G16" s="10" t="s">
        <v>172</v>
      </c>
      <c r="H16" s="10" t="s">
        <v>277</v>
      </c>
      <c r="I16" s="16" t="s">
        <v>18</v>
      </c>
      <c r="J16" s="14">
        <v>45938</v>
      </c>
      <c r="K16" s="13" t="s">
        <v>4425</v>
      </c>
      <c r="L16" s="14">
        <f t="shared" si="0"/>
        <v>45945</v>
      </c>
      <c r="M16" s="14">
        <v>45948</v>
      </c>
      <c r="N16" s="92">
        <f t="shared" si="1"/>
        <v>3</v>
      </c>
      <c r="O16" s="10" t="s">
        <v>4431</v>
      </c>
      <c r="P16" s="10" t="s">
        <v>18</v>
      </c>
      <c r="Q16" s="21">
        <v>45949</v>
      </c>
      <c r="R16" s="10" t="s">
        <v>4524</v>
      </c>
      <c r="S16" s="21">
        <f>Q16+7</f>
        <v>45956</v>
      </c>
      <c r="T16" s="21">
        <v>45956</v>
      </c>
      <c r="U16" s="92">
        <f t="shared" si="2"/>
        <v>0</v>
      </c>
      <c r="V16" s="10" t="s">
        <v>4525</v>
      </c>
      <c r="W16" s="10" t="s">
        <v>5</v>
      </c>
      <c r="X16" s="21">
        <v>45957</v>
      </c>
      <c r="Y16" s="10" t="s">
        <v>4612</v>
      </c>
      <c r="Z16" s="21">
        <f>X16+7</f>
        <v>45964</v>
      </c>
      <c r="AA16" s="21">
        <v>45962</v>
      </c>
      <c r="AB16" s="92">
        <f>AA16-Z16</f>
        <v>-2</v>
      </c>
      <c r="AC16" s="10" t="s">
        <v>4627</v>
      </c>
      <c r="AD16" s="10"/>
      <c r="AE16" s="21"/>
      <c r="AF16" s="10"/>
      <c r="AG16" s="10"/>
      <c r="AH16" s="21"/>
      <c r="AI16" s="21"/>
      <c r="AJ16" s="10"/>
      <c r="AK16" s="10"/>
      <c r="AL16" s="17"/>
      <c r="AM16" s="11"/>
      <c r="AN16" s="11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1"/>
      <c r="BF16" s="460"/>
    </row>
    <row r="17" spans="1:58" s="381" customFormat="1" ht="42" customHeight="1" x14ac:dyDescent="0.25">
      <c r="A17" s="442">
        <v>310002</v>
      </c>
      <c r="B17" s="16" t="s">
        <v>5</v>
      </c>
      <c r="C17" s="13" t="s">
        <v>725</v>
      </c>
      <c r="D17" s="12" t="s">
        <v>4714</v>
      </c>
      <c r="E17" s="12" t="s">
        <v>4715</v>
      </c>
      <c r="F17" s="16" t="s">
        <v>4716</v>
      </c>
      <c r="G17" s="10" t="s">
        <v>172</v>
      </c>
      <c r="H17" s="10" t="s">
        <v>277</v>
      </c>
      <c r="I17" s="16" t="s">
        <v>18</v>
      </c>
      <c r="J17" s="14">
        <v>45965</v>
      </c>
      <c r="K17" s="13" t="s">
        <v>4717</v>
      </c>
      <c r="L17" s="14">
        <f t="shared" si="0"/>
        <v>45972</v>
      </c>
      <c r="M17" s="14">
        <v>45974</v>
      </c>
      <c r="N17" s="92">
        <f t="shared" si="1"/>
        <v>2</v>
      </c>
      <c r="O17" s="10" t="s">
        <v>4733</v>
      </c>
      <c r="P17" s="10" t="s">
        <v>18</v>
      </c>
      <c r="Q17" s="21">
        <v>45976</v>
      </c>
      <c r="R17" s="10" t="s">
        <v>4905</v>
      </c>
      <c r="S17" s="21">
        <f t="shared" ref="S17:S22" si="3">Q17+7</f>
        <v>45983</v>
      </c>
      <c r="T17" s="21">
        <v>45986</v>
      </c>
      <c r="U17" s="92">
        <f t="shared" si="2"/>
        <v>3</v>
      </c>
      <c r="V17" s="10" t="s">
        <v>4935</v>
      </c>
      <c r="W17" s="10" t="s">
        <v>18</v>
      </c>
      <c r="X17" s="21">
        <v>45986</v>
      </c>
      <c r="Y17" s="10" t="s">
        <v>5050</v>
      </c>
      <c r="Z17" s="21">
        <f>X17+7</f>
        <v>45993</v>
      </c>
      <c r="AA17" s="21">
        <v>46004</v>
      </c>
      <c r="AB17" s="92">
        <f>AA17-Z17</f>
        <v>11</v>
      </c>
      <c r="AC17" s="10" t="s">
        <v>5058</v>
      </c>
      <c r="AD17" s="10" t="s">
        <v>5</v>
      </c>
      <c r="AE17" s="21">
        <v>46005</v>
      </c>
      <c r="AF17" s="21" t="s">
        <v>5205</v>
      </c>
      <c r="AG17" s="21">
        <f>AE17+7</f>
        <v>46012</v>
      </c>
      <c r="AH17" s="21">
        <v>46011</v>
      </c>
      <c r="AI17" s="92">
        <f>AH17-AG17</f>
        <v>-1</v>
      </c>
      <c r="AJ17" s="10" t="s">
        <v>5220</v>
      </c>
      <c r="AK17" s="10"/>
      <c r="AL17" s="17"/>
      <c r="AM17" s="11"/>
      <c r="AN17" s="11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1"/>
      <c r="BF17" s="460"/>
    </row>
    <row r="18" spans="1:58" s="381" customFormat="1" ht="42" customHeight="1" x14ac:dyDescent="0.25">
      <c r="A18" s="442">
        <v>310002</v>
      </c>
      <c r="B18" s="16" t="s">
        <v>5</v>
      </c>
      <c r="C18" s="13" t="s">
        <v>725</v>
      </c>
      <c r="D18" s="12" t="s">
        <v>5748</v>
      </c>
      <c r="E18" s="12" t="s">
        <v>5749</v>
      </c>
      <c r="F18" s="16" t="s">
        <v>5959</v>
      </c>
      <c r="G18" s="10" t="s">
        <v>172</v>
      </c>
      <c r="H18" s="10" t="s">
        <v>277</v>
      </c>
      <c r="I18" s="11" t="s">
        <v>3</v>
      </c>
      <c r="J18" s="14">
        <v>46057</v>
      </c>
      <c r="K18" s="13" t="s">
        <v>5750</v>
      </c>
      <c r="L18" s="14">
        <f t="shared" ref="L18:L25" si="4">J18+7</f>
        <v>46064</v>
      </c>
      <c r="M18" s="14">
        <v>46068</v>
      </c>
      <c r="N18" s="92">
        <f t="shared" si="1"/>
        <v>4</v>
      </c>
      <c r="O18" s="10" t="s">
        <v>5759</v>
      </c>
      <c r="P18" s="11" t="s">
        <v>3</v>
      </c>
      <c r="Q18" s="21">
        <v>46069</v>
      </c>
      <c r="R18" s="10" t="s">
        <v>5856</v>
      </c>
      <c r="S18" s="21">
        <f t="shared" si="3"/>
        <v>46076</v>
      </c>
      <c r="T18" s="21">
        <v>46081</v>
      </c>
      <c r="U18" s="92">
        <f t="shared" si="2"/>
        <v>5</v>
      </c>
      <c r="V18" s="10" t="s">
        <v>5908</v>
      </c>
      <c r="W18" s="10" t="s">
        <v>18</v>
      </c>
      <c r="X18" s="21">
        <v>46086</v>
      </c>
      <c r="Y18" s="10" t="s">
        <v>5960</v>
      </c>
      <c r="Z18" s="21">
        <f>X18+7</f>
        <v>46093</v>
      </c>
      <c r="AA18" s="21">
        <v>46095</v>
      </c>
      <c r="AB18" s="92">
        <f>AA18-Z18</f>
        <v>2</v>
      </c>
      <c r="AC18" s="10" t="s">
        <v>5964</v>
      </c>
      <c r="AD18" s="10" t="s">
        <v>5</v>
      </c>
      <c r="AE18" s="21">
        <v>46123</v>
      </c>
      <c r="AF18" s="21" t="s">
        <v>6329</v>
      </c>
      <c r="AG18" s="21">
        <f>AE18+7</f>
        <v>46130</v>
      </c>
      <c r="AH18" s="21">
        <v>46124</v>
      </c>
      <c r="AI18" s="92">
        <f>AH18-AG18</f>
        <v>-6</v>
      </c>
      <c r="AJ18" s="10" t="s">
        <v>6331</v>
      </c>
      <c r="AK18" s="10"/>
      <c r="AL18" s="17"/>
      <c r="AM18" s="11"/>
      <c r="AN18" s="11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1"/>
      <c r="BF18" s="460"/>
    </row>
    <row r="19" spans="1:58" s="381" customFormat="1" ht="42" customHeight="1" x14ac:dyDescent="0.25">
      <c r="A19" s="442">
        <v>310002</v>
      </c>
      <c r="B19" s="16" t="s">
        <v>5</v>
      </c>
      <c r="C19" s="13" t="s">
        <v>588</v>
      </c>
      <c r="D19" s="12" t="s">
        <v>6081</v>
      </c>
      <c r="E19" s="12" t="s">
        <v>6083</v>
      </c>
      <c r="F19" s="16" t="s">
        <v>6082</v>
      </c>
      <c r="G19" s="10" t="s">
        <v>172</v>
      </c>
      <c r="H19" s="10" t="s">
        <v>277</v>
      </c>
      <c r="I19" s="11" t="s">
        <v>3</v>
      </c>
      <c r="J19" s="14">
        <v>46097</v>
      </c>
      <c r="K19" s="13" t="s">
        <v>6080</v>
      </c>
      <c r="L19" s="14">
        <f t="shared" si="4"/>
        <v>46104</v>
      </c>
      <c r="M19" s="14">
        <v>46116</v>
      </c>
      <c r="N19" s="92">
        <f t="shared" si="1"/>
        <v>12</v>
      </c>
      <c r="O19" s="10" t="s">
        <v>6097</v>
      </c>
      <c r="P19" s="16" t="s">
        <v>18</v>
      </c>
      <c r="Q19" s="21">
        <v>46118</v>
      </c>
      <c r="R19" s="10" t="s">
        <v>6265</v>
      </c>
      <c r="S19" s="21">
        <f t="shared" si="3"/>
        <v>46125</v>
      </c>
      <c r="T19" s="21">
        <v>46126</v>
      </c>
      <c r="U19" s="92">
        <f t="shared" si="2"/>
        <v>1</v>
      </c>
      <c r="V19" s="10" t="s">
        <v>6278</v>
      </c>
      <c r="W19" s="10" t="s">
        <v>5</v>
      </c>
      <c r="X19" s="21">
        <v>46128</v>
      </c>
      <c r="Y19" s="10" t="s">
        <v>6398</v>
      </c>
      <c r="Z19" s="21">
        <f>X19+7</f>
        <v>46135</v>
      </c>
      <c r="AA19" s="21">
        <v>46133</v>
      </c>
      <c r="AB19" s="92">
        <f>AA19-Z19</f>
        <v>-2</v>
      </c>
      <c r="AC19" s="10" t="s">
        <v>6429</v>
      </c>
      <c r="AD19" s="10"/>
      <c r="AE19" s="21"/>
      <c r="AF19" s="21"/>
      <c r="AG19" s="21"/>
      <c r="AH19" s="21"/>
      <c r="AI19" s="92"/>
      <c r="AJ19" s="10"/>
      <c r="AK19" s="10"/>
      <c r="AL19" s="17"/>
      <c r="AM19" s="11"/>
      <c r="AN19" s="11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1"/>
      <c r="BF19" s="460"/>
    </row>
    <row r="20" spans="1:58" s="381" customFormat="1" ht="42" customHeight="1" x14ac:dyDescent="0.25">
      <c r="A20" s="442">
        <v>310002</v>
      </c>
      <c r="B20" s="10" t="s">
        <v>5</v>
      </c>
      <c r="C20" s="13" t="s">
        <v>208</v>
      </c>
      <c r="D20" s="12" t="s">
        <v>6316</v>
      </c>
      <c r="E20" s="12" t="s">
        <v>6318</v>
      </c>
      <c r="F20" s="16" t="s">
        <v>6319</v>
      </c>
      <c r="G20" s="10" t="s">
        <v>172</v>
      </c>
      <c r="H20" s="10" t="s">
        <v>277</v>
      </c>
      <c r="I20" s="16" t="s">
        <v>5</v>
      </c>
      <c r="J20" s="14">
        <v>46123</v>
      </c>
      <c r="K20" s="13" t="s">
        <v>6317</v>
      </c>
      <c r="L20" s="14">
        <f t="shared" si="4"/>
        <v>46130</v>
      </c>
      <c r="M20" s="14">
        <v>46133</v>
      </c>
      <c r="N20" s="92">
        <f t="shared" ref="N20:N25" si="5">M20-L20</f>
        <v>3</v>
      </c>
      <c r="O20" s="10" t="s">
        <v>6323</v>
      </c>
      <c r="P20" s="11" t="s">
        <v>5</v>
      </c>
      <c r="Q20" s="21">
        <v>46144</v>
      </c>
      <c r="R20" s="10" t="s">
        <v>6618</v>
      </c>
      <c r="S20" s="21">
        <f t="shared" si="3"/>
        <v>46151</v>
      </c>
      <c r="T20" s="21">
        <v>46153</v>
      </c>
      <c r="U20" s="92">
        <f t="shared" si="2"/>
        <v>2</v>
      </c>
      <c r="V20" s="10" t="s">
        <v>6623</v>
      </c>
      <c r="W20" s="10"/>
      <c r="X20" s="21"/>
      <c r="Y20" s="10"/>
      <c r="Z20" s="21"/>
      <c r="AA20" s="21"/>
      <c r="AB20" s="92"/>
      <c r="AC20" s="10"/>
      <c r="AD20" s="10"/>
      <c r="AE20" s="21"/>
      <c r="AF20" s="21"/>
      <c r="AG20" s="21"/>
      <c r="AH20" s="21"/>
      <c r="AI20" s="92"/>
      <c r="AJ20" s="10"/>
      <c r="AK20" s="10"/>
      <c r="AL20" s="17"/>
      <c r="AM20" s="11"/>
      <c r="AN20" s="11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1"/>
      <c r="BF20" s="460"/>
    </row>
    <row r="21" spans="1:58" s="381" customFormat="1" ht="42" customHeight="1" x14ac:dyDescent="0.25">
      <c r="A21" s="442">
        <v>310002</v>
      </c>
      <c r="B21" s="11" t="s">
        <v>5</v>
      </c>
      <c r="C21" s="13" t="s">
        <v>208</v>
      </c>
      <c r="D21" s="12" t="s">
        <v>6443</v>
      </c>
      <c r="E21" s="12" t="s">
        <v>6444</v>
      </c>
      <c r="F21" s="16" t="s">
        <v>6445</v>
      </c>
      <c r="G21" s="10" t="s">
        <v>172</v>
      </c>
      <c r="H21" s="10" t="s">
        <v>277</v>
      </c>
      <c r="I21" s="11" t="s">
        <v>3</v>
      </c>
      <c r="J21" s="14">
        <v>46131</v>
      </c>
      <c r="K21" s="13" t="s">
        <v>6446</v>
      </c>
      <c r="L21" s="14">
        <f t="shared" si="4"/>
        <v>46138</v>
      </c>
      <c r="M21" s="14">
        <v>46138</v>
      </c>
      <c r="N21" s="92">
        <f t="shared" si="5"/>
        <v>0</v>
      </c>
      <c r="O21" s="10" t="s">
        <v>6457</v>
      </c>
      <c r="P21" s="11" t="s">
        <v>5</v>
      </c>
      <c r="Q21" s="21">
        <v>46140</v>
      </c>
      <c r="R21" s="10" t="s">
        <v>6566</v>
      </c>
      <c r="S21" s="21">
        <f t="shared" si="3"/>
        <v>46147</v>
      </c>
      <c r="T21" s="21">
        <v>46145</v>
      </c>
      <c r="U21" s="92">
        <f>T21-S21</f>
        <v>-2</v>
      </c>
      <c r="V21" s="10" t="s">
        <v>6583</v>
      </c>
      <c r="W21" s="10"/>
      <c r="X21" s="21"/>
      <c r="Y21" s="10"/>
      <c r="Z21" s="21"/>
      <c r="AA21" s="21"/>
      <c r="AB21" s="92"/>
      <c r="AC21" s="10"/>
      <c r="AD21" s="10"/>
      <c r="AE21" s="21"/>
      <c r="AF21" s="21"/>
      <c r="AG21" s="21"/>
      <c r="AH21" s="21"/>
      <c r="AI21" s="92"/>
      <c r="AJ21" s="10"/>
      <c r="AK21" s="10"/>
      <c r="AL21" s="17"/>
      <c r="AM21" s="11"/>
      <c r="AN21" s="11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1"/>
      <c r="BF21" s="460"/>
    </row>
    <row r="22" spans="1:58" s="381" customFormat="1" ht="42" customHeight="1" x14ac:dyDescent="0.25">
      <c r="A22" s="442">
        <v>310002</v>
      </c>
      <c r="B22" s="16" t="s">
        <v>5</v>
      </c>
      <c r="C22" s="13" t="s">
        <v>208</v>
      </c>
      <c r="D22" s="12" t="s">
        <v>6619</v>
      </c>
      <c r="E22" s="12" t="s">
        <v>6620</v>
      </c>
      <c r="F22" s="16" t="s">
        <v>6621</v>
      </c>
      <c r="G22" s="10" t="s">
        <v>172</v>
      </c>
      <c r="H22" s="10" t="s">
        <v>277</v>
      </c>
      <c r="I22" s="16" t="s">
        <v>18</v>
      </c>
      <c r="J22" s="14">
        <v>46144</v>
      </c>
      <c r="K22" s="13" t="s">
        <v>6622</v>
      </c>
      <c r="L22" s="14">
        <f t="shared" si="4"/>
        <v>46151</v>
      </c>
      <c r="M22" s="14">
        <v>46152</v>
      </c>
      <c r="N22" s="92">
        <f t="shared" si="5"/>
        <v>1</v>
      </c>
      <c r="O22" s="10" t="s">
        <v>6624</v>
      </c>
      <c r="P22" s="11" t="s">
        <v>5</v>
      </c>
      <c r="Q22" s="21">
        <v>46156</v>
      </c>
      <c r="R22" s="10" t="s">
        <v>6786</v>
      </c>
      <c r="S22" s="21">
        <f t="shared" si="3"/>
        <v>46163</v>
      </c>
      <c r="T22" s="21">
        <v>46158</v>
      </c>
      <c r="U22" s="92">
        <f>T22-S22</f>
        <v>-5</v>
      </c>
      <c r="V22" s="10" t="s">
        <v>6820</v>
      </c>
      <c r="W22" s="10"/>
      <c r="X22" s="21"/>
      <c r="Y22" s="10"/>
      <c r="Z22" s="21"/>
      <c r="AA22" s="21"/>
      <c r="AB22" s="92"/>
      <c r="AC22" s="10"/>
      <c r="AD22" s="10"/>
      <c r="AE22" s="21"/>
      <c r="AF22" s="21"/>
      <c r="AG22" s="21"/>
      <c r="AH22" s="21"/>
      <c r="AI22" s="92"/>
      <c r="AJ22" s="10"/>
      <c r="AK22" s="10"/>
      <c r="AL22" s="17"/>
      <c r="AM22" s="11"/>
      <c r="AN22" s="11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1"/>
      <c r="BF22" s="460"/>
    </row>
    <row r="23" spans="1:58" s="381" customFormat="1" ht="42" customHeight="1" x14ac:dyDescent="0.25">
      <c r="A23" s="442">
        <v>310002</v>
      </c>
      <c r="B23" s="11" t="s">
        <v>5</v>
      </c>
      <c r="C23" s="13" t="s">
        <v>208</v>
      </c>
      <c r="D23" s="12" t="s">
        <v>6705</v>
      </c>
      <c r="E23" s="12" t="s">
        <v>6706</v>
      </c>
      <c r="F23" s="16" t="s">
        <v>6707</v>
      </c>
      <c r="G23" s="10" t="s">
        <v>172</v>
      </c>
      <c r="H23" s="10" t="s">
        <v>277</v>
      </c>
      <c r="I23" s="11" t="s">
        <v>3</v>
      </c>
      <c r="J23" s="14">
        <v>46158</v>
      </c>
      <c r="K23" s="13" t="s">
        <v>6801</v>
      </c>
      <c r="L23" s="14">
        <f t="shared" si="4"/>
        <v>46165</v>
      </c>
      <c r="M23" s="14">
        <v>46165</v>
      </c>
      <c r="N23" s="92">
        <f t="shared" si="5"/>
        <v>0</v>
      </c>
      <c r="O23" s="10" t="s">
        <v>6821</v>
      </c>
      <c r="P23" s="11" t="s">
        <v>5</v>
      </c>
      <c r="Q23" s="21">
        <v>46166</v>
      </c>
      <c r="R23" s="10" t="s">
        <v>6907</v>
      </c>
      <c r="S23" s="21">
        <f t="shared" ref="S23:S28" si="6">Q23+7</f>
        <v>46173</v>
      </c>
      <c r="T23" s="21">
        <v>46175</v>
      </c>
      <c r="U23" s="92">
        <f>T23-S23</f>
        <v>2</v>
      </c>
      <c r="V23" s="10" t="s">
        <v>6908</v>
      </c>
      <c r="W23" s="10"/>
      <c r="X23" s="21"/>
      <c r="Y23" s="10"/>
      <c r="Z23" s="21"/>
      <c r="AA23" s="21"/>
      <c r="AB23" s="92"/>
      <c r="AC23" s="10"/>
      <c r="AD23" s="10"/>
      <c r="AE23" s="21"/>
      <c r="AF23" s="21"/>
      <c r="AG23" s="21"/>
      <c r="AH23" s="21"/>
      <c r="AI23" s="92"/>
      <c r="AJ23" s="10"/>
      <c r="AK23" s="10"/>
      <c r="AL23" s="17"/>
      <c r="AM23" s="11"/>
      <c r="AN23" s="11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1"/>
      <c r="BF23" s="460"/>
    </row>
    <row r="24" spans="1:58" s="381" customFormat="1" ht="42" customHeight="1" x14ac:dyDescent="0.25">
      <c r="A24" s="442">
        <v>310002</v>
      </c>
      <c r="B24" s="11" t="s">
        <v>5</v>
      </c>
      <c r="C24" s="13" t="s">
        <v>208</v>
      </c>
      <c r="D24" s="12" t="s">
        <v>7013</v>
      </c>
      <c r="E24" s="12" t="s">
        <v>7012</v>
      </c>
      <c r="F24" s="16" t="s">
        <v>7072</v>
      </c>
      <c r="G24" s="10" t="s">
        <v>172</v>
      </c>
      <c r="H24" s="10" t="s">
        <v>277</v>
      </c>
      <c r="I24" s="11" t="s">
        <v>3</v>
      </c>
      <c r="J24" s="14">
        <v>46190</v>
      </c>
      <c r="K24" s="13" t="s">
        <v>7014</v>
      </c>
      <c r="L24" s="14">
        <f t="shared" si="4"/>
        <v>46197</v>
      </c>
      <c r="M24" s="14">
        <v>46195</v>
      </c>
      <c r="N24" s="92">
        <f t="shared" si="5"/>
        <v>-2</v>
      </c>
      <c r="O24" s="10" t="s">
        <v>7019</v>
      </c>
      <c r="P24" s="11" t="s">
        <v>5</v>
      </c>
      <c r="Q24" s="21">
        <v>46197</v>
      </c>
      <c r="R24" s="10" t="s">
        <v>7086</v>
      </c>
      <c r="S24" s="21">
        <f t="shared" si="6"/>
        <v>46204</v>
      </c>
      <c r="T24" s="21">
        <v>46198</v>
      </c>
      <c r="U24" s="92">
        <f>T24-S24</f>
        <v>-6</v>
      </c>
      <c r="V24" s="10" t="s">
        <v>7096</v>
      </c>
      <c r="W24" s="10"/>
      <c r="X24" s="21"/>
      <c r="Y24" s="10"/>
      <c r="Z24" s="21"/>
      <c r="AA24" s="21"/>
      <c r="AB24" s="92"/>
      <c r="AC24" s="10"/>
      <c r="AD24" s="10"/>
      <c r="AE24" s="21"/>
      <c r="AF24" s="21"/>
      <c r="AG24" s="21"/>
      <c r="AH24" s="21"/>
      <c r="AI24" s="92"/>
      <c r="AJ24" s="10"/>
      <c r="AK24" s="10"/>
      <c r="AL24" s="17"/>
      <c r="AM24" s="11"/>
      <c r="AN24" s="11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1"/>
      <c r="BF24" s="460"/>
    </row>
    <row r="25" spans="1:58" s="381" customFormat="1" ht="42" customHeight="1" x14ac:dyDescent="0.25">
      <c r="A25" s="442">
        <v>310002</v>
      </c>
      <c r="B25" s="11" t="s">
        <v>5</v>
      </c>
      <c r="C25" s="13" t="s">
        <v>208</v>
      </c>
      <c r="D25" s="12" t="s">
        <v>7248</v>
      </c>
      <c r="E25" s="12" t="s">
        <v>7250</v>
      </c>
      <c r="F25" s="16" t="s">
        <v>7251</v>
      </c>
      <c r="G25" s="10" t="s">
        <v>172</v>
      </c>
      <c r="H25" s="10" t="s">
        <v>277</v>
      </c>
      <c r="I25" s="11" t="s">
        <v>18</v>
      </c>
      <c r="J25" s="14">
        <v>46212</v>
      </c>
      <c r="K25" s="13" t="s">
        <v>7249</v>
      </c>
      <c r="L25" s="14">
        <f t="shared" si="4"/>
        <v>46219</v>
      </c>
      <c r="M25" s="14">
        <v>46228</v>
      </c>
      <c r="N25" s="92">
        <f t="shared" si="5"/>
        <v>9</v>
      </c>
      <c r="O25" s="10" t="s">
        <v>7252</v>
      </c>
      <c r="P25" s="11" t="s">
        <v>5</v>
      </c>
      <c r="Q25" s="21">
        <v>46229</v>
      </c>
      <c r="R25" s="150" t="s">
        <v>7329</v>
      </c>
      <c r="S25" s="21">
        <f t="shared" si="6"/>
        <v>46236</v>
      </c>
      <c r="T25" s="21">
        <v>46235</v>
      </c>
      <c r="U25" s="92">
        <f>T25-S25</f>
        <v>-1</v>
      </c>
      <c r="V25" s="151" t="s">
        <v>7382</v>
      </c>
      <c r="W25" s="10"/>
      <c r="X25" s="21"/>
      <c r="Y25" s="10"/>
      <c r="Z25" s="21"/>
      <c r="AA25" s="21"/>
      <c r="AB25" s="92"/>
      <c r="AC25" s="10"/>
      <c r="AD25" s="10"/>
      <c r="AE25" s="21"/>
      <c r="AF25" s="21"/>
      <c r="AG25" s="21"/>
      <c r="AH25" s="21"/>
      <c r="AI25" s="92"/>
      <c r="AJ25" s="10"/>
      <c r="AK25" s="10"/>
      <c r="AL25" s="17"/>
      <c r="AM25" s="11"/>
      <c r="AN25" s="11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1"/>
      <c r="BF25" s="460"/>
    </row>
    <row r="26" spans="1:58" s="381" customFormat="1" ht="42" customHeight="1" x14ac:dyDescent="0.25">
      <c r="A26" s="367">
        <v>100008</v>
      </c>
      <c r="B26" s="16" t="s">
        <v>5</v>
      </c>
      <c r="C26" s="56" t="s">
        <v>725</v>
      </c>
      <c r="D26" s="12" t="s">
        <v>4377</v>
      </c>
      <c r="E26" s="12" t="s">
        <v>4376</v>
      </c>
      <c r="F26" s="16" t="s">
        <v>4375</v>
      </c>
      <c r="G26" s="10" t="s">
        <v>172</v>
      </c>
      <c r="H26" s="10" t="s">
        <v>277</v>
      </c>
      <c r="I26" s="11" t="s">
        <v>3</v>
      </c>
      <c r="J26" s="14">
        <v>45934</v>
      </c>
      <c r="K26" s="13" t="s">
        <v>4378</v>
      </c>
      <c r="L26" s="14">
        <f t="shared" si="0"/>
        <v>45941</v>
      </c>
      <c r="M26" s="14">
        <v>45948</v>
      </c>
      <c r="N26" s="92">
        <f t="shared" si="1"/>
        <v>7</v>
      </c>
      <c r="O26" s="10" t="s">
        <v>4390</v>
      </c>
      <c r="P26" s="10" t="s">
        <v>18</v>
      </c>
      <c r="Q26" s="21">
        <v>45948</v>
      </c>
      <c r="R26" s="10" t="s">
        <v>4508</v>
      </c>
      <c r="S26" s="21">
        <f t="shared" si="6"/>
        <v>45955</v>
      </c>
      <c r="T26" s="21">
        <v>45956</v>
      </c>
      <c r="U26" s="92">
        <f t="shared" si="2"/>
        <v>1</v>
      </c>
      <c r="V26" s="10" t="s">
        <v>4519</v>
      </c>
      <c r="W26" s="10" t="s">
        <v>5</v>
      </c>
      <c r="X26" s="21">
        <v>45957</v>
      </c>
      <c r="Y26" s="10" t="s">
        <v>4611</v>
      </c>
      <c r="Z26" s="21">
        <f>X26+7</f>
        <v>45964</v>
      </c>
      <c r="AA26" s="21">
        <v>45962</v>
      </c>
      <c r="AB26" s="92">
        <f>AA26-Z26</f>
        <v>-2</v>
      </c>
      <c r="AC26" s="10" t="s">
        <v>4626</v>
      </c>
      <c r="AD26" s="10" t="s">
        <v>5</v>
      </c>
      <c r="AE26" s="21">
        <v>46165</v>
      </c>
      <c r="AF26" s="10" t="s">
        <v>6898</v>
      </c>
      <c r="AG26" s="21">
        <f>AE26+7</f>
        <v>46172</v>
      </c>
      <c r="AH26" s="21">
        <v>46173</v>
      </c>
      <c r="AI26" s="92">
        <f>AH26-AG26</f>
        <v>1</v>
      </c>
      <c r="AJ26" s="10" t="s">
        <v>6897</v>
      </c>
      <c r="AK26" s="10"/>
      <c r="AL26" s="17"/>
      <c r="AM26" s="11"/>
      <c r="AN26" s="11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1"/>
      <c r="BF26" s="460"/>
    </row>
    <row r="27" spans="1:58" s="381" customFormat="1" ht="42" customHeight="1" x14ac:dyDescent="0.25">
      <c r="A27" s="367">
        <v>100008</v>
      </c>
      <c r="B27" s="11" t="s">
        <v>5</v>
      </c>
      <c r="C27" s="56" t="s">
        <v>208</v>
      </c>
      <c r="D27" s="12" t="s">
        <v>4470</v>
      </c>
      <c r="E27" s="12" t="s">
        <v>4471</v>
      </c>
      <c r="F27" s="16" t="s">
        <v>4472</v>
      </c>
      <c r="G27" s="10" t="s">
        <v>172</v>
      </c>
      <c r="H27" s="10" t="s">
        <v>277</v>
      </c>
      <c r="I27" s="11" t="s">
        <v>3</v>
      </c>
      <c r="J27" s="14">
        <v>45943</v>
      </c>
      <c r="K27" s="13" t="s">
        <v>4476</v>
      </c>
      <c r="L27" s="14">
        <f t="shared" si="0"/>
        <v>45950</v>
      </c>
      <c r="M27" s="14">
        <v>45959</v>
      </c>
      <c r="N27" s="92">
        <f>M27-L27</f>
        <v>9</v>
      </c>
      <c r="O27" s="10" t="s">
        <v>4475</v>
      </c>
      <c r="P27" s="16" t="s">
        <v>5</v>
      </c>
      <c r="Q27" s="21">
        <v>45960</v>
      </c>
      <c r="R27" s="10" t="s">
        <v>4641</v>
      </c>
      <c r="S27" s="21">
        <f t="shared" si="6"/>
        <v>45967</v>
      </c>
      <c r="T27" s="21">
        <v>45967</v>
      </c>
      <c r="U27" s="92">
        <f t="shared" si="2"/>
        <v>0</v>
      </c>
      <c r="V27" s="10" t="s">
        <v>4676</v>
      </c>
      <c r="W27" s="10"/>
      <c r="X27" s="21"/>
      <c r="Y27" s="10"/>
      <c r="Z27" s="10"/>
      <c r="AA27" s="21"/>
      <c r="AB27" s="21"/>
      <c r="AC27" s="10"/>
      <c r="AD27" s="10"/>
      <c r="AE27" s="21"/>
      <c r="AF27" s="10"/>
      <c r="AG27" s="10"/>
      <c r="AH27" s="21"/>
      <c r="AI27" s="21"/>
      <c r="AJ27" s="10"/>
      <c r="AK27" s="10"/>
      <c r="AL27" s="17"/>
      <c r="AM27" s="11"/>
      <c r="AN27" s="11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1"/>
      <c r="BF27" s="460"/>
    </row>
    <row r="28" spans="1:58" s="381" customFormat="1" ht="42" customHeight="1" x14ac:dyDescent="0.25">
      <c r="A28" s="367">
        <v>100008</v>
      </c>
      <c r="B28" s="16" t="s">
        <v>5</v>
      </c>
      <c r="C28" s="56" t="s">
        <v>725</v>
      </c>
      <c r="D28" s="12" t="s">
        <v>4583</v>
      </c>
      <c r="E28" s="12" t="s">
        <v>4584</v>
      </c>
      <c r="F28" s="16" t="s">
        <v>4586</v>
      </c>
      <c r="G28" s="10" t="s">
        <v>172</v>
      </c>
      <c r="H28" s="10" t="s">
        <v>277</v>
      </c>
      <c r="I28" s="16" t="s">
        <v>18</v>
      </c>
      <c r="J28" s="14">
        <v>45955</v>
      </c>
      <c r="K28" s="13" t="s">
        <v>4587</v>
      </c>
      <c r="L28" s="14">
        <f>J28+7</f>
        <v>45962</v>
      </c>
      <c r="M28" s="14">
        <v>45965</v>
      </c>
      <c r="N28" s="92">
        <f>M28-L28</f>
        <v>3</v>
      </c>
      <c r="O28" s="10" t="s">
        <v>4594</v>
      </c>
      <c r="P28" s="16" t="s">
        <v>18</v>
      </c>
      <c r="Q28" s="21">
        <v>45967</v>
      </c>
      <c r="R28" s="10" t="s">
        <v>4765</v>
      </c>
      <c r="S28" s="21">
        <f t="shared" si="6"/>
        <v>45974</v>
      </c>
      <c r="T28" s="21">
        <v>45983</v>
      </c>
      <c r="U28" s="92">
        <f>T28-S28</f>
        <v>9</v>
      </c>
      <c r="V28" s="10" t="s">
        <v>4773</v>
      </c>
      <c r="W28" s="16" t="s">
        <v>18</v>
      </c>
      <c r="X28" s="21">
        <v>45983</v>
      </c>
      <c r="Y28" s="10" t="s">
        <v>5002</v>
      </c>
      <c r="Z28" s="21">
        <f>X28+7</f>
        <v>45990</v>
      </c>
      <c r="AA28" s="21">
        <v>45994</v>
      </c>
      <c r="AB28" s="92">
        <f>AA28-Z28</f>
        <v>4</v>
      </c>
      <c r="AC28" s="10" t="s">
        <v>5015</v>
      </c>
      <c r="AD28" s="10" t="s">
        <v>5</v>
      </c>
      <c r="AE28" s="21">
        <v>46005</v>
      </c>
      <c r="AF28" s="10" t="s">
        <v>5235</v>
      </c>
      <c r="AG28" s="21">
        <f>AE28+7</f>
        <v>46012</v>
      </c>
      <c r="AH28" s="21">
        <v>46015</v>
      </c>
      <c r="AI28" s="92">
        <f>AH28-AG28</f>
        <v>3</v>
      </c>
      <c r="AJ28" s="10" t="s">
        <v>5248</v>
      </c>
      <c r="AK28" s="10"/>
      <c r="AL28" s="17"/>
      <c r="AM28" s="11"/>
      <c r="AN28" s="11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1"/>
      <c r="BF28" s="460"/>
    </row>
    <row r="29" spans="1:58" s="381" customFormat="1" ht="42" customHeight="1" thickBot="1" x14ac:dyDescent="0.3">
      <c r="A29" s="369"/>
      <c r="B29" s="446"/>
      <c r="C29" s="446"/>
      <c r="D29" s="370"/>
      <c r="E29" s="370"/>
      <c r="F29" s="262"/>
      <c r="G29" s="263"/>
      <c r="H29" s="263"/>
      <c r="I29" s="262"/>
      <c r="J29" s="474"/>
      <c r="K29" s="373"/>
      <c r="L29" s="373"/>
      <c r="M29" s="474"/>
      <c r="N29" s="474"/>
      <c r="O29" s="263"/>
      <c r="P29" s="470"/>
      <c r="Q29" s="374"/>
      <c r="R29" s="263"/>
      <c r="S29" s="263"/>
      <c r="T29" s="374"/>
      <c r="U29" s="374"/>
      <c r="V29" s="263"/>
      <c r="W29" s="263"/>
      <c r="X29" s="374"/>
      <c r="Y29" s="263"/>
      <c r="Z29" s="263"/>
      <c r="AA29" s="374"/>
      <c r="AB29" s="374"/>
      <c r="AC29" s="263"/>
      <c r="AD29" s="263"/>
      <c r="AE29" s="374"/>
      <c r="AF29" s="263"/>
      <c r="AG29" s="263"/>
      <c r="AH29" s="374"/>
      <c r="AI29" s="374"/>
      <c r="AJ29" s="263"/>
      <c r="AK29" s="263"/>
      <c r="AL29" s="376"/>
      <c r="AM29" s="371"/>
      <c r="AN29" s="371"/>
      <c r="AO29" s="376"/>
      <c r="AP29" s="376"/>
      <c r="AQ29" s="376"/>
      <c r="AR29" s="376"/>
      <c r="AS29" s="376"/>
      <c r="AT29" s="376"/>
      <c r="AU29" s="376"/>
      <c r="AV29" s="376"/>
      <c r="AW29" s="376"/>
      <c r="AX29" s="376"/>
      <c r="AY29" s="376"/>
      <c r="AZ29" s="376"/>
      <c r="BA29" s="376"/>
      <c r="BB29" s="376"/>
      <c r="BC29" s="376"/>
      <c r="BD29" s="376"/>
      <c r="BE29" s="371"/>
      <c r="BF29" s="490"/>
    </row>
  </sheetData>
  <autoFilter ref="A11:BF11" xr:uid="{00000000-0001-0000-1F00-000000000000}"/>
  <mergeCells count="18">
    <mergeCell ref="H1:H2"/>
    <mergeCell ref="I1:I2"/>
    <mergeCell ref="AK10:AQ10"/>
    <mergeCell ref="AR10:AX10"/>
    <mergeCell ref="AY10:BE10"/>
    <mergeCell ref="BF10:BF11"/>
    <mergeCell ref="AD10:AJ10"/>
    <mergeCell ref="A10:A11"/>
    <mergeCell ref="B10:B11"/>
    <mergeCell ref="C10:C11"/>
    <mergeCell ref="D10:D11"/>
    <mergeCell ref="E10:E11"/>
    <mergeCell ref="F10:F11"/>
    <mergeCell ref="G10:G11"/>
    <mergeCell ref="H10:H11"/>
    <mergeCell ref="I10:O10"/>
    <mergeCell ref="P10:V10"/>
    <mergeCell ref="W10:AC10"/>
  </mergeCells>
  <phoneticPr fontId="5" type="noConversion"/>
  <conditionalFormatting sqref="A10:A12 A13:XFD24 A25:Q25 S25:U25 W25:XFD25 A26:XFD1048576">
    <cfRule type="cellIs" dxfId="1111" priority="71" operator="equal">
      <formula>"D - Rejected"</formula>
    </cfRule>
    <cfRule type="cellIs" dxfId="1110" priority="72" operator="equal">
      <formula>"B- Incorporate Comments - Proceed"</formula>
    </cfRule>
    <cfRule type="cellIs" dxfId="1109" priority="73" operator="equal">
      <formula>"C - Revise and Resubmit - Do Not Proceed"</formula>
    </cfRule>
    <cfRule type="cellIs" dxfId="1108" priority="70" operator="equal">
      <formula>"E - Review not Required - Proceed"</formula>
    </cfRule>
  </conditionalFormatting>
  <conditionalFormatting sqref="A10:A12 C12:H12 J12:O12 Q12:XFD12 A13:XFD24 A25:Q25 S25:U25 W25:XFD25 A26:XFD1048576">
    <cfRule type="cellIs" dxfId="1107" priority="74" operator="equal">
      <formula>"A - Work May Proceed"</formula>
    </cfRule>
  </conditionalFormatting>
  <conditionalFormatting sqref="B11:B12">
    <cfRule type="cellIs" dxfId="1106" priority="53" operator="equal">
      <formula>"C - Revise and Resubmit - Do Not Proceed"</formula>
    </cfRule>
    <cfRule type="cellIs" dxfId="1105" priority="52" operator="equal">
      <formula>"B- Incorporate Comments - Proceed"</formula>
    </cfRule>
    <cfRule type="cellIs" dxfId="1104" priority="50" operator="equal">
      <formula>"E - Review not Required - Proceed"</formula>
    </cfRule>
    <cfRule type="cellIs" dxfId="1103" priority="51" operator="equal">
      <formula>"D - Rejected"</formula>
    </cfRule>
  </conditionalFormatting>
  <conditionalFormatting sqref="B12">
    <cfRule type="cellIs" dxfId="1102" priority="54" stopIfTrue="1" operator="equal">
      <formula>"A - Work May Proceed"</formula>
    </cfRule>
  </conditionalFormatting>
  <conditionalFormatting sqref="C12:XFD12 C13:H13 S13:S27 N13:N28 U13:U28 C14:E25 G14:H28">
    <cfRule type="cellIs" dxfId="1101" priority="41" operator="equal">
      <formula>"E - Review not Required - Proceed"</formula>
    </cfRule>
    <cfRule type="cellIs" dxfId="1100" priority="42" operator="equal">
      <formula>"D - Rejected"</formula>
    </cfRule>
    <cfRule type="cellIs" dxfId="1099" priority="43" operator="equal">
      <formula>"B- Incorporate Comments - Proceed"</formula>
    </cfRule>
    <cfRule type="cellIs" dxfId="1098" priority="44" operator="equal">
      <formula>"C - Revise and Resubmit - Do Not Proceed"</formula>
    </cfRule>
  </conditionalFormatting>
  <conditionalFormatting sqref="D11:BE11 B1:G2 X1:XFD9 B3:H4 B9:H9 B10:XFD10 B11">
    <cfRule type="cellIs" dxfId="1097" priority="119" operator="equal">
      <formula>"A - Work May Proceed"</formula>
    </cfRule>
  </conditionalFormatting>
  <conditionalFormatting sqref="D11:BE11 B1:G2 X1:XFD9 B3:H4 B9:H9 B10:XFD10">
    <cfRule type="cellIs" dxfId="1096" priority="116" operator="equal">
      <formula>"D - Rejected"</formula>
    </cfRule>
    <cfRule type="cellIs" dxfId="1095" priority="115" operator="equal">
      <formula>"E - Review not Required - Proceed"</formula>
    </cfRule>
    <cfRule type="cellIs" dxfId="1094" priority="118" operator="equal">
      <formula>"C - Revise and Resubmit - Do Not Proceed"</formula>
    </cfRule>
    <cfRule type="cellIs" dxfId="1093" priority="117" operator="equal">
      <formula>"B- Incorporate Comments - Proceed"</formula>
    </cfRule>
  </conditionalFormatting>
  <conditionalFormatting sqref="I11">
    <cfRule type="cellIs" dxfId="1092" priority="198" operator="between">
      <formula>"C - Revise and Resubmit - Do Not Proceed"</formula>
      <formula>"C - Revise and Resubmit - Do Not Proceed"</formula>
    </cfRule>
    <cfRule type="cellIs" dxfId="1091" priority="197" operator="between">
      <formula>"A - Work May Proceed"</formula>
      <formula>"A - Work May Proceed"</formula>
    </cfRule>
    <cfRule type="cellIs" dxfId="1090" priority="196" operator="between">
      <formula>"CANCELLED"</formula>
      <formula>"CANCELLED"</formula>
    </cfRule>
    <cfRule type="cellIs" dxfId="1089" priority="195" operator="between">
      <formula>"D - Rejected "</formula>
      <formula>"D - Rejected "</formula>
    </cfRule>
    <cfRule type="cellIs" dxfId="1088" priority="194" operator="between">
      <formula>"E - Review not Required - Proceed"</formula>
      <formula>"E - Review not Required - Proceed"</formula>
    </cfRule>
    <cfRule type="cellIs" dxfId="1087" priority="193" operator="between">
      <formula>"B - Incorporate Comments - Proceed"</formula>
      <formula>"B - Incorporate Comments - Proceed"</formula>
    </cfRule>
    <cfRule type="cellIs" dxfId="1086" priority="192" operator="between">
      <formula>"A - Work May Proceed"</formula>
      <formula>"A - Work May Proceed"</formula>
    </cfRule>
    <cfRule type="cellIs" dxfId="1085" priority="191" operator="between">
      <formula>"B - Incorporate Comments - Proceed"</formula>
      <formula>"B - Incorporate Comments - Proceed"</formula>
    </cfRule>
    <cfRule type="cellIs" dxfId="1084" priority="190" operator="between">
      <formula>"C - Revise and Resubmit - Do Not Proceed"</formula>
      <formula>"C - Revise and Resubmit - Do Not Proceed"</formula>
    </cfRule>
    <cfRule type="cellIs" dxfId="1083" priority="189" operator="between">
      <formula>"'D - Rejected "</formula>
      <formula>"'D - Rejected "</formula>
    </cfRule>
    <cfRule type="cellIs" dxfId="1082" priority="188" operator="between">
      <formula>"E - Review not Required - Proceed"</formula>
      <formula>"E - Review not Required - Proceed"</formula>
    </cfRule>
    <cfRule type="cellIs" dxfId="1081" priority="187" operator="equal">
      <formula>"E - Review Not Required - Proceed"</formula>
    </cfRule>
    <cfRule type="cellIs" dxfId="1080" priority="199" stopIfTrue="1" operator="between">
      <formula>"B - Incorporate Comments - Proceed "</formula>
      <formula>"B - Incorporate Comments - Proceed "</formula>
    </cfRule>
    <cfRule type="cellIs" dxfId="1079" priority="185" operator="equal">
      <formula>"For Information"</formula>
    </cfRule>
    <cfRule type="cellIs" dxfId="1078" priority="186" operator="equal">
      <formula>"B - Incorporate Comments - Proceed "</formula>
    </cfRule>
    <cfRule type="cellIs" dxfId="1077" priority="184" operator="equal">
      <formula>"B - Incorporate Comments - Proceed"</formula>
    </cfRule>
  </conditionalFormatting>
  <conditionalFormatting sqref="I12">
    <cfRule type="cellIs" dxfId="1076" priority="59" stopIfTrue="1" operator="equal">
      <formula>"A - Work May Proceed"</formula>
    </cfRule>
  </conditionalFormatting>
  <conditionalFormatting sqref="J5:J6 B5:I7 B8:J8">
    <cfRule type="cellIs" dxfId="1075" priority="66" operator="equal">
      <formula>"D - Rejected"</formula>
    </cfRule>
    <cfRule type="cellIs" dxfId="1074" priority="69" stopIfTrue="1" operator="equal">
      <formula>"A - Work May Proceed"</formula>
    </cfRule>
    <cfRule type="cellIs" dxfId="1073" priority="65" operator="equal">
      <formula>"E - Review not Required - Proceed"</formula>
    </cfRule>
    <cfRule type="cellIs" dxfId="1072" priority="67" operator="equal">
      <formula>"B- Incorporate Comments - Proceed"</formula>
    </cfRule>
    <cfRule type="cellIs" dxfId="1071" priority="68" operator="equal">
      <formula>"C - Revise and Resubmit - Do Not Proceed"</formula>
    </cfRule>
  </conditionalFormatting>
  <conditionalFormatting sqref="L13:L27">
    <cfRule type="cellIs" dxfId="1070" priority="58" operator="equal">
      <formula>"C - Revise and Resubmit - Do Not Proceed"</formula>
    </cfRule>
    <cfRule type="cellIs" dxfId="1069" priority="57" operator="equal">
      <formula>"B- Incorporate Comments - Proceed"</formula>
    </cfRule>
    <cfRule type="cellIs" dxfId="1068" priority="56" operator="equal">
      <formula>"D - Rejected"</formula>
    </cfRule>
    <cfRule type="cellIs" dxfId="1067" priority="55" operator="equal">
      <formula>"E - Review not Required - Proceed"</formula>
    </cfRule>
  </conditionalFormatting>
  <conditionalFormatting sqref="P11">
    <cfRule type="cellIs" dxfId="1066" priority="177" operator="between">
      <formula>"B - Incorporate Comments - Proceed"</formula>
      <formula>"B - Incorporate Comments - Proceed"</formula>
    </cfRule>
    <cfRule type="cellIs" dxfId="1065" priority="174" operator="between">
      <formula>"C - Revise and Resubmit - Do Not Proceed"</formula>
      <formula>"C - Revise and Resubmit - Do Not Proceed"</formula>
    </cfRule>
    <cfRule type="cellIs" dxfId="1064" priority="173" operator="between">
      <formula>"'D - Rejected "</formula>
      <formula>"'D - Rejected "</formula>
    </cfRule>
    <cfRule type="cellIs" dxfId="1063" priority="170" operator="equal">
      <formula>"B - Incorporate Comments - Proceed "</formula>
    </cfRule>
    <cfRule type="cellIs" dxfId="1062" priority="168" operator="equal">
      <formula>"B - Incorporate Comments - Proceed"</formula>
    </cfRule>
    <cfRule type="cellIs" dxfId="1061" priority="172" operator="between">
      <formula>"E - Review not Required - Proceed"</formula>
      <formula>"E - Review not Required - Proceed"</formula>
    </cfRule>
    <cfRule type="cellIs" dxfId="1060" priority="169" operator="equal">
      <formula>"For Information"</formula>
    </cfRule>
    <cfRule type="cellIs" dxfId="1059" priority="171" operator="equal">
      <formula>"E - Review Not Required - Proceed"</formula>
    </cfRule>
    <cfRule type="cellIs" dxfId="1058" priority="183" stopIfTrue="1" operator="between">
      <formula>"B - Incorporate Comments - Proceed "</formula>
      <formula>"B - Incorporate Comments - Proceed "</formula>
    </cfRule>
    <cfRule type="cellIs" dxfId="1057" priority="182" operator="between">
      <formula>"C - Revise and Resubmit - Do Not Proceed"</formula>
      <formula>"C - Revise and Resubmit - Do Not Proceed"</formula>
    </cfRule>
    <cfRule type="cellIs" dxfId="1056" priority="181" operator="between">
      <formula>"A - Work May Proceed"</formula>
      <formula>"A - Work May Proceed"</formula>
    </cfRule>
    <cfRule type="cellIs" dxfId="1055" priority="180" operator="between">
      <formula>"CANCELLED"</formula>
      <formula>"CANCELLED"</formula>
    </cfRule>
    <cfRule type="cellIs" dxfId="1054" priority="179" operator="between">
      <formula>"D - Rejected "</formula>
      <formula>"D - Rejected "</formula>
    </cfRule>
    <cfRule type="cellIs" dxfId="1053" priority="178" operator="between">
      <formula>"E - Review not Required - Proceed"</formula>
      <formula>"E - Review not Required - Proceed"</formula>
    </cfRule>
    <cfRule type="cellIs" dxfId="1052" priority="176" operator="between">
      <formula>"A - Work May Proceed"</formula>
      <formula>"A - Work May Proceed"</formula>
    </cfRule>
    <cfRule type="cellIs" dxfId="1051" priority="175" operator="between">
      <formula>"B - Incorporate Comments - Proceed"</formula>
      <formula>"B - Incorporate Comments - Proceed"</formula>
    </cfRule>
  </conditionalFormatting>
  <conditionalFormatting sqref="P12">
    <cfRule type="cellIs" dxfId="1050" priority="49" stopIfTrue="1" operator="equal">
      <formula>"A - Work May Proceed"</formula>
    </cfRule>
  </conditionalFormatting>
  <conditionalFormatting sqref="W11">
    <cfRule type="cellIs" dxfId="1049" priority="155" operator="equal">
      <formula>"E - Review Not Required - Proceed"</formula>
    </cfRule>
    <cfRule type="cellIs" dxfId="1048" priority="167" stopIfTrue="1" operator="between">
      <formula>"B - Incorporate Comments - Proceed "</formula>
      <formula>"B - Incorporate Comments - Proceed "</formula>
    </cfRule>
    <cfRule type="cellIs" dxfId="1047" priority="166" operator="between">
      <formula>"C - Revise and Resubmit - Do Not Proceed"</formula>
      <formula>"C - Revise and Resubmit - Do Not Proceed"</formula>
    </cfRule>
    <cfRule type="cellIs" dxfId="1046" priority="165" operator="between">
      <formula>"A - Work May Proceed"</formula>
      <formula>"A - Work May Proceed"</formula>
    </cfRule>
    <cfRule type="cellIs" dxfId="1045" priority="164" operator="between">
      <formula>"CANCELLED"</formula>
      <formula>"CANCELLED"</formula>
    </cfRule>
    <cfRule type="cellIs" dxfId="1044" priority="163" operator="between">
      <formula>"D - Rejected "</formula>
      <formula>"D - Rejected "</formula>
    </cfRule>
    <cfRule type="cellIs" dxfId="1043" priority="162" operator="between">
      <formula>"E - Review not Required - Proceed"</formula>
      <formula>"E - Review not Required - Proceed"</formula>
    </cfRule>
    <cfRule type="cellIs" dxfId="1042" priority="161" operator="between">
      <formula>"B - Incorporate Comments - Proceed"</formula>
      <formula>"B - Incorporate Comments - Proceed"</formula>
    </cfRule>
    <cfRule type="cellIs" dxfId="1041" priority="159" operator="between">
      <formula>"B - Incorporate Comments - Proceed"</formula>
      <formula>"B - Incorporate Comments - Proceed"</formula>
    </cfRule>
    <cfRule type="cellIs" dxfId="1040" priority="158" operator="between">
      <formula>"C - Revise and Resubmit - Do Not Proceed"</formula>
      <formula>"C - Revise and Resubmit - Do Not Proceed"</formula>
    </cfRule>
    <cfRule type="cellIs" dxfId="1039" priority="157" operator="between">
      <formula>"'D - Rejected "</formula>
      <formula>"'D - Rejected "</formula>
    </cfRule>
    <cfRule type="cellIs" dxfId="1038" priority="156" operator="between">
      <formula>"E - Review not Required - Proceed"</formula>
      <formula>"E - Review not Required - Proceed"</formula>
    </cfRule>
    <cfRule type="cellIs" dxfId="1037" priority="160" operator="between">
      <formula>"A - Work May Proceed"</formula>
      <formula>"A - Work May Proceed"</formula>
    </cfRule>
    <cfRule type="cellIs" dxfId="1036" priority="154" operator="equal">
      <formula>"B - Incorporate Comments - Proceed "</formula>
    </cfRule>
    <cfRule type="cellIs" dxfId="1035" priority="153" operator="equal">
      <formula>"For Information"</formula>
    </cfRule>
    <cfRule type="cellIs" dxfId="1034" priority="152" operator="equal">
      <formula>"B - Incorporate Comments - Proceed"</formula>
    </cfRule>
  </conditionalFormatting>
  <conditionalFormatting sqref="Z16:Z26">
    <cfRule type="cellIs" dxfId="1033" priority="40" operator="equal">
      <formula>"C - Revise and Resubmit - Do Not Proceed"</formula>
    </cfRule>
    <cfRule type="cellIs" dxfId="1032" priority="39" operator="equal">
      <formula>"B- Incorporate Comments - Proceed"</formula>
    </cfRule>
    <cfRule type="cellIs" dxfId="1031" priority="37" operator="equal">
      <formula>"E - Review not Required - Proceed"</formula>
    </cfRule>
    <cfRule type="cellIs" dxfId="1030" priority="38" operator="equal">
      <formula>"D - Rejected"</formula>
    </cfRule>
  </conditionalFormatting>
  <conditionalFormatting sqref="Z28">
    <cfRule type="cellIs" dxfId="1029" priority="29" operator="equal">
      <formula>"E - Review not Required - Proceed"</formula>
    </cfRule>
    <cfRule type="cellIs" dxfId="1028" priority="30" operator="equal">
      <formula>"D - Rejected"</formula>
    </cfRule>
    <cfRule type="cellIs" dxfId="1027" priority="32" operator="equal">
      <formula>"C - Revise and Resubmit - Do Not Proceed"</formula>
    </cfRule>
    <cfRule type="cellIs" dxfId="1026" priority="31" operator="equal">
      <formula>"B- Incorporate Comments - Proceed"</formula>
    </cfRule>
  </conditionalFormatting>
  <conditionalFormatting sqref="AB16:AB26">
    <cfRule type="cellIs" dxfId="1025" priority="33" operator="equal">
      <formula>"E - Review not Required - Proceed"</formula>
    </cfRule>
    <cfRule type="cellIs" dxfId="1024" priority="34" operator="equal">
      <formula>"D - Rejected"</formula>
    </cfRule>
    <cfRule type="cellIs" dxfId="1023" priority="36" operator="equal">
      <formula>"C - Revise and Resubmit - Do Not Proceed"</formula>
    </cfRule>
    <cfRule type="cellIs" dxfId="1022" priority="35" operator="equal">
      <formula>"B- Incorporate Comments - Proceed"</formula>
    </cfRule>
  </conditionalFormatting>
  <conditionalFormatting sqref="AB28">
    <cfRule type="cellIs" dxfId="1021" priority="27" operator="equal">
      <formula>"B- Incorporate Comments - Proceed"</formula>
    </cfRule>
    <cfRule type="cellIs" dxfId="1020" priority="28" operator="equal">
      <formula>"C - Revise and Resubmit - Do Not Proceed"</formula>
    </cfRule>
    <cfRule type="cellIs" dxfId="1019" priority="26" operator="equal">
      <formula>"D - Rejected"</formula>
    </cfRule>
    <cfRule type="cellIs" dxfId="1018" priority="25" operator="equal">
      <formula>"E - Review not Required - Proceed"</formula>
    </cfRule>
  </conditionalFormatting>
  <conditionalFormatting sqref="AD11">
    <cfRule type="cellIs" dxfId="1017" priority="142" operator="between">
      <formula>"C - Revise and Resubmit - Do Not Proceed"</formula>
      <formula>"C - Revise and Resubmit - Do Not Proceed"</formula>
    </cfRule>
    <cfRule type="cellIs" dxfId="1016" priority="143" operator="between">
      <formula>"B - Incorporate Comments - Proceed"</formula>
      <formula>"B - Incorporate Comments - Proceed"</formula>
    </cfRule>
    <cfRule type="cellIs" dxfId="1015" priority="144" operator="between">
      <formula>"A - Work May Proceed"</formula>
      <formula>"A - Work May Proceed"</formula>
    </cfRule>
    <cfRule type="cellIs" dxfId="1014" priority="145" operator="between">
      <formula>"B - Incorporate Comments - Proceed"</formula>
      <formula>"B - Incorporate Comments - Proceed"</formula>
    </cfRule>
    <cfRule type="cellIs" dxfId="1013" priority="146" operator="between">
      <formula>"E - Review not Required - Proceed"</formula>
      <formula>"E - Review not Required - Proceed"</formula>
    </cfRule>
    <cfRule type="cellIs" dxfId="1012" priority="147" operator="between">
      <formula>"D - Rejected "</formula>
      <formula>"D - Rejected "</formula>
    </cfRule>
    <cfRule type="cellIs" dxfId="1011" priority="148" operator="between">
      <formula>"CANCELLED"</formula>
      <formula>"CANCELLED"</formula>
    </cfRule>
    <cfRule type="cellIs" dxfId="1010" priority="149" operator="between">
      <formula>"A - Work May Proceed"</formula>
      <formula>"A - Work May Proceed"</formula>
    </cfRule>
    <cfRule type="cellIs" dxfId="1009" priority="150" operator="between">
      <formula>"C - Revise and Resubmit - Do Not Proceed"</formula>
      <formula>"C - Revise and Resubmit - Do Not Proceed"</formula>
    </cfRule>
    <cfRule type="cellIs" dxfId="1008" priority="151" stopIfTrue="1" operator="between">
      <formula>"B - Incorporate Comments - Proceed "</formula>
      <formula>"B - Incorporate Comments - Proceed "</formula>
    </cfRule>
    <cfRule type="cellIs" dxfId="1007" priority="136" operator="equal">
      <formula>"B - Incorporate Comments - Proceed"</formula>
    </cfRule>
    <cfRule type="cellIs" dxfId="1006" priority="137" operator="equal">
      <formula>"For Information"</formula>
    </cfRule>
    <cfRule type="cellIs" dxfId="1005" priority="138" operator="equal">
      <formula>"B - Incorporate Comments - Proceed "</formula>
    </cfRule>
    <cfRule type="cellIs" dxfId="1004" priority="139" operator="equal">
      <formula>"E - Review Not Required - Proceed"</formula>
    </cfRule>
    <cfRule type="cellIs" dxfId="1003" priority="140" operator="between">
      <formula>"E - Review not Required - Proceed"</formula>
      <formula>"E - Review not Required - Proceed"</formula>
    </cfRule>
    <cfRule type="cellIs" dxfId="1002" priority="141" operator="between">
      <formula>"'D - Rejected "</formula>
      <formula>"'D - Rejected "</formula>
    </cfRule>
  </conditionalFormatting>
  <conditionalFormatting sqref="AF17:AI25">
    <cfRule type="cellIs" dxfId="1001" priority="9" operator="equal">
      <formula>"E - Review not Required - Proceed"</formula>
    </cfRule>
    <cfRule type="cellIs" dxfId="1000" priority="10" operator="equal">
      <formula>"D - Rejected"</formula>
    </cfRule>
    <cfRule type="cellIs" dxfId="999" priority="11" operator="equal">
      <formula>"B- Incorporate Comments - Proceed"</formula>
    </cfRule>
    <cfRule type="cellIs" dxfId="998" priority="12" operator="equal">
      <formula>"C - Revise and Resubmit - Do Not Proceed"</formula>
    </cfRule>
  </conditionalFormatting>
  <conditionalFormatting sqref="AG26:AI26">
    <cfRule type="cellIs" dxfId="997" priority="2" operator="equal">
      <formula>"D - Rejected"</formula>
    </cfRule>
    <cfRule type="cellIs" dxfId="996" priority="1" operator="equal">
      <formula>"E - Review not Required - Proceed"</formula>
    </cfRule>
    <cfRule type="cellIs" dxfId="995" priority="4" operator="equal">
      <formula>"C - Revise and Resubmit - Do Not Proceed"</formula>
    </cfRule>
    <cfRule type="cellIs" dxfId="994" priority="3" operator="equal">
      <formula>"B- Incorporate Comments - Proceed"</formula>
    </cfRule>
  </conditionalFormatting>
  <conditionalFormatting sqref="AG28:AI28">
    <cfRule type="cellIs" dxfId="993" priority="5" operator="equal">
      <formula>"E - Review not Required - Proceed"</formula>
    </cfRule>
    <cfRule type="cellIs" dxfId="992" priority="6" operator="equal">
      <formula>"D - Rejected"</formula>
    </cfRule>
    <cfRule type="cellIs" dxfId="991" priority="7" operator="equal">
      <formula>"B- Incorporate Comments - Proceed"</formula>
    </cfRule>
    <cfRule type="cellIs" dxfId="990" priority="8" operator="equal">
      <formula>"C - Revise and Resubmit - Do Not Proceed"</formula>
    </cfRule>
  </conditionalFormatting>
  <conditionalFormatting sqref="AK11">
    <cfRule type="cellIs" dxfId="989" priority="121" operator="equal">
      <formula>"For Information"</formula>
    </cfRule>
    <cfRule type="cellIs" dxfId="988" priority="122" operator="equal">
      <formula>"B - Incorporate Comments - Proceed "</formula>
    </cfRule>
    <cfRule type="cellIs" dxfId="987" priority="124" operator="between">
      <formula>"E - Review not Required - Proceed"</formula>
      <formula>"E - Review not Required - Proceed"</formula>
    </cfRule>
    <cfRule type="cellIs" dxfId="986" priority="125" operator="between">
      <formula>"'D - Rejected "</formula>
      <formula>"'D - Rejected "</formula>
    </cfRule>
    <cfRule type="cellIs" dxfId="985" priority="126" operator="between">
      <formula>"C - Revise and Resubmit - Do Not Proceed"</formula>
      <formula>"C - Revise and Resubmit - Do Not Proceed"</formula>
    </cfRule>
    <cfRule type="cellIs" dxfId="984" priority="127" operator="between">
      <formula>"B - Incorporate Comments - Proceed"</formula>
      <formula>"B - Incorporate Comments - Proceed"</formula>
    </cfRule>
    <cfRule type="cellIs" dxfId="983" priority="128" operator="between">
      <formula>"A - Work May Proceed"</formula>
      <formula>"A - Work May Proceed"</formula>
    </cfRule>
    <cfRule type="cellIs" dxfId="982" priority="129" operator="between">
      <formula>"B - Incorporate Comments - Proceed"</formula>
      <formula>"B - Incorporate Comments - Proceed"</formula>
    </cfRule>
    <cfRule type="cellIs" dxfId="981" priority="130" operator="between">
      <formula>"E - Review not Required - Proceed"</formula>
      <formula>"E - Review not Required - Proceed"</formula>
    </cfRule>
    <cfRule type="cellIs" dxfId="980" priority="131" operator="between">
      <formula>"D - Rejected "</formula>
      <formula>"D - Rejected "</formula>
    </cfRule>
    <cfRule type="cellIs" dxfId="979" priority="132" operator="between">
      <formula>"CANCELLED"</formula>
      <formula>"CANCELLED"</formula>
    </cfRule>
    <cfRule type="cellIs" dxfId="978" priority="135" stopIfTrue="1" operator="between">
      <formula>"B - Incorporate Comments - Proceed "</formula>
      <formula>"B - Incorporate Comments - Proceed "</formula>
    </cfRule>
    <cfRule type="cellIs" dxfId="977" priority="134" operator="between">
      <formula>"C - Revise and Resubmit - Do Not Proceed"</formula>
      <formula>"C - Revise and Resubmit - Do Not Proceed"</formula>
    </cfRule>
    <cfRule type="cellIs" dxfId="976" priority="133" operator="between">
      <formula>"A - Work May Proceed"</formula>
      <formula>"A - Work May Proceed"</formula>
    </cfRule>
    <cfRule type="cellIs" dxfId="975" priority="123" operator="equal">
      <formula>"E - Review Not Required - Proceed"</formula>
    </cfRule>
    <cfRule type="cellIs" dxfId="974" priority="120" operator="equal">
      <formula>"B - Incorporate Comments - Proceed"</formula>
    </cfRule>
  </conditionalFormatting>
  <conditionalFormatting sqref="AR11">
    <cfRule type="cellIs" dxfId="973" priority="78" operator="equal">
      <formula>"C - Revise and Resubmit - Do Not Proceed"</formula>
    </cfRule>
    <cfRule type="cellIs" dxfId="972" priority="89" operator="between">
      <formula>"E - Review not Required - Proceed"</formula>
      <formula>"E - Review not Required - Proceed"</formula>
    </cfRule>
    <cfRule type="cellIs" dxfId="971" priority="77" operator="equal">
      <formula>"B - Incorporate Comments - Proceed"</formula>
    </cfRule>
    <cfRule type="cellIs" dxfId="970" priority="94" stopIfTrue="1" operator="between">
      <formula>"B - Incorporate Comments - Proceed "</formula>
      <formula>"B - Incorporate Comments - Proceed "</formula>
    </cfRule>
    <cfRule type="cellIs" dxfId="969" priority="93" operator="between">
      <formula>"C - Revise and Resubmit - Do Not Proceed"</formula>
      <formula>"C - Revise and Resubmit - Do Not Proceed"</formula>
    </cfRule>
    <cfRule type="cellIs" dxfId="968" priority="92" operator="between">
      <formula>"A - Work May Proceed"</formula>
      <formula>"A - Work May Proceed"</formula>
    </cfRule>
    <cfRule type="cellIs" dxfId="967" priority="91" operator="between">
      <formula>"CANCELLED"</formula>
      <formula>"CANCELLED"</formula>
    </cfRule>
    <cfRule type="cellIs" dxfId="966" priority="76" operator="equal">
      <formula>"D - Rejected"</formula>
    </cfRule>
    <cfRule type="cellIs" dxfId="965" priority="75" operator="equal">
      <formula>"E - Review not Required - Proceed"</formula>
    </cfRule>
    <cfRule type="cellIs" dxfId="964" priority="88" operator="between">
      <formula>"B - Incorporate Comments - Proceed"</formula>
      <formula>"B - Incorporate Comments - Proceed"</formula>
    </cfRule>
    <cfRule type="cellIs" dxfId="963" priority="87" operator="between">
      <formula>"A - Work May Proceed"</formula>
      <formula>"A - Work May Proceed"</formula>
    </cfRule>
    <cfRule type="cellIs" dxfId="962" priority="86" operator="between">
      <formula>"B - Incorporate Comments - Proceed"</formula>
      <formula>"B - Incorporate Comments - Proceed"</formula>
    </cfRule>
    <cfRule type="cellIs" dxfId="961" priority="85" operator="between">
      <formula>"C - Revise and Resubmit - Do Not Proceed"</formula>
      <formula>"C - Revise and Resubmit - Do Not Proceed"</formula>
    </cfRule>
    <cfRule type="cellIs" dxfId="960" priority="84" operator="between">
      <formula>"'D - Rejected "</formula>
      <formula>"'D - Rejected "</formula>
    </cfRule>
    <cfRule type="cellIs" dxfId="959" priority="83" operator="between">
      <formula>"E - Review not Required - Proceed"</formula>
      <formula>"E - Review not Required - Proceed"</formula>
    </cfRule>
    <cfRule type="cellIs" dxfId="958" priority="82" operator="equal">
      <formula>"E - Review Not Required - Proceed"</formula>
    </cfRule>
    <cfRule type="cellIs" dxfId="957" priority="81" operator="equal">
      <formula>"B - Incorporate Comments - Proceed "</formula>
    </cfRule>
    <cfRule type="cellIs" dxfId="956" priority="90" operator="between">
      <formula>"D - Rejected "</formula>
      <formula>"D - Rejected "</formula>
    </cfRule>
    <cfRule type="cellIs" dxfId="955" priority="80" operator="equal">
      <formula>"For Information"</formula>
    </cfRule>
    <cfRule type="cellIs" dxfId="954" priority="79" operator="equal">
      <formula>"A - Work May Proceed"</formula>
    </cfRule>
  </conditionalFormatting>
  <conditionalFormatting sqref="AY11">
    <cfRule type="cellIs" dxfId="953" priority="96" operator="equal">
      <formula>"D - Rejected"</formula>
    </cfRule>
    <cfRule type="cellIs" dxfId="952" priority="95" operator="equal">
      <formula>"E - Review not Required - Proceed"</formula>
    </cfRule>
    <cfRule type="cellIs" dxfId="951" priority="101" operator="equal">
      <formula>"B - Incorporate Comments - Proceed "</formula>
    </cfRule>
    <cfRule type="cellIs" dxfId="950" priority="100" operator="equal">
      <formula>"For Information"</formula>
    </cfRule>
    <cfRule type="cellIs" dxfId="949" priority="102" operator="equal">
      <formula>"E - Review Not Required - Proceed"</formula>
    </cfRule>
    <cfRule type="cellIs" dxfId="948" priority="104" operator="between">
      <formula>"'D - Rejected "</formula>
      <formula>"'D - Rejected "</formula>
    </cfRule>
    <cfRule type="cellIs" dxfId="947" priority="105" operator="between">
      <formula>"C - Revise and Resubmit - Do Not Proceed"</formula>
      <formula>"C - Revise and Resubmit - Do Not Proceed"</formula>
    </cfRule>
    <cfRule type="cellIs" dxfId="946" priority="112" operator="between">
      <formula>"A - Work May Proceed"</formula>
      <formula>"A - Work May Proceed"</formula>
    </cfRule>
    <cfRule type="cellIs" dxfId="945" priority="103" operator="between">
      <formula>"E - Review not Required - Proceed"</formula>
      <formula>"E - Review not Required - Proceed"</formula>
    </cfRule>
    <cfRule type="cellIs" dxfId="944" priority="111" operator="between">
      <formula>"CANCELLED"</formula>
      <formula>"CANCELLED"</formula>
    </cfRule>
    <cfRule type="cellIs" dxfId="943" priority="106" operator="between">
      <formula>"B - Incorporate Comments - Proceed"</formula>
      <formula>"B - Incorporate Comments - Proceed"</formula>
    </cfRule>
    <cfRule type="cellIs" dxfId="942" priority="107" operator="between">
      <formula>"A - Work May Proceed"</formula>
      <formula>"A - Work May Proceed"</formula>
    </cfRule>
    <cfRule type="cellIs" dxfId="941" priority="108" operator="between">
      <formula>"B - Incorporate Comments - Proceed"</formula>
      <formula>"B - Incorporate Comments - Proceed"</formula>
    </cfRule>
    <cfRule type="cellIs" dxfId="940" priority="109" operator="between">
      <formula>"E - Review not Required - Proceed"</formula>
      <formula>"E - Review not Required - Proceed"</formula>
    </cfRule>
    <cfRule type="cellIs" dxfId="939" priority="110" operator="between">
      <formula>"D - Rejected "</formula>
      <formula>"D - Rejected "</formula>
    </cfRule>
    <cfRule type="cellIs" dxfId="938" priority="114" stopIfTrue="1" operator="between">
      <formula>"B - Incorporate Comments - Proceed "</formula>
      <formula>"B - Incorporate Comments - Proceed "</formula>
    </cfRule>
    <cfRule type="cellIs" dxfId="937" priority="113" operator="between">
      <formula>"C - Revise and Resubmit - Do Not Proceed"</formula>
      <formula>"C - Revise and Resubmit - Do Not Proceed"</formula>
    </cfRule>
    <cfRule type="cellIs" dxfId="936" priority="99" operator="equal">
      <formula>"A - Work May Proceed"</formula>
    </cfRule>
    <cfRule type="cellIs" dxfId="935" priority="98" operator="equal">
      <formula>"C - Revise and Resubmit - Do Not Proceed"</formula>
    </cfRule>
    <cfRule type="cellIs" dxfId="934" priority="97" operator="equal"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8">
    <tabColor theme="7"/>
  </sheetPr>
  <dimension ref="A1:BF13"/>
  <sheetViews>
    <sheetView zoomScale="55" zoomScaleNormal="55" zoomScaleSheetLayoutView="71" workbookViewId="0">
      <pane ySplit="11" topLeftCell="A12" activePane="bottomLeft" state="frozen"/>
      <selection activeCell="A14" sqref="A14"/>
      <selection pane="bottomLeft" sqref="A1:A1048576"/>
    </sheetView>
  </sheetViews>
  <sheetFormatPr defaultColWidth="9.140625" defaultRowHeight="15" x14ac:dyDescent="0.25"/>
  <cols>
    <col min="1" max="1" width="22.425781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1" width="30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4.7109375" style="44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82"/>
    </row>
    <row r="2" spans="1:58" s="379" customFormat="1" ht="24" customHeight="1" x14ac:dyDescent="0.35">
      <c r="A2" s="8"/>
      <c r="B2" s="25" t="s">
        <v>28</v>
      </c>
      <c r="C2" s="26" t="s">
        <v>171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/>
      <c r="V2"/>
      <c r="W2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82"/>
    </row>
    <row r="3" spans="1:58" s="379" customFormat="1" ht="24" customHeight="1" x14ac:dyDescent="0.35">
      <c r="A3" s="8"/>
      <c r="B3" s="25" t="s">
        <v>507</v>
      </c>
      <c r="C3" s="26" t="s">
        <v>240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82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82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/>
      <c r="V5"/>
      <c r="W5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82"/>
    </row>
    <row r="6" spans="1:58" s="379" customFormat="1" ht="24" customHeight="1" x14ac:dyDescent="0.35">
      <c r="A6" s="8"/>
      <c r="B6" s="64">
        <f>COUNTIF(B11:B13,"A - Work May Proceed")</f>
        <v>0</v>
      </c>
      <c r="C6" s="65">
        <f>COUNTIF(B11:B13,"B- Incorporate Comments - Proceed")</f>
        <v>0</v>
      </c>
      <c r="D6" s="65">
        <f>COUNTIF(B11:B13,"C - Revise and Resubmit - Do Not Proceed")</f>
        <v>0</v>
      </c>
      <c r="E6" s="65">
        <f>COUNTIF(B11:B13,"D - Rejected")</f>
        <v>0</v>
      </c>
      <c r="F6" s="65">
        <f>COUNTIF(B11:B13,"E - Review not Required - Proceed")</f>
        <v>1</v>
      </c>
      <c r="G6" s="66">
        <f>COUNTIF(B11:B13,"UR")</f>
        <v>0</v>
      </c>
      <c r="H6" s="66">
        <f>COUNTIF(B11:B13,"FA")</f>
        <v>0</v>
      </c>
      <c r="I6" s="66">
        <f>COUNTIF(B11:B13,"Terminated")</f>
        <v>0</v>
      </c>
      <c r="J6" s="66">
        <f>COUNTIF(B11:B13,"Cancelled")</f>
        <v>0</v>
      </c>
      <c r="K6"/>
      <c r="L6"/>
      <c r="M6"/>
      <c r="N6"/>
      <c r="O6"/>
      <c r="P6"/>
      <c r="Q6"/>
      <c r="R6"/>
      <c r="S6"/>
      <c r="T6"/>
      <c r="U6"/>
      <c r="V6"/>
      <c r="W6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82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/>
      <c r="V7"/>
      <c r="W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82"/>
    </row>
    <row r="8" spans="1:58" s="379" customFormat="1" ht="24" customHeight="1" x14ac:dyDescent="0.35">
      <c r="A8" s="8"/>
      <c r="B8" s="72" t="s">
        <v>509</v>
      </c>
      <c r="C8" s="73">
        <f>SUM(B6:I6)</f>
        <v>1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/>
      <c r="V8"/>
      <c r="W8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82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82"/>
    </row>
    <row r="10" spans="1:58" s="405" customFormat="1" ht="36.75" customHeight="1" x14ac:dyDescent="0.2">
      <c r="A10" s="559" t="s">
        <v>3259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11" t="s">
        <v>13</v>
      </c>
      <c r="C12" s="56" t="s">
        <v>208</v>
      </c>
      <c r="D12" s="12" t="s">
        <v>236</v>
      </c>
      <c r="E12" s="12" t="s">
        <v>237</v>
      </c>
      <c r="F12" s="16" t="s">
        <v>238</v>
      </c>
      <c r="G12" s="10" t="s">
        <v>172</v>
      </c>
      <c r="H12" s="10" t="s">
        <v>240</v>
      </c>
      <c r="I12" s="16" t="s">
        <v>3</v>
      </c>
      <c r="J12" s="14">
        <v>45564</v>
      </c>
      <c r="K12" s="12" t="s">
        <v>239</v>
      </c>
      <c r="L12" s="20">
        <f>J12+7</f>
        <v>45571</v>
      </c>
      <c r="M12" s="14">
        <v>45574</v>
      </c>
      <c r="N12" s="92">
        <f>M12-L12</f>
        <v>3</v>
      </c>
      <c r="O12" s="12" t="s">
        <v>259</v>
      </c>
      <c r="P12" s="16" t="s">
        <v>13</v>
      </c>
      <c r="Q12" s="20">
        <v>45616</v>
      </c>
      <c r="R12" s="12" t="s">
        <v>983</v>
      </c>
      <c r="S12" s="20">
        <f>Q12+7</f>
        <v>45623</v>
      </c>
      <c r="T12" s="20">
        <v>45628</v>
      </c>
      <c r="U12" s="91">
        <f>T12-S12</f>
        <v>5</v>
      </c>
      <c r="V12" s="12" t="s">
        <v>996</v>
      </c>
      <c r="W12" s="12"/>
      <c r="X12" s="20"/>
      <c r="Y12" s="12"/>
      <c r="Z12" s="12"/>
      <c r="AA12" s="20"/>
      <c r="AB12" s="20"/>
      <c r="AC12" s="12"/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259"/>
    </row>
    <row r="13" spans="1:58" s="381" customFormat="1" ht="42" customHeight="1" thickBot="1" x14ac:dyDescent="0.3">
      <c r="A13" s="369"/>
      <c r="B13" s="371"/>
      <c r="C13" s="444"/>
      <c r="D13" s="370"/>
      <c r="E13" s="370"/>
      <c r="F13" s="262"/>
      <c r="G13" s="263"/>
      <c r="H13" s="263"/>
      <c r="I13" s="262"/>
      <c r="J13" s="474"/>
      <c r="K13" s="370"/>
      <c r="L13" s="370"/>
      <c r="M13" s="474"/>
      <c r="N13" s="474"/>
      <c r="O13" s="370"/>
      <c r="P13" s="262"/>
      <c r="Q13" s="476"/>
      <c r="R13" s="370"/>
      <c r="S13" s="370"/>
      <c r="T13" s="476"/>
      <c r="U13" s="476"/>
      <c r="V13" s="370"/>
      <c r="W13" s="370"/>
      <c r="X13" s="476"/>
      <c r="Y13" s="370"/>
      <c r="Z13" s="370"/>
      <c r="AA13" s="476"/>
      <c r="AB13" s="476"/>
      <c r="AC13" s="370"/>
      <c r="AD13" s="370"/>
      <c r="AE13" s="476"/>
      <c r="AF13" s="370"/>
      <c r="AG13" s="370"/>
      <c r="AH13" s="476"/>
      <c r="AI13" s="476"/>
      <c r="AJ13" s="370"/>
      <c r="AK13" s="263"/>
      <c r="AL13" s="474"/>
      <c r="AM13" s="370"/>
      <c r="AN13" s="370"/>
      <c r="AO13" s="474"/>
      <c r="AP13" s="474"/>
      <c r="AQ13" s="474"/>
      <c r="AR13" s="474"/>
      <c r="AS13" s="474"/>
      <c r="AT13" s="474"/>
      <c r="AU13" s="474"/>
      <c r="AV13" s="474"/>
      <c r="AW13" s="474"/>
      <c r="AX13" s="474"/>
      <c r="AY13" s="474"/>
      <c r="AZ13" s="474"/>
      <c r="BA13" s="474"/>
      <c r="BB13" s="474"/>
      <c r="BC13" s="474"/>
      <c r="BD13" s="474"/>
      <c r="BE13" s="370"/>
      <c r="BF13" s="266"/>
    </row>
  </sheetData>
  <autoFilter ref="A11:BF11" xr:uid="{00000000-0001-0000-2300-000000000000}"/>
  <mergeCells count="18">
    <mergeCell ref="H1:H2"/>
    <mergeCell ref="I1:I2"/>
    <mergeCell ref="AR10:AX10"/>
    <mergeCell ref="A10:A11"/>
    <mergeCell ref="G10:G11"/>
    <mergeCell ref="B10:B11"/>
    <mergeCell ref="C10:C11"/>
    <mergeCell ref="D10:D11"/>
    <mergeCell ref="E10:E11"/>
    <mergeCell ref="F10:F11"/>
    <mergeCell ref="AY10:BE10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0:A1048576">
    <cfRule type="cellIs" dxfId="933" priority="1" operator="equal">
      <formula>"E - Review not Required - Proceed"</formula>
    </cfRule>
    <cfRule type="cellIs" dxfId="932" priority="2" operator="equal">
      <formula>"D - Rejected"</formula>
    </cfRule>
    <cfRule type="cellIs" dxfId="931" priority="3" operator="equal">
      <formula>"B- Incorporate Comments - Proceed"</formula>
    </cfRule>
    <cfRule type="cellIs" dxfId="930" priority="4" operator="equal">
      <formula>"C - Revise and Resubmit - Do Not Proceed"</formula>
    </cfRule>
    <cfRule type="cellIs" dxfId="929" priority="5" operator="equal">
      <formula>"A - Work May Proceed"</formula>
    </cfRule>
  </conditionalFormatting>
  <conditionalFormatting sqref="B12:XFD1048576">
    <cfRule type="cellIs" dxfId="928" priority="11" operator="equal">
      <formula>"E - Review not Required - Proceed"</formula>
    </cfRule>
    <cfRule type="cellIs" dxfId="927" priority="12" operator="equal">
      <formula>"D - Rejected"</formula>
    </cfRule>
    <cfRule type="cellIs" dxfId="926" priority="13" operator="equal">
      <formula>"B- Incorporate Comments - Proceed"</formula>
    </cfRule>
    <cfRule type="cellIs" dxfId="925" priority="14" operator="equal">
      <formula>"C - Revise and Resubmit - Do Not Proceed"</formula>
    </cfRule>
    <cfRule type="cellIs" dxfId="924" priority="15" operator="equal">
      <formula>"A - Work May Proceed"</formula>
    </cfRule>
  </conditionalFormatting>
  <conditionalFormatting sqref="D11:BE11 B1:G2 X1:XFD9 B3:H4 B9:H9 B10:XFD10 B11">
    <cfRule type="cellIs" dxfId="923" priority="58" operator="equal">
      <formula>"B- Incorporate Comments - Proceed"</formula>
    </cfRule>
    <cfRule type="cellIs" dxfId="922" priority="57" operator="equal">
      <formula>"D - Rejected"</formula>
    </cfRule>
    <cfRule type="cellIs" dxfId="921" priority="56" operator="equal">
      <formula>"E - Review not Required - Proceed"</formula>
    </cfRule>
    <cfRule type="cellIs" dxfId="920" priority="60" operator="equal">
      <formula>"A - Work May Proceed"</formula>
    </cfRule>
    <cfRule type="cellIs" dxfId="919" priority="59" operator="equal">
      <formula>"C - Revise and Resubmit - Do Not Proceed"</formula>
    </cfRule>
  </conditionalFormatting>
  <conditionalFormatting sqref="I11">
    <cfRule type="cellIs" dxfId="918" priority="146" operator="equal">
      <formula>"For Information"</formula>
    </cfRule>
    <cfRule type="cellIs" dxfId="917" priority="143" operator="equal">
      <formula>"B - Incorporate Comments - Proceed"</formula>
    </cfRule>
    <cfRule type="cellIs" dxfId="916" priority="150" operator="between">
      <formula>"'D - Rejected "</formula>
      <formula>"'D - Rejected "</formula>
    </cfRule>
    <cfRule type="cellIs" dxfId="915" priority="157" operator="between">
      <formula>"CANCELLED"</formula>
      <formula>"CANCELLED"</formula>
    </cfRule>
    <cfRule type="cellIs" dxfId="914" priority="156" operator="between">
      <formula>"D - Rejected "</formula>
      <formula>"D - Rejected "</formula>
    </cfRule>
    <cfRule type="cellIs" dxfId="913" priority="160" stopIfTrue="1" operator="between">
      <formula>"B - Incorporate Comments - Proceed "</formula>
      <formula>"B - Incorporate Comments - Proceed "</formula>
    </cfRule>
    <cfRule type="cellIs" dxfId="912" priority="155" operator="between">
      <formula>"E - Review not Required - Proceed"</formula>
      <formula>"E - Review not Required - Proceed"</formula>
    </cfRule>
    <cfRule type="cellIs" dxfId="911" priority="154" operator="between">
      <formula>"B - Incorporate Comments - Proceed"</formula>
      <formula>"B - Incorporate Comments - Proceed"</formula>
    </cfRule>
    <cfRule type="cellIs" dxfId="910" priority="153" operator="between">
      <formula>"A - Work May Proceed"</formula>
      <formula>"A - Work May Proceed"</formula>
    </cfRule>
    <cfRule type="cellIs" dxfId="909" priority="152" operator="between">
      <formula>"B - Incorporate Comments - Proceed"</formula>
      <formula>"B - Incorporate Comments - Proceed"</formula>
    </cfRule>
    <cfRule type="cellIs" dxfId="908" priority="151" operator="between">
      <formula>"C - Revise and Resubmit - Do Not Proceed"</formula>
      <formula>"C - Revise and Resubmit - Do Not Proceed"</formula>
    </cfRule>
    <cfRule type="cellIs" dxfId="907" priority="149" operator="between">
      <formula>"E - Review not Required - Proceed"</formula>
      <formula>"E - Review not Required - Proceed"</formula>
    </cfRule>
    <cfRule type="cellIs" dxfId="906" priority="148" operator="equal">
      <formula>"E - Review Not Required - Proceed"</formula>
    </cfRule>
    <cfRule type="cellIs" dxfId="905" priority="147" operator="equal">
      <formula>"B - Incorporate Comments - Proceed "</formula>
    </cfRule>
    <cfRule type="cellIs" dxfId="904" priority="158" operator="between">
      <formula>"A - Work May Proceed"</formula>
      <formula>"A - Work May Proceed"</formula>
    </cfRule>
    <cfRule type="cellIs" dxfId="903" priority="159" operator="between">
      <formula>"C - Revise and Resubmit - Do Not Proceed"</formula>
      <formula>"C - Revise and Resubmit - Do Not Proceed"</formula>
    </cfRule>
  </conditionalFormatting>
  <conditionalFormatting sqref="J5:J6 B5:I7 B8:J8">
    <cfRule type="cellIs" dxfId="902" priority="6" operator="equal">
      <formula>"E - Review not Required - Proceed"</formula>
    </cfRule>
    <cfRule type="cellIs" dxfId="901" priority="7" operator="equal">
      <formula>"D - Rejected"</formula>
    </cfRule>
    <cfRule type="cellIs" dxfId="900" priority="8" operator="equal">
      <formula>"B- Incorporate Comments - Proceed"</formula>
    </cfRule>
    <cfRule type="cellIs" dxfId="899" priority="9" operator="equal">
      <formula>"C - Revise and Resubmit - Do Not Proceed"</formula>
    </cfRule>
    <cfRule type="cellIs" dxfId="898" priority="10" stopIfTrue="1" operator="equal">
      <formula>"A - Work May Proceed"</formula>
    </cfRule>
  </conditionalFormatting>
  <conditionalFormatting sqref="P11">
    <cfRule type="cellIs" dxfId="897" priority="139" operator="between">
      <formula>"C - Revise and Resubmit - Do Not Proceed"</formula>
      <formula>"C - Revise and Resubmit - Do Not Proceed"</formula>
    </cfRule>
    <cfRule type="cellIs" dxfId="896" priority="129" operator="between">
      <formula>"E - Review not Required - Proceed"</formula>
      <formula>"E - Review not Required - Proceed"</formula>
    </cfRule>
    <cfRule type="cellIs" dxfId="895" priority="128" operator="equal">
      <formula>"E - Review Not Required - Proceed"</formula>
    </cfRule>
    <cfRule type="cellIs" dxfId="894" priority="127" operator="equal">
      <formula>"B - Incorporate Comments - Proceed "</formula>
    </cfRule>
    <cfRule type="cellIs" dxfId="893" priority="126" operator="equal">
      <formula>"For Information"</formula>
    </cfRule>
    <cfRule type="cellIs" dxfId="892" priority="123" operator="equal">
      <formula>"B - Incorporate Comments - Proceed"</formula>
    </cfRule>
    <cfRule type="cellIs" dxfId="891" priority="135" operator="between">
      <formula>"E - Review not Required - Proceed"</formula>
      <formula>"E - Review not Required - Proceed"</formula>
    </cfRule>
    <cfRule type="cellIs" dxfId="890" priority="132" operator="between">
      <formula>"B - Incorporate Comments - Proceed"</formula>
      <formula>"B - Incorporate Comments - Proceed"</formula>
    </cfRule>
    <cfRule type="cellIs" dxfId="889" priority="133" operator="between">
      <formula>"A - Work May Proceed"</formula>
      <formula>"A - Work May Proceed"</formula>
    </cfRule>
    <cfRule type="cellIs" dxfId="888" priority="134" operator="between">
      <formula>"B - Incorporate Comments - Proceed"</formula>
      <formula>"B - Incorporate Comments - Proceed"</formula>
    </cfRule>
    <cfRule type="cellIs" dxfId="887" priority="136" operator="between">
      <formula>"D - Rejected "</formula>
      <formula>"D - Rejected "</formula>
    </cfRule>
    <cfRule type="cellIs" dxfId="886" priority="137" operator="between">
      <formula>"CANCELLED"</formula>
      <formula>"CANCELLED"</formula>
    </cfRule>
    <cfRule type="cellIs" dxfId="885" priority="138" operator="between">
      <formula>"A - Work May Proceed"</formula>
      <formula>"A - Work May Proceed"</formula>
    </cfRule>
    <cfRule type="cellIs" dxfId="884" priority="140" stopIfTrue="1" operator="between">
      <formula>"B - Incorporate Comments - Proceed "</formula>
      <formula>"B - Incorporate Comments - Proceed "</formula>
    </cfRule>
    <cfRule type="cellIs" dxfId="883" priority="131" operator="between">
      <formula>"C - Revise and Resubmit - Do Not Proceed"</formula>
      <formula>"C - Revise and Resubmit - Do Not Proceed"</formula>
    </cfRule>
    <cfRule type="cellIs" dxfId="882" priority="130" operator="between">
      <formula>"'D - Rejected "</formula>
      <formula>"'D - Rejected "</formula>
    </cfRule>
  </conditionalFormatting>
  <conditionalFormatting sqref="W11">
    <cfRule type="cellIs" dxfId="881" priority="103" operator="equal">
      <formula>"B - Incorporate Comments - Proceed"</formula>
    </cfRule>
    <cfRule type="cellIs" dxfId="880" priority="106" operator="equal">
      <formula>"For Information"</formula>
    </cfRule>
    <cfRule type="cellIs" dxfId="879" priority="107" operator="equal">
      <formula>"B - Incorporate Comments - Proceed "</formula>
    </cfRule>
    <cfRule type="cellIs" dxfId="878" priority="108" operator="equal">
      <formula>"E - Review Not Required - Proceed"</formula>
    </cfRule>
    <cfRule type="cellIs" dxfId="877" priority="109" operator="between">
      <formula>"E - Review not Required - Proceed"</formula>
      <formula>"E - Review not Required - Proceed"</formula>
    </cfRule>
    <cfRule type="cellIs" dxfId="876" priority="110" operator="between">
      <formula>"'D - Rejected "</formula>
      <formula>"'D - Rejected "</formula>
    </cfRule>
    <cfRule type="cellIs" dxfId="875" priority="111" operator="between">
      <formula>"C - Revise and Resubmit - Do Not Proceed"</formula>
      <formula>"C - Revise and Resubmit - Do Not Proceed"</formula>
    </cfRule>
    <cfRule type="cellIs" dxfId="874" priority="112" operator="between">
      <formula>"B - Incorporate Comments - Proceed"</formula>
      <formula>"B - Incorporate Comments - Proceed"</formula>
    </cfRule>
    <cfRule type="cellIs" dxfId="873" priority="113" operator="between">
      <formula>"A - Work May Proceed"</formula>
      <formula>"A - Work May Proceed"</formula>
    </cfRule>
    <cfRule type="cellIs" dxfId="872" priority="114" operator="between">
      <formula>"B - Incorporate Comments - Proceed"</formula>
      <formula>"B - Incorporate Comments - Proceed"</formula>
    </cfRule>
    <cfRule type="cellIs" dxfId="871" priority="115" operator="between">
      <formula>"E - Review not Required - Proceed"</formula>
      <formula>"E - Review not Required - Proceed"</formula>
    </cfRule>
    <cfRule type="cellIs" dxfId="870" priority="116" operator="between">
      <formula>"D - Rejected "</formula>
      <formula>"D - Rejected "</formula>
    </cfRule>
    <cfRule type="cellIs" dxfId="869" priority="117" operator="between">
      <formula>"CANCELLED"</formula>
      <formula>"CANCELLED"</formula>
    </cfRule>
    <cfRule type="cellIs" dxfId="868" priority="119" operator="between">
      <formula>"C - Revise and Resubmit - Do Not Proceed"</formula>
      <formula>"C - Revise and Resubmit - Do Not Proceed"</formula>
    </cfRule>
    <cfRule type="cellIs" dxfId="867" priority="120" stopIfTrue="1" operator="between">
      <formula>"B - Incorporate Comments - Proceed "</formula>
      <formula>"B - Incorporate Comments - Proceed "</formula>
    </cfRule>
    <cfRule type="cellIs" dxfId="866" priority="118" operator="between">
      <formula>"A - Work May Proceed"</formula>
      <formula>"A - Work May Proceed"</formula>
    </cfRule>
  </conditionalFormatting>
  <conditionalFormatting sqref="AD11">
    <cfRule type="cellIs" dxfId="865" priority="86" operator="equal">
      <formula>"For Information"</formula>
    </cfRule>
    <cfRule type="cellIs" dxfId="864" priority="96" operator="between">
      <formula>"D - Rejected "</formula>
      <formula>"D - Rejected "</formula>
    </cfRule>
    <cfRule type="cellIs" dxfId="863" priority="83" operator="equal">
      <formula>"B - Incorporate Comments - Proceed"</formula>
    </cfRule>
    <cfRule type="cellIs" dxfId="862" priority="98" operator="between">
      <formula>"A - Work May Proceed"</formula>
      <formula>"A - Work May Proceed"</formula>
    </cfRule>
    <cfRule type="cellIs" dxfId="861" priority="99" operator="between">
      <formula>"C - Revise and Resubmit - Do Not Proceed"</formula>
      <formula>"C - Revise and Resubmit - Do Not Proceed"</formula>
    </cfRule>
    <cfRule type="cellIs" dxfId="860" priority="100" stopIfTrue="1" operator="between">
      <formula>"B - Incorporate Comments - Proceed "</formula>
      <formula>"B - Incorporate Comments - Proceed "</formula>
    </cfRule>
    <cfRule type="cellIs" dxfId="859" priority="95" operator="between">
      <formula>"E - Review not Required - Proceed"</formula>
      <formula>"E - Review not Required - Proceed"</formula>
    </cfRule>
    <cfRule type="cellIs" dxfId="858" priority="94" operator="between">
      <formula>"B - Incorporate Comments - Proceed"</formula>
      <formula>"B - Incorporate Comments - Proceed"</formula>
    </cfRule>
    <cfRule type="cellIs" dxfId="857" priority="93" operator="between">
      <formula>"A - Work May Proceed"</formula>
      <formula>"A - Work May Proceed"</formula>
    </cfRule>
    <cfRule type="cellIs" dxfId="856" priority="92" operator="between">
      <formula>"B - Incorporate Comments - Proceed"</formula>
      <formula>"B - Incorporate Comments - Proceed"</formula>
    </cfRule>
    <cfRule type="cellIs" dxfId="855" priority="91" operator="between">
      <formula>"C - Revise and Resubmit - Do Not Proceed"</formula>
      <formula>"C - Revise and Resubmit - Do Not Proceed"</formula>
    </cfRule>
    <cfRule type="cellIs" dxfId="854" priority="90" operator="between">
      <formula>"'D - Rejected "</formula>
      <formula>"'D - Rejected "</formula>
    </cfRule>
    <cfRule type="cellIs" dxfId="853" priority="89" operator="between">
      <formula>"E - Review not Required - Proceed"</formula>
      <formula>"E - Review not Required - Proceed"</formula>
    </cfRule>
    <cfRule type="cellIs" dxfId="852" priority="97" operator="between">
      <formula>"CANCELLED"</formula>
      <formula>"CANCELLED"</formula>
    </cfRule>
    <cfRule type="cellIs" dxfId="851" priority="88" operator="equal">
      <formula>"E - Review Not Required - Proceed"</formula>
    </cfRule>
    <cfRule type="cellIs" dxfId="850" priority="87" operator="equal">
      <formula>"B - Incorporate Comments - Proceed "</formula>
    </cfRule>
  </conditionalFormatting>
  <conditionalFormatting sqref="AK11">
    <cfRule type="cellIs" dxfId="849" priority="73" operator="between">
      <formula>"A - Work May Proceed"</formula>
      <formula>"A - Work May Proceed"</formula>
    </cfRule>
    <cfRule type="cellIs" dxfId="848" priority="74" operator="between">
      <formula>"B - Incorporate Comments - Proceed"</formula>
      <formula>"B - Incorporate Comments - Proceed"</formula>
    </cfRule>
    <cfRule type="cellIs" dxfId="847" priority="75" operator="between">
      <formula>"E - Review not Required - Proceed"</formula>
      <formula>"E - Review not Required - Proceed"</formula>
    </cfRule>
    <cfRule type="cellIs" dxfId="846" priority="76" operator="between">
      <formula>"D - Rejected "</formula>
      <formula>"D - Rejected "</formula>
    </cfRule>
    <cfRule type="cellIs" dxfId="845" priority="77" operator="between">
      <formula>"CANCELLED"</formula>
      <formula>"CANCELLED"</formula>
    </cfRule>
    <cfRule type="cellIs" dxfId="844" priority="78" operator="between">
      <formula>"A - Work May Proceed"</formula>
      <formula>"A - Work May Proceed"</formula>
    </cfRule>
    <cfRule type="cellIs" dxfId="843" priority="79" operator="between">
      <formula>"C - Revise and Resubmit - Do Not Proceed"</formula>
      <formula>"C - Revise and Resubmit - Do Not Proceed"</formula>
    </cfRule>
    <cfRule type="cellIs" dxfId="842" priority="80" stopIfTrue="1" operator="between">
      <formula>"B - Incorporate Comments - Proceed "</formula>
      <formula>"B - Incorporate Comments - Proceed "</formula>
    </cfRule>
    <cfRule type="cellIs" dxfId="841" priority="63" operator="equal">
      <formula>"B - Incorporate Comments - Proceed"</formula>
    </cfRule>
    <cfRule type="cellIs" dxfId="840" priority="66" operator="equal">
      <formula>"For Information"</formula>
    </cfRule>
    <cfRule type="cellIs" dxfId="839" priority="67" operator="equal">
      <formula>"B - Incorporate Comments - Proceed "</formula>
    </cfRule>
    <cfRule type="cellIs" dxfId="838" priority="68" operator="equal">
      <formula>"E - Review Not Required - Proceed"</formula>
    </cfRule>
    <cfRule type="cellIs" dxfId="837" priority="69" operator="between">
      <formula>"E - Review not Required - Proceed"</formula>
      <formula>"E - Review not Required - Proceed"</formula>
    </cfRule>
    <cfRule type="cellIs" dxfId="836" priority="70" operator="between">
      <formula>"'D - Rejected "</formula>
      <formula>"'D - Rejected "</formula>
    </cfRule>
    <cfRule type="cellIs" dxfId="835" priority="71" operator="between">
      <formula>"C - Revise and Resubmit - Do Not Proceed"</formula>
      <formula>"C - Revise and Resubmit - Do Not Proceed"</formula>
    </cfRule>
    <cfRule type="cellIs" dxfId="834" priority="72" operator="between">
      <formula>"B - Incorporate Comments - Proceed"</formula>
      <formula>"B - Incorporate Comments - Proceed"</formula>
    </cfRule>
  </conditionalFormatting>
  <conditionalFormatting sqref="AR11">
    <cfRule type="cellIs" dxfId="833" priority="31" operator="between">
      <formula>"D - Rejected "</formula>
      <formula>"D - Rejected "</formula>
    </cfRule>
    <cfRule type="cellIs" dxfId="832" priority="30" operator="between">
      <formula>"E - Review not Required - Proceed"</formula>
      <formula>"E - Review not Required - Proceed"</formula>
    </cfRule>
    <cfRule type="cellIs" dxfId="831" priority="29" operator="between">
      <formula>"B - Incorporate Comments - Proceed"</formula>
      <formula>"B - Incorporate Comments - Proceed"</formula>
    </cfRule>
    <cfRule type="cellIs" dxfId="830" priority="28" operator="between">
      <formula>"A - Work May Proceed"</formula>
      <formula>"A - Work May Proceed"</formula>
    </cfRule>
    <cfRule type="cellIs" dxfId="829" priority="27" operator="between">
      <formula>"B - Incorporate Comments - Proceed"</formula>
      <formula>"B - Incorporate Comments - Proceed"</formula>
    </cfRule>
    <cfRule type="cellIs" dxfId="828" priority="26" operator="between">
      <formula>"C - Revise and Resubmit - Do Not Proceed"</formula>
      <formula>"C - Revise and Resubmit - Do Not Proceed"</formula>
    </cfRule>
    <cfRule type="cellIs" dxfId="827" priority="25" operator="between">
      <formula>"'D - Rejected "</formula>
      <formula>"'D - Rejected "</formula>
    </cfRule>
    <cfRule type="cellIs" dxfId="826" priority="24" operator="between">
      <formula>"E - Review not Required - Proceed"</formula>
      <formula>"E - Review not Required - Proceed"</formula>
    </cfRule>
    <cfRule type="cellIs" dxfId="825" priority="23" operator="equal">
      <formula>"E - Review Not Required - Proceed"</formula>
    </cfRule>
    <cfRule type="cellIs" dxfId="824" priority="22" operator="equal">
      <formula>"B - Incorporate Comments - Proceed "</formula>
    </cfRule>
    <cfRule type="cellIs" dxfId="823" priority="21" operator="equal">
      <formula>"For Information"</formula>
    </cfRule>
    <cfRule type="cellIs" dxfId="822" priority="20" operator="equal">
      <formula>"A - Work May Proceed"</formula>
    </cfRule>
    <cfRule type="cellIs" dxfId="821" priority="19" operator="equal">
      <formula>"C - Revise and Resubmit - Do Not Proceed"</formula>
    </cfRule>
    <cfRule type="cellIs" dxfId="820" priority="17" operator="equal">
      <formula>"D - Rejected"</formula>
    </cfRule>
    <cfRule type="cellIs" dxfId="819" priority="16" operator="equal">
      <formula>"E - Review not Required - Proceed"</formula>
    </cfRule>
    <cfRule type="cellIs" dxfId="818" priority="32" operator="between">
      <formula>"CANCELLED"</formula>
      <formula>"CANCELLED"</formula>
    </cfRule>
    <cfRule type="cellIs" dxfId="817" priority="18" operator="equal">
      <formula>"B - Incorporate Comments - Proceed"</formula>
    </cfRule>
    <cfRule type="cellIs" dxfId="816" priority="35" stopIfTrue="1" operator="between">
      <formula>"B - Incorporate Comments - Proceed "</formula>
      <formula>"B - Incorporate Comments - Proceed "</formula>
    </cfRule>
    <cfRule type="cellIs" dxfId="815" priority="34" operator="between">
      <formula>"C - Revise and Resubmit - Do Not Proceed"</formula>
      <formula>"C - Revise and Resubmit - Do Not Proceed"</formula>
    </cfRule>
    <cfRule type="cellIs" dxfId="814" priority="33" operator="between">
      <formula>"A - Work May Proceed"</formula>
      <formula>"A - Work May Proceed"</formula>
    </cfRule>
  </conditionalFormatting>
  <conditionalFormatting sqref="AY11">
    <cfRule type="cellIs" dxfId="813" priority="55" stopIfTrue="1" operator="between">
      <formula>"B - Incorporate Comments - Proceed "</formula>
      <formula>"B - Incorporate Comments - Proceed "</formula>
    </cfRule>
    <cfRule type="cellIs" dxfId="812" priority="53" operator="between">
      <formula>"A - Work May Proceed"</formula>
      <formula>"A - Work May Proceed"</formula>
    </cfRule>
    <cfRule type="cellIs" dxfId="811" priority="52" operator="between">
      <formula>"CANCELLED"</formula>
      <formula>"CANCELLED"</formula>
    </cfRule>
    <cfRule type="cellIs" dxfId="810" priority="51" operator="between">
      <formula>"D - Rejected "</formula>
      <formula>"D - Rejected "</formula>
    </cfRule>
    <cfRule type="cellIs" dxfId="809" priority="50" operator="between">
      <formula>"E - Review not Required - Proceed"</formula>
      <formula>"E - Review not Required - Proceed"</formula>
    </cfRule>
    <cfRule type="cellIs" dxfId="808" priority="45" operator="between">
      <formula>"'D - Rejected "</formula>
      <formula>"'D - Rejected "</formula>
    </cfRule>
    <cfRule type="cellIs" dxfId="807" priority="44" operator="between">
      <formula>"E - Review not Required - Proceed"</formula>
      <formula>"E - Review not Required - Proceed"</formula>
    </cfRule>
    <cfRule type="cellIs" dxfId="806" priority="54" operator="between">
      <formula>"C - Revise and Resubmit - Do Not Proceed"</formula>
      <formula>"C - Revise and Resubmit - Do Not Proceed"</formula>
    </cfRule>
    <cfRule type="cellIs" dxfId="805" priority="43" operator="equal">
      <formula>"E - Review Not Required - Proceed"</formula>
    </cfRule>
    <cfRule type="cellIs" dxfId="804" priority="42" operator="equal">
      <formula>"B - Incorporate Comments - Proceed "</formula>
    </cfRule>
    <cfRule type="cellIs" dxfId="803" priority="41" operator="equal">
      <formula>"For Information"</formula>
    </cfRule>
    <cfRule type="cellIs" dxfId="802" priority="40" operator="equal">
      <formula>"A - Work May Proceed"</formula>
    </cfRule>
    <cfRule type="cellIs" dxfId="801" priority="39" operator="equal">
      <formula>"C - Revise and Resubmit - Do Not Proceed"</formula>
    </cfRule>
    <cfRule type="cellIs" dxfId="800" priority="38" operator="equal">
      <formula>"B - Incorporate Comments - Proceed"</formula>
    </cfRule>
    <cfRule type="cellIs" dxfId="799" priority="37" operator="equal">
      <formula>"D - Rejected"</formula>
    </cfRule>
    <cfRule type="cellIs" dxfId="798" priority="36" operator="equal">
      <formula>"E - Review not Required - Proceed"</formula>
    </cfRule>
    <cfRule type="cellIs" dxfId="797" priority="48" operator="between">
      <formula>"A - Work May Proceed"</formula>
      <formula>"A - Work May Proceed"</formula>
    </cfRule>
    <cfRule type="cellIs" dxfId="796" priority="47" operator="between">
      <formula>"B - Incorporate Comments - Proceed"</formula>
      <formula>"B - Incorporate Comments - Proceed"</formula>
    </cfRule>
    <cfRule type="cellIs" dxfId="795" priority="46" operator="between">
      <formula>"C - Revise and Resubmit - Do Not Proceed"</formula>
      <formula>"C - Revise and Resubmit - Do Not Proceed"</formula>
    </cfRule>
    <cfRule type="cellIs" dxfId="794" priority="49" operator="between">
      <formula>"B - Incorporate Comments - Proceed"</formula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591D0-ADD9-4DFF-82AE-EEA5030F8E7B}">
  <sheetPr codeName="Sheet37">
    <tabColor theme="7"/>
  </sheetPr>
  <dimension ref="A1:BF13"/>
  <sheetViews>
    <sheetView zoomScale="55" zoomScaleNormal="55" zoomScaleSheetLayoutView="71" workbookViewId="0">
      <pane ySplit="11" topLeftCell="A12" activePane="bottomLeft" state="frozen"/>
      <selection activeCell="A14" sqref="A14"/>
      <selection pane="bottomLeft" sqref="A1:A1048576"/>
    </sheetView>
  </sheetViews>
  <sheetFormatPr defaultColWidth="9.140625" defaultRowHeight="15" x14ac:dyDescent="0.25"/>
  <cols>
    <col min="1" max="1" width="22.425781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7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8.85546875" style="43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195"/>
    </row>
    <row r="2" spans="1:58" s="379" customFormat="1" ht="24" customHeight="1" x14ac:dyDescent="0.35">
      <c r="A2" s="8"/>
      <c r="B2" s="25" t="s">
        <v>28</v>
      </c>
      <c r="C2" s="26" t="s">
        <v>171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/>
      <c r="V2"/>
      <c r="W2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195"/>
    </row>
    <row r="3" spans="1:58" s="379" customFormat="1" ht="24" customHeight="1" x14ac:dyDescent="0.35">
      <c r="A3" s="8"/>
      <c r="B3" s="25" t="s">
        <v>507</v>
      </c>
      <c r="C3" s="49" t="s">
        <v>4359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195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195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/>
      <c r="V5"/>
      <c r="W5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195"/>
    </row>
    <row r="6" spans="1:58" s="379" customFormat="1" ht="24" customHeight="1" x14ac:dyDescent="0.35">
      <c r="A6" s="8"/>
      <c r="B6" s="64">
        <f>COUNTIF(B11:B13,"A - Work May Proceed")</f>
        <v>1</v>
      </c>
      <c r="C6" s="65">
        <f>COUNTIF(B11:B13,"B- Incorporate Comments - Proceed")</f>
        <v>0</v>
      </c>
      <c r="D6" s="65">
        <f>COUNTIF(B11:B13,"C - Revise and Resubmit - Do Not Proceed")</f>
        <v>0</v>
      </c>
      <c r="E6" s="65">
        <f>COUNTIF(B11:B13,"D - Rejected")</f>
        <v>0</v>
      </c>
      <c r="F6" s="65">
        <f>COUNTIF(B11:B13,"E - Review not Required - Proceed")</f>
        <v>0</v>
      </c>
      <c r="G6" s="66">
        <f>COUNTIF(B11:B13,"UR")</f>
        <v>0</v>
      </c>
      <c r="H6" s="66">
        <f>COUNTIF(B11:B13,"FA")</f>
        <v>0</v>
      </c>
      <c r="I6" s="66">
        <f>COUNTIF(B11:B13,"Terminated")</f>
        <v>0</v>
      </c>
      <c r="J6" s="66">
        <f>COUNTIF(B11:B13,"Cancelled")</f>
        <v>0</v>
      </c>
      <c r="K6"/>
      <c r="L6"/>
      <c r="M6"/>
      <c r="N6"/>
      <c r="O6"/>
      <c r="P6"/>
      <c r="Q6"/>
      <c r="R6"/>
      <c r="S6"/>
      <c r="T6"/>
      <c r="U6"/>
      <c r="V6"/>
      <c r="W6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195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/>
      <c r="V7"/>
      <c r="W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195"/>
    </row>
    <row r="8" spans="1:58" s="379" customFormat="1" ht="24" customHeight="1" x14ac:dyDescent="0.35">
      <c r="A8" s="8"/>
      <c r="B8" s="72" t="s">
        <v>509</v>
      </c>
      <c r="C8" s="73">
        <f>SUM(B6:J6)</f>
        <v>1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/>
      <c r="V8"/>
      <c r="W8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195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195"/>
    </row>
    <row r="10" spans="1:58" s="405" customFormat="1" ht="36.75" customHeight="1" x14ac:dyDescent="0.2">
      <c r="A10" s="559" t="s">
        <v>3259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100008</v>
      </c>
      <c r="B12" s="56" t="s">
        <v>5</v>
      </c>
      <c r="C12" s="56" t="s">
        <v>588</v>
      </c>
      <c r="D12" s="12" t="s">
        <v>4778</v>
      </c>
      <c r="E12" s="12" t="s">
        <v>4777</v>
      </c>
      <c r="F12" s="16" t="s">
        <v>4779</v>
      </c>
      <c r="G12" s="10" t="s">
        <v>172</v>
      </c>
      <c r="H12" s="10" t="s">
        <v>4359</v>
      </c>
      <c r="I12" s="16" t="s">
        <v>3</v>
      </c>
      <c r="J12" s="14">
        <v>45969</v>
      </c>
      <c r="K12" s="13" t="s">
        <v>4780</v>
      </c>
      <c r="L12" s="14">
        <f>J12+7</f>
        <v>45976</v>
      </c>
      <c r="M12" s="14">
        <v>45984</v>
      </c>
      <c r="N12" s="92">
        <f>L12-M12</f>
        <v>-8</v>
      </c>
      <c r="O12" s="10" t="s">
        <v>4826</v>
      </c>
      <c r="P12" s="11" t="s">
        <v>18</v>
      </c>
      <c r="Q12" s="21">
        <v>45984</v>
      </c>
      <c r="R12" s="10" t="s">
        <v>5014</v>
      </c>
      <c r="S12" s="14">
        <f>Q12+7</f>
        <v>45991</v>
      </c>
      <c r="T12" s="14">
        <v>45995</v>
      </c>
      <c r="U12" s="92">
        <f>S12-T12</f>
        <v>-4</v>
      </c>
      <c r="V12" s="10" t="s">
        <v>5031</v>
      </c>
      <c r="W12" s="59" t="s">
        <v>5</v>
      </c>
      <c r="X12" s="21">
        <v>46005</v>
      </c>
      <c r="Y12" s="10" t="s">
        <v>5204</v>
      </c>
      <c r="Z12" s="14">
        <f>X12+7</f>
        <v>46012</v>
      </c>
      <c r="AA12" s="14">
        <v>46011</v>
      </c>
      <c r="AB12" s="92">
        <f>Z12-AA12</f>
        <v>1</v>
      </c>
      <c r="AC12" s="10" t="s">
        <v>5221</v>
      </c>
      <c r="AD12" s="10"/>
      <c r="AE12" s="21"/>
      <c r="AF12" s="10"/>
      <c r="AG12" s="10"/>
      <c r="AH12" s="21"/>
      <c r="AI12" s="21"/>
      <c r="AJ12" s="10"/>
      <c r="AK12" s="10"/>
      <c r="AL12" s="17"/>
      <c r="AM12" s="11"/>
      <c r="AN12" s="11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1"/>
      <c r="BF12" s="461"/>
    </row>
    <row r="13" spans="1:58" s="381" customFormat="1" ht="42" customHeight="1" thickBot="1" x14ac:dyDescent="0.3">
      <c r="A13" s="369"/>
      <c r="B13" s="446"/>
      <c r="C13" s="446"/>
      <c r="D13" s="370"/>
      <c r="E13" s="370"/>
      <c r="F13" s="262"/>
      <c r="G13" s="263"/>
      <c r="H13" s="263"/>
      <c r="I13" s="262"/>
      <c r="J13" s="474"/>
      <c r="K13" s="373"/>
      <c r="L13" s="373"/>
      <c r="M13" s="474"/>
      <c r="N13" s="474"/>
      <c r="O13" s="263"/>
      <c r="P13" s="470"/>
      <c r="Q13" s="374"/>
      <c r="R13" s="263"/>
      <c r="S13" s="263"/>
      <c r="T13" s="374"/>
      <c r="U13" s="374"/>
      <c r="V13" s="263"/>
      <c r="W13" s="263"/>
      <c r="X13" s="374"/>
      <c r="Y13" s="263"/>
      <c r="Z13" s="263"/>
      <c r="AA13" s="374"/>
      <c r="AB13" s="374"/>
      <c r="AC13" s="263"/>
      <c r="AD13" s="263"/>
      <c r="AE13" s="374"/>
      <c r="AF13" s="263"/>
      <c r="AG13" s="263"/>
      <c r="AH13" s="374"/>
      <c r="AI13" s="374"/>
      <c r="AJ13" s="263"/>
      <c r="AK13" s="263"/>
      <c r="AL13" s="376"/>
      <c r="AM13" s="371"/>
      <c r="AN13" s="371"/>
      <c r="AO13" s="376"/>
      <c r="AP13" s="376"/>
      <c r="AQ13" s="376"/>
      <c r="AR13" s="376"/>
      <c r="AS13" s="376"/>
      <c r="AT13" s="376"/>
      <c r="AU13" s="376"/>
      <c r="AV13" s="376"/>
      <c r="AW13" s="376"/>
      <c r="AX13" s="376"/>
      <c r="AY13" s="376"/>
      <c r="AZ13" s="376"/>
      <c r="BA13" s="376"/>
      <c r="BB13" s="376"/>
      <c r="BC13" s="376"/>
      <c r="BD13" s="376"/>
      <c r="BE13" s="371"/>
      <c r="BF13" s="465"/>
    </row>
  </sheetData>
  <autoFilter ref="A11:BF11" xr:uid="{B63591D0-ADD9-4DFF-82AE-EEA5030F8E7B}"/>
  <mergeCells count="18">
    <mergeCell ref="H1:H2"/>
    <mergeCell ref="I1:I2"/>
    <mergeCell ref="AK10:AQ10"/>
    <mergeCell ref="AR10:AX10"/>
    <mergeCell ref="AY10:BE10"/>
    <mergeCell ref="BF10:BF11"/>
    <mergeCell ref="AD10:AJ10"/>
    <mergeCell ref="A10:A11"/>
    <mergeCell ref="B10:B11"/>
    <mergeCell ref="C10:C11"/>
    <mergeCell ref="D10:D11"/>
    <mergeCell ref="E10:E11"/>
    <mergeCell ref="F10:F11"/>
    <mergeCell ref="G10:G11"/>
    <mergeCell ref="H10:H11"/>
    <mergeCell ref="I10:O10"/>
    <mergeCell ref="P10:V10"/>
    <mergeCell ref="W10:AC10"/>
  </mergeCells>
  <conditionalFormatting sqref="A10:A11 A12:XFD1048576">
    <cfRule type="cellIs" dxfId="793" priority="30" operator="equal">
      <formula>"D - Rejected"</formula>
    </cfRule>
    <cfRule type="cellIs" dxfId="792" priority="29" operator="equal">
      <formula>"E - Review not Required - Proceed"</formula>
    </cfRule>
    <cfRule type="cellIs" dxfId="791" priority="31" operator="equal">
      <formula>"B- Incorporate Comments - Proceed"</formula>
    </cfRule>
    <cfRule type="cellIs" dxfId="790" priority="32" operator="equal">
      <formula>"C - Revise and Resubmit - Do Not Proceed"</formula>
    </cfRule>
    <cfRule type="cellIs" dxfId="789" priority="33" operator="equal">
      <formula>"A - Work May Proceed"</formula>
    </cfRule>
  </conditionalFormatting>
  <conditionalFormatting sqref="B11">
    <cfRule type="cellIs" dxfId="788" priority="15" operator="equal">
      <formula>"D - Rejected"</formula>
    </cfRule>
    <cfRule type="cellIs" dxfId="787" priority="16" operator="equal">
      <formula>"B- Incorporate Comments - Proceed"</formula>
    </cfRule>
    <cfRule type="cellIs" dxfId="786" priority="17" operator="equal">
      <formula>"C - Revise and Resubmit - Do Not Proceed"</formula>
    </cfRule>
    <cfRule type="cellIs" dxfId="785" priority="14" operator="equal">
      <formula>"E - Review not Required - Proceed"</formula>
    </cfRule>
  </conditionalFormatting>
  <conditionalFormatting sqref="D11:BE11 B1:G2 X1:XFD9 B3:H4 B9:H9 B10:XFD10 B11">
    <cfRule type="cellIs" dxfId="784" priority="78" operator="equal">
      <formula>"A - Work May Proceed"</formula>
    </cfRule>
  </conditionalFormatting>
  <conditionalFormatting sqref="D11:BE11 B1:G2 X1:XFD9 B3:H4 B9:H9 B10:XFD10">
    <cfRule type="cellIs" dxfId="783" priority="77" operator="equal">
      <formula>"C - Revise and Resubmit - Do Not Proceed"</formula>
    </cfRule>
    <cfRule type="cellIs" dxfId="782" priority="76" operator="equal">
      <formula>"B- Incorporate Comments - Proceed"</formula>
    </cfRule>
    <cfRule type="cellIs" dxfId="781" priority="75" operator="equal">
      <formula>"D - Rejected"</formula>
    </cfRule>
    <cfRule type="cellIs" dxfId="780" priority="74" operator="equal">
      <formula>"E - Review not Required - Proceed"</formula>
    </cfRule>
  </conditionalFormatting>
  <conditionalFormatting sqref="I11">
    <cfRule type="cellIs" dxfId="779" priority="144" operator="equal">
      <formula>"For Information"</formula>
    </cfRule>
    <cfRule type="cellIs" dxfId="778" priority="143" operator="equal">
      <formula>"B - Incorporate Comments - Proceed"</formula>
    </cfRule>
    <cfRule type="cellIs" dxfId="777" priority="148" operator="between">
      <formula>"'D - Rejected "</formula>
      <formula>"'D - Rejected "</formula>
    </cfRule>
    <cfRule type="cellIs" dxfId="776" priority="155" operator="between">
      <formula>"CANCELLED"</formula>
      <formula>"CANCELLED"</formula>
    </cfRule>
    <cfRule type="cellIs" dxfId="775" priority="154" operator="between">
      <formula>"D - Rejected "</formula>
      <formula>"D - Rejected "</formula>
    </cfRule>
    <cfRule type="cellIs" dxfId="774" priority="158" stopIfTrue="1" operator="between">
      <formula>"B - Incorporate Comments - Proceed "</formula>
      <formula>"B - Incorporate Comments - Proceed "</formula>
    </cfRule>
    <cfRule type="cellIs" dxfId="773" priority="153" operator="between">
      <formula>"E - Review not Required - Proceed"</formula>
      <formula>"E - Review not Required - Proceed"</formula>
    </cfRule>
    <cfRule type="cellIs" dxfId="772" priority="152" operator="between">
      <formula>"B - Incorporate Comments - Proceed"</formula>
      <formula>"B - Incorporate Comments - Proceed"</formula>
    </cfRule>
    <cfRule type="cellIs" dxfId="771" priority="151" operator="between">
      <formula>"A - Work May Proceed"</formula>
      <formula>"A - Work May Proceed"</formula>
    </cfRule>
    <cfRule type="cellIs" dxfId="770" priority="150" operator="between">
      <formula>"B - Incorporate Comments - Proceed"</formula>
      <formula>"B - Incorporate Comments - Proceed"</formula>
    </cfRule>
    <cfRule type="cellIs" dxfId="769" priority="149" operator="between">
      <formula>"C - Revise and Resubmit - Do Not Proceed"</formula>
      <formula>"C - Revise and Resubmit - Do Not Proceed"</formula>
    </cfRule>
    <cfRule type="cellIs" dxfId="768" priority="147" operator="between">
      <formula>"E - Review not Required - Proceed"</formula>
      <formula>"E - Review not Required - Proceed"</formula>
    </cfRule>
    <cfRule type="cellIs" dxfId="767" priority="146" operator="equal">
      <formula>"E - Review Not Required - Proceed"</formula>
    </cfRule>
    <cfRule type="cellIs" dxfId="766" priority="145" operator="equal">
      <formula>"B - Incorporate Comments - Proceed "</formula>
    </cfRule>
    <cfRule type="cellIs" dxfId="765" priority="156" operator="between">
      <formula>"A - Work May Proceed"</formula>
      <formula>"A - Work May Proceed"</formula>
    </cfRule>
    <cfRule type="cellIs" dxfId="764" priority="157" operator="between">
      <formula>"C - Revise and Resubmit - Do Not Proceed"</formula>
      <formula>"C - Revise and Resubmit - Do Not Proceed"</formula>
    </cfRule>
  </conditionalFormatting>
  <conditionalFormatting sqref="J5:J6 B5:I7 B8:J8">
    <cfRule type="cellIs" dxfId="763" priority="24" operator="equal">
      <formula>"E - Review not Required - Proceed"</formula>
    </cfRule>
    <cfRule type="cellIs" dxfId="762" priority="25" operator="equal">
      <formula>"D - Rejected"</formula>
    </cfRule>
    <cfRule type="cellIs" dxfId="761" priority="26" operator="equal">
      <formula>"B- Incorporate Comments - Proceed"</formula>
    </cfRule>
    <cfRule type="cellIs" dxfId="760" priority="27" operator="equal">
      <formula>"C - Revise and Resubmit - Do Not Proceed"</formula>
    </cfRule>
    <cfRule type="cellIs" dxfId="759" priority="28" stopIfTrue="1" operator="equal">
      <formula>"A - Work May Proceed"</formula>
    </cfRule>
  </conditionalFormatting>
  <conditionalFormatting sqref="P11">
    <cfRule type="cellIs" dxfId="758" priority="131" operator="between">
      <formula>"E - Review not Required - Proceed"</formula>
      <formula>"E - Review not Required - Proceed"</formula>
    </cfRule>
    <cfRule type="cellIs" dxfId="757" priority="141" operator="between">
      <formula>"C - Revise and Resubmit - Do Not Proceed"</formula>
      <formula>"C - Revise and Resubmit - Do Not Proceed"</formula>
    </cfRule>
    <cfRule type="cellIs" dxfId="756" priority="130" operator="equal">
      <formula>"E - Review Not Required - Proceed"</formula>
    </cfRule>
    <cfRule type="cellIs" dxfId="755" priority="129" operator="equal">
      <formula>"B - Incorporate Comments - Proceed "</formula>
    </cfRule>
    <cfRule type="cellIs" dxfId="754" priority="128" operator="equal">
      <formula>"For Information"</formula>
    </cfRule>
    <cfRule type="cellIs" dxfId="753" priority="127" operator="equal">
      <formula>"B - Incorporate Comments - Proceed"</formula>
    </cfRule>
    <cfRule type="cellIs" dxfId="752" priority="137" operator="between">
      <formula>"E - Review not Required - Proceed"</formula>
      <formula>"E - Review not Required - Proceed"</formula>
    </cfRule>
    <cfRule type="cellIs" dxfId="751" priority="134" operator="between">
      <formula>"B - Incorporate Comments - Proceed"</formula>
      <formula>"B - Incorporate Comments - Proceed"</formula>
    </cfRule>
    <cfRule type="cellIs" dxfId="750" priority="135" operator="between">
      <formula>"A - Work May Proceed"</formula>
      <formula>"A - Work May Proceed"</formula>
    </cfRule>
    <cfRule type="cellIs" dxfId="749" priority="136" operator="between">
      <formula>"B - Incorporate Comments - Proceed"</formula>
      <formula>"B - Incorporate Comments - Proceed"</formula>
    </cfRule>
    <cfRule type="cellIs" dxfId="748" priority="138" operator="between">
      <formula>"D - Rejected "</formula>
      <formula>"D - Rejected "</formula>
    </cfRule>
    <cfRule type="cellIs" dxfId="747" priority="139" operator="between">
      <formula>"CANCELLED"</formula>
      <formula>"CANCELLED"</formula>
    </cfRule>
    <cfRule type="cellIs" dxfId="746" priority="140" operator="between">
      <formula>"A - Work May Proceed"</formula>
      <formula>"A - Work May Proceed"</formula>
    </cfRule>
    <cfRule type="cellIs" dxfId="745" priority="142" stopIfTrue="1" operator="between">
      <formula>"B - Incorporate Comments - Proceed "</formula>
      <formula>"B - Incorporate Comments - Proceed "</formula>
    </cfRule>
    <cfRule type="cellIs" dxfId="744" priority="133" operator="between">
      <formula>"C - Revise and Resubmit - Do Not Proceed"</formula>
      <formula>"C - Revise and Resubmit - Do Not Proceed"</formula>
    </cfRule>
    <cfRule type="cellIs" dxfId="743" priority="132" operator="between">
      <formula>"'D - Rejected "</formula>
      <formula>"'D - Rejected "</formula>
    </cfRule>
  </conditionalFormatting>
  <conditionalFormatting sqref="W11">
    <cfRule type="cellIs" dxfId="742" priority="111" operator="equal">
      <formula>"B - Incorporate Comments - Proceed"</formula>
    </cfRule>
    <cfRule type="cellIs" dxfId="741" priority="112" operator="equal">
      <formula>"For Information"</formula>
    </cfRule>
    <cfRule type="cellIs" dxfId="740" priority="113" operator="equal">
      <formula>"B - Incorporate Comments - Proceed "</formula>
    </cfRule>
    <cfRule type="cellIs" dxfId="739" priority="114" operator="equal">
      <formula>"E - Review Not Required - Proceed"</formula>
    </cfRule>
    <cfRule type="cellIs" dxfId="738" priority="115" operator="between">
      <formula>"E - Review not Required - Proceed"</formula>
      <formula>"E - Review not Required - Proceed"</formula>
    </cfRule>
    <cfRule type="cellIs" dxfId="737" priority="116" operator="between">
      <formula>"'D - Rejected "</formula>
      <formula>"'D - Rejected "</formula>
    </cfRule>
    <cfRule type="cellIs" dxfId="736" priority="117" operator="between">
      <formula>"C - Revise and Resubmit - Do Not Proceed"</formula>
      <formula>"C - Revise and Resubmit - Do Not Proceed"</formula>
    </cfRule>
    <cfRule type="cellIs" dxfId="735" priority="118" operator="between">
      <formula>"B - Incorporate Comments - Proceed"</formula>
      <formula>"B - Incorporate Comments - Proceed"</formula>
    </cfRule>
    <cfRule type="cellIs" dxfId="734" priority="119" operator="between">
      <formula>"A - Work May Proceed"</formula>
      <formula>"A - Work May Proceed"</formula>
    </cfRule>
    <cfRule type="cellIs" dxfId="733" priority="120" operator="between">
      <formula>"B - Incorporate Comments - Proceed"</formula>
      <formula>"B - Incorporate Comments - Proceed"</formula>
    </cfRule>
    <cfRule type="cellIs" dxfId="732" priority="121" operator="between">
      <formula>"E - Review not Required - Proceed"</formula>
      <formula>"E - Review not Required - Proceed"</formula>
    </cfRule>
    <cfRule type="cellIs" dxfId="731" priority="122" operator="between">
      <formula>"D - Rejected "</formula>
      <formula>"D - Rejected "</formula>
    </cfRule>
    <cfRule type="cellIs" dxfId="730" priority="123" operator="between">
      <formula>"CANCELLED"</formula>
      <formula>"CANCELLED"</formula>
    </cfRule>
    <cfRule type="cellIs" dxfId="729" priority="125" operator="between">
      <formula>"C - Revise and Resubmit - Do Not Proceed"</formula>
      <formula>"C - Revise and Resubmit - Do Not Proceed"</formula>
    </cfRule>
    <cfRule type="cellIs" dxfId="728" priority="126" stopIfTrue="1" operator="between">
      <formula>"B - Incorporate Comments - Proceed "</formula>
      <formula>"B - Incorporate Comments - Proceed "</formula>
    </cfRule>
    <cfRule type="cellIs" dxfId="727" priority="124" operator="between">
      <formula>"A - Work May Proceed"</formula>
      <formula>"A - Work May Proceed"</formula>
    </cfRule>
  </conditionalFormatting>
  <conditionalFormatting sqref="AD11">
    <cfRule type="cellIs" dxfId="726" priority="96" operator="equal">
      <formula>"For Information"</formula>
    </cfRule>
    <cfRule type="cellIs" dxfId="725" priority="106" operator="between">
      <formula>"D - Rejected "</formula>
      <formula>"D - Rejected "</formula>
    </cfRule>
    <cfRule type="cellIs" dxfId="724" priority="95" operator="equal">
      <formula>"B - Incorporate Comments - Proceed"</formula>
    </cfRule>
    <cfRule type="cellIs" dxfId="723" priority="108" operator="between">
      <formula>"A - Work May Proceed"</formula>
      <formula>"A - Work May Proceed"</formula>
    </cfRule>
    <cfRule type="cellIs" dxfId="722" priority="109" operator="between">
      <formula>"C - Revise and Resubmit - Do Not Proceed"</formula>
      <formula>"C - Revise and Resubmit - Do Not Proceed"</formula>
    </cfRule>
    <cfRule type="cellIs" dxfId="721" priority="110" stopIfTrue="1" operator="between">
      <formula>"B - Incorporate Comments - Proceed "</formula>
      <formula>"B - Incorporate Comments - Proceed "</formula>
    </cfRule>
    <cfRule type="cellIs" dxfId="720" priority="105" operator="between">
      <formula>"E - Review not Required - Proceed"</formula>
      <formula>"E - Review not Required - Proceed"</formula>
    </cfRule>
    <cfRule type="cellIs" dxfId="719" priority="104" operator="between">
      <formula>"B - Incorporate Comments - Proceed"</formula>
      <formula>"B - Incorporate Comments - Proceed"</formula>
    </cfRule>
    <cfRule type="cellIs" dxfId="718" priority="103" operator="between">
      <formula>"A - Work May Proceed"</formula>
      <formula>"A - Work May Proceed"</formula>
    </cfRule>
    <cfRule type="cellIs" dxfId="717" priority="102" operator="between">
      <formula>"B - Incorporate Comments - Proceed"</formula>
      <formula>"B - Incorporate Comments - Proceed"</formula>
    </cfRule>
    <cfRule type="cellIs" dxfId="716" priority="101" operator="between">
      <formula>"C - Revise and Resubmit - Do Not Proceed"</formula>
      <formula>"C - Revise and Resubmit - Do Not Proceed"</formula>
    </cfRule>
    <cfRule type="cellIs" dxfId="715" priority="100" operator="between">
      <formula>"'D - Rejected "</formula>
      <formula>"'D - Rejected "</formula>
    </cfRule>
    <cfRule type="cellIs" dxfId="714" priority="99" operator="between">
      <formula>"E - Review not Required - Proceed"</formula>
      <formula>"E - Review not Required - Proceed"</formula>
    </cfRule>
    <cfRule type="cellIs" dxfId="713" priority="107" operator="between">
      <formula>"CANCELLED"</formula>
      <formula>"CANCELLED"</formula>
    </cfRule>
    <cfRule type="cellIs" dxfId="712" priority="98" operator="equal">
      <formula>"E - Review Not Required - Proceed"</formula>
    </cfRule>
    <cfRule type="cellIs" dxfId="711" priority="97" operator="equal">
      <formula>"B - Incorporate Comments - Proceed "</formula>
    </cfRule>
  </conditionalFormatting>
  <conditionalFormatting sqref="AK11">
    <cfRule type="cellIs" dxfId="710" priority="87" operator="between">
      <formula>"A - Work May Proceed"</formula>
      <formula>"A - Work May Proceed"</formula>
    </cfRule>
    <cfRule type="cellIs" dxfId="709" priority="88" operator="between">
      <formula>"B - Incorporate Comments - Proceed"</formula>
      <formula>"B - Incorporate Comments - Proceed"</formula>
    </cfRule>
    <cfRule type="cellIs" dxfId="708" priority="89" operator="between">
      <formula>"E - Review not Required - Proceed"</formula>
      <formula>"E - Review not Required - Proceed"</formula>
    </cfRule>
    <cfRule type="cellIs" dxfId="707" priority="90" operator="between">
      <formula>"D - Rejected "</formula>
      <formula>"D - Rejected "</formula>
    </cfRule>
    <cfRule type="cellIs" dxfId="706" priority="91" operator="between">
      <formula>"CANCELLED"</formula>
      <formula>"CANCELLED"</formula>
    </cfRule>
    <cfRule type="cellIs" dxfId="705" priority="92" operator="between">
      <formula>"A - Work May Proceed"</formula>
      <formula>"A - Work May Proceed"</formula>
    </cfRule>
    <cfRule type="cellIs" dxfId="704" priority="93" operator="between">
      <formula>"C - Revise and Resubmit - Do Not Proceed"</formula>
      <formula>"C - Revise and Resubmit - Do Not Proceed"</formula>
    </cfRule>
    <cfRule type="cellIs" dxfId="703" priority="94" stopIfTrue="1" operator="between">
      <formula>"B - Incorporate Comments - Proceed "</formula>
      <formula>"B - Incorporate Comments - Proceed "</formula>
    </cfRule>
    <cfRule type="cellIs" dxfId="702" priority="79" operator="equal">
      <formula>"B - Incorporate Comments - Proceed"</formula>
    </cfRule>
    <cfRule type="cellIs" dxfId="701" priority="80" operator="equal">
      <formula>"For Information"</formula>
    </cfRule>
    <cfRule type="cellIs" dxfId="700" priority="81" operator="equal">
      <formula>"B - Incorporate Comments - Proceed "</formula>
    </cfRule>
    <cfRule type="cellIs" dxfId="699" priority="82" operator="equal">
      <formula>"E - Review Not Required - Proceed"</formula>
    </cfRule>
    <cfRule type="cellIs" dxfId="698" priority="83" operator="between">
      <formula>"E - Review not Required - Proceed"</formula>
      <formula>"E - Review not Required - Proceed"</formula>
    </cfRule>
    <cfRule type="cellIs" dxfId="697" priority="84" operator="between">
      <formula>"'D - Rejected "</formula>
      <formula>"'D - Rejected "</formula>
    </cfRule>
    <cfRule type="cellIs" dxfId="696" priority="85" operator="between">
      <formula>"C - Revise and Resubmit - Do Not Proceed"</formula>
      <formula>"C - Revise and Resubmit - Do Not Proceed"</formula>
    </cfRule>
    <cfRule type="cellIs" dxfId="695" priority="86" operator="between">
      <formula>"B - Incorporate Comments - Proceed"</formula>
      <formula>"B - Incorporate Comments - Proceed"</formula>
    </cfRule>
  </conditionalFormatting>
  <conditionalFormatting sqref="AR11">
    <cfRule type="cellIs" dxfId="694" priority="49" operator="between">
      <formula>"D - Rejected "</formula>
      <formula>"D - Rejected "</formula>
    </cfRule>
    <cfRule type="cellIs" dxfId="693" priority="48" operator="between">
      <formula>"E - Review not Required - Proceed"</formula>
      <formula>"E - Review not Required - Proceed"</formula>
    </cfRule>
    <cfRule type="cellIs" dxfId="692" priority="47" operator="between">
      <formula>"B - Incorporate Comments - Proceed"</formula>
      <formula>"B - Incorporate Comments - Proceed"</formula>
    </cfRule>
    <cfRule type="cellIs" dxfId="691" priority="46" operator="between">
      <formula>"A - Work May Proceed"</formula>
      <formula>"A - Work May Proceed"</formula>
    </cfRule>
    <cfRule type="cellIs" dxfId="690" priority="45" operator="between">
      <formula>"B - Incorporate Comments - Proceed"</formula>
      <formula>"B - Incorporate Comments - Proceed"</formula>
    </cfRule>
    <cfRule type="cellIs" dxfId="689" priority="44" operator="between">
      <formula>"C - Revise and Resubmit - Do Not Proceed"</formula>
      <formula>"C - Revise and Resubmit - Do Not Proceed"</formula>
    </cfRule>
    <cfRule type="cellIs" dxfId="688" priority="43" operator="between">
      <formula>"'D - Rejected "</formula>
      <formula>"'D - Rejected "</formula>
    </cfRule>
    <cfRule type="cellIs" dxfId="687" priority="42" operator="between">
      <formula>"E - Review not Required - Proceed"</formula>
      <formula>"E - Review not Required - Proceed"</formula>
    </cfRule>
    <cfRule type="cellIs" dxfId="686" priority="41" operator="equal">
      <formula>"E - Review Not Required - Proceed"</formula>
    </cfRule>
    <cfRule type="cellIs" dxfId="685" priority="40" operator="equal">
      <formula>"B - Incorporate Comments - Proceed "</formula>
    </cfRule>
    <cfRule type="cellIs" dxfId="684" priority="39" operator="equal">
      <formula>"For Information"</formula>
    </cfRule>
    <cfRule type="cellIs" dxfId="683" priority="38" operator="equal">
      <formula>"A - Work May Proceed"</formula>
    </cfRule>
    <cfRule type="cellIs" dxfId="682" priority="36" operator="equal">
      <formula>"B - Incorporate Comments - Proceed"</formula>
    </cfRule>
    <cfRule type="cellIs" dxfId="681" priority="35" operator="equal">
      <formula>"D - Rejected"</formula>
    </cfRule>
    <cfRule type="cellIs" dxfId="680" priority="34" operator="equal">
      <formula>"E - Review not Required - Proceed"</formula>
    </cfRule>
    <cfRule type="cellIs" dxfId="679" priority="50" operator="between">
      <formula>"CANCELLED"</formula>
      <formula>"CANCELLED"</formula>
    </cfRule>
    <cfRule type="cellIs" dxfId="678" priority="37" operator="equal">
      <formula>"C - Revise and Resubmit - Do Not Proceed"</formula>
    </cfRule>
    <cfRule type="cellIs" dxfId="677" priority="53" stopIfTrue="1" operator="between">
      <formula>"B - Incorporate Comments - Proceed "</formula>
      <formula>"B - Incorporate Comments - Proceed "</formula>
    </cfRule>
    <cfRule type="cellIs" dxfId="676" priority="52" operator="between">
      <formula>"C - Revise and Resubmit - Do Not Proceed"</formula>
      <formula>"C - Revise and Resubmit - Do Not Proceed"</formula>
    </cfRule>
    <cfRule type="cellIs" dxfId="675" priority="51" operator="between">
      <formula>"A - Work May Proceed"</formula>
      <formula>"A - Work May Proceed"</formula>
    </cfRule>
  </conditionalFormatting>
  <conditionalFormatting sqref="AY11">
    <cfRule type="cellIs" dxfId="674" priority="73" stopIfTrue="1" operator="between">
      <formula>"B - Incorporate Comments - Proceed "</formula>
      <formula>"B - Incorporate Comments - Proceed "</formula>
    </cfRule>
    <cfRule type="cellIs" dxfId="673" priority="71" operator="between">
      <formula>"A - Work May Proceed"</formula>
      <formula>"A - Work May Proceed"</formula>
    </cfRule>
    <cfRule type="cellIs" dxfId="672" priority="70" operator="between">
      <formula>"CANCELLED"</formula>
      <formula>"CANCELLED"</formula>
    </cfRule>
    <cfRule type="cellIs" dxfId="671" priority="69" operator="between">
      <formula>"D - Rejected "</formula>
      <formula>"D - Rejected "</formula>
    </cfRule>
    <cfRule type="cellIs" dxfId="670" priority="68" operator="between">
      <formula>"E - Review not Required - Proceed"</formula>
      <formula>"E - Review not Required - Proceed"</formula>
    </cfRule>
    <cfRule type="cellIs" dxfId="669" priority="63" operator="between">
      <formula>"'D - Rejected "</formula>
      <formula>"'D - Rejected "</formula>
    </cfRule>
    <cfRule type="cellIs" dxfId="668" priority="62" operator="between">
      <formula>"E - Review not Required - Proceed"</formula>
      <formula>"E - Review not Required - Proceed"</formula>
    </cfRule>
    <cfRule type="cellIs" dxfId="667" priority="72" operator="between">
      <formula>"C - Revise and Resubmit - Do Not Proceed"</formula>
      <formula>"C - Revise and Resubmit - Do Not Proceed"</formula>
    </cfRule>
    <cfRule type="cellIs" dxfId="666" priority="61" operator="equal">
      <formula>"E - Review Not Required - Proceed"</formula>
    </cfRule>
    <cfRule type="cellIs" dxfId="665" priority="60" operator="equal">
      <formula>"B - Incorporate Comments - Proceed "</formula>
    </cfRule>
    <cfRule type="cellIs" dxfId="664" priority="59" operator="equal">
      <formula>"For Information"</formula>
    </cfRule>
    <cfRule type="cellIs" dxfId="663" priority="58" operator="equal">
      <formula>"A - Work May Proceed"</formula>
    </cfRule>
    <cfRule type="cellIs" dxfId="662" priority="57" operator="equal">
      <formula>"C - Revise and Resubmit - Do Not Proceed"</formula>
    </cfRule>
    <cfRule type="cellIs" dxfId="661" priority="56" operator="equal">
      <formula>"B - Incorporate Comments - Proceed"</formula>
    </cfRule>
    <cfRule type="cellIs" dxfId="660" priority="55" operator="equal">
      <formula>"D - Rejected"</formula>
    </cfRule>
    <cfRule type="cellIs" dxfId="659" priority="54" operator="equal">
      <formula>"E - Review not Required - Proceed"</formula>
    </cfRule>
    <cfRule type="cellIs" dxfId="658" priority="66" operator="between">
      <formula>"A - Work May Proceed"</formula>
      <formula>"A - Work May Proceed"</formula>
    </cfRule>
    <cfRule type="cellIs" dxfId="657" priority="65" operator="between">
      <formula>"B - Incorporate Comments - Proceed"</formula>
      <formula>"B - Incorporate Comments - Proceed"</formula>
    </cfRule>
    <cfRule type="cellIs" dxfId="656" priority="64" operator="between">
      <formula>"C - Revise and Resubmit - Do Not Proceed"</formula>
      <formula>"C - Revise and Resubmit - Do Not Proceed"</formula>
    </cfRule>
    <cfRule type="cellIs" dxfId="655" priority="67" operator="between">
      <formula>"B - Incorporate Comments - Proceed"</formula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3">
    <tabColor theme="7"/>
  </sheetPr>
  <dimension ref="A1:BF53"/>
  <sheetViews>
    <sheetView zoomScale="55" zoomScaleNormal="55" zoomScaleSheetLayoutView="55" workbookViewId="0">
      <pane ySplit="11" topLeftCell="A39" activePane="bottomLeft" state="frozen"/>
      <selection activeCell="A14" sqref="A14"/>
      <selection pane="bottomLeft" activeCell="BF50" sqref="BF50"/>
    </sheetView>
  </sheetViews>
  <sheetFormatPr defaultColWidth="9.140625" defaultRowHeight="15" x14ac:dyDescent="0.25"/>
  <cols>
    <col min="1" max="1" width="24.8554687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0.140625" style="398" customWidth="1"/>
    <col min="22" max="23" width="30.140625" style="393" customWidth="1"/>
    <col min="24" max="24" width="30.140625" style="397" customWidth="1"/>
    <col min="25" max="26" width="30.140625" style="393" customWidth="1"/>
    <col min="27" max="27" width="30.140625" style="397" customWidth="1"/>
    <col min="28" max="28" width="30.140625" style="398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34.5703125" style="472" customWidth="1"/>
    <col min="59" max="16384" width="9.140625" style="393"/>
  </cols>
  <sheetData>
    <row r="1" spans="1:58" s="379" customFormat="1" ht="24" customHeight="1" x14ac:dyDescent="0.35">
      <c r="A1" s="135"/>
      <c r="B1" s="136" t="s">
        <v>27</v>
      </c>
      <c r="C1" s="137" t="s">
        <v>26</v>
      </c>
      <c r="D1" s="137"/>
      <c r="E1" s="27"/>
      <c r="F1" s="137"/>
      <c r="G1" s="135"/>
      <c r="H1" s="548" t="s">
        <v>5496</v>
      </c>
      <c r="I1" s="549">
        <f ca="1">TODAY()</f>
        <v>46266</v>
      </c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138"/>
      <c r="V1" s="61"/>
      <c r="W1" s="61"/>
      <c r="X1" s="139"/>
      <c r="Y1" s="140"/>
      <c r="Z1" s="140"/>
      <c r="AA1" s="139"/>
      <c r="AB1" s="141"/>
      <c r="AC1" s="140"/>
      <c r="AD1" s="140"/>
      <c r="AE1" s="139"/>
      <c r="AF1" s="140"/>
      <c r="AG1" s="140"/>
      <c r="AH1" s="139"/>
      <c r="AI1" s="139"/>
      <c r="AJ1" s="140"/>
      <c r="AK1" s="140"/>
      <c r="AL1" s="139"/>
      <c r="AM1" s="140"/>
      <c r="AN1" s="140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40"/>
      <c r="BF1" s="491"/>
    </row>
    <row r="2" spans="1:58" s="379" customFormat="1" ht="24" customHeight="1" x14ac:dyDescent="0.35">
      <c r="A2" s="135"/>
      <c r="B2" s="137" t="s">
        <v>28</v>
      </c>
      <c r="C2" s="137" t="s">
        <v>171</v>
      </c>
      <c r="D2" s="137"/>
      <c r="E2" s="27"/>
      <c r="F2" s="137"/>
      <c r="G2" s="135"/>
      <c r="H2" s="548"/>
      <c r="I2" s="558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138"/>
      <c r="V2" s="61"/>
      <c r="W2" s="61"/>
      <c r="X2" s="139"/>
      <c r="Y2" s="140"/>
      <c r="Z2" s="140"/>
      <c r="AA2" s="139"/>
      <c r="AB2" s="141"/>
      <c r="AC2" s="140"/>
      <c r="AD2" s="140"/>
      <c r="AE2" s="139"/>
      <c r="AF2" s="140"/>
      <c r="AG2" s="140"/>
      <c r="AH2" s="139"/>
      <c r="AI2" s="139"/>
      <c r="AJ2" s="140"/>
      <c r="AK2" s="140"/>
      <c r="AL2" s="139"/>
      <c r="AM2" s="140"/>
      <c r="AN2" s="140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40"/>
      <c r="BF2" s="491"/>
    </row>
    <row r="3" spans="1:58" s="379" customFormat="1" ht="24" customHeight="1" x14ac:dyDescent="0.35">
      <c r="A3" s="135"/>
      <c r="B3" s="137" t="s">
        <v>507</v>
      </c>
      <c r="C3" s="137" t="s">
        <v>145</v>
      </c>
      <c r="D3" s="137"/>
      <c r="E3" s="27"/>
      <c r="F3" s="137"/>
      <c r="G3" s="135"/>
      <c r="H3" s="135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138"/>
      <c r="V3" s="61"/>
      <c r="W3" s="61"/>
      <c r="X3" s="139"/>
      <c r="Y3" s="140"/>
      <c r="Z3" s="140"/>
      <c r="AA3" s="139"/>
      <c r="AB3" s="141"/>
      <c r="AC3" s="140"/>
      <c r="AD3" s="140"/>
      <c r="AE3" s="139"/>
      <c r="AF3" s="140"/>
      <c r="AG3" s="140"/>
      <c r="AH3" s="139"/>
      <c r="AI3" s="139"/>
      <c r="AJ3" s="140"/>
      <c r="AK3" s="140"/>
      <c r="AL3" s="139"/>
      <c r="AM3" s="140"/>
      <c r="AN3" s="140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40"/>
      <c r="BF3" s="491"/>
    </row>
    <row r="4" spans="1:58" s="379" customFormat="1" ht="24" customHeight="1" x14ac:dyDescent="0.35">
      <c r="A4" s="135"/>
      <c r="B4" s="137"/>
      <c r="C4" s="137"/>
      <c r="D4" s="137"/>
      <c r="E4" s="27"/>
      <c r="F4" s="137"/>
      <c r="G4" s="135"/>
      <c r="H4" s="135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138"/>
      <c r="V4" s="61"/>
      <c r="W4" s="61"/>
      <c r="X4" s="139"/>
      <c r="Y4" s="140"/>
      <c r="Z4" s="140"/>
      <c r="AA4" s="139"/>
      <c r="AB4" s="141"/>
      <c r="AC4" s="140"/>
      <c r="AD4" s="140"/>
      <c r="AE4" s="139"/>
      <c r="AF4" s="140"/>
      <c r="AG4" s="140"/>
      <c r="AH4" s="139"/>
      <c r="AI4" s="139"/>
      <c r="AJ4" s="140"/>
      <c r="AK4" s="140"/>
      <c r="AL4" s="139"/>
      <c r="AM4" s="140"/>
      <c r="AN4" s="140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40"/>
      <c r="BF4" s="491"/>
    </row>
    <row r="5" spans="1:58" s="379" customFormat="1" ht="24" customHeight="1" x14ac:dyDescent="0.35">
      <c r="A5" s="135"/>
      <c r="B5" s="22" t="s">
        <v>5</v>
      </c>
      <c r="C5" s="23" t="s">
        <v>18</v>
      </c>
      <c r="D5" s="23" t="s">
        <v>3</v>
      </c>
      <c r="E5" s="165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138"/>
      <c r="V5" s="61"/>
      <c r="W5" s="61"/>
      <c r="X5" s="139"/>
      <c r="Y5" s="140"/>
      <c r="Z5" s="140"/>
      <c r="AA5" s="139"/>
      <c r="AB5" s="141"/>
      <c r="AC5" s="140"/>
      <c r="AD5" s="140"/>
      <c r="AE5" s="139"/>
      <c r="AF5" s="140"/>
      <c r="AG5" s="140"/>
      <c r="AH5" s="139"/>
      <c r="AI5" s="139"/>
      <c r="AJ5" s="140"/>
      <c r="AK5" s="140"/>
      <c r="AL5" s="139"/>
      <c r="AM5" s="140"/>
      <c r="AN5" s="140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40"/>
      <c r="BF5" s="491"/>
    </row>
    <row r="6" spans="1:58" s="379" customFormat="1" ht="24" customHeight="1" x14ac:dyDescent="0.35">
      <c r="A6" s="135"/>
      <c r="B6" s="64">
        <f>COUNTIF(B11:B53,"A - Work May Proceed")</f>
        <v>34</v>
      </c>
      <c r="C6" s="65">
        <f>COUNTIF(B11:B53,"B- Incorporate Comments - Proceed")</f>
        <v>2</v>
      </c>
      <c r="D6" s="65">
        <f>COUNTIF(B11:B53,"C - Revise and Resubmit - Do Not Proceed")</f>
        <v>1</v>
      </c>
      <c r="E6" s="166">
        <f>COUNTIF(B11:B53,"D - Rejected")</f>
        <v>0</v>
      </c>
      <c r="F6" s="65">
        <f>COUNTIF(B11:B53,"E - Review not Required - Proceed")</f>
        <v>0</v>
      </c>
      <c r="G6" s="66">
        <f>COUNTIF(B11:B53,"UR")</f>
        <v>0</v>
      </c>
      <c r="H6" s="66">
        <f>COUNTIF(B11:B53,"FA")</f>
        <v>0</v>
      </c>
      <c r="I6" s="66">
        <f>COUNTIF(B11:B53,"Terminated")</f>
        <v>0</v>
      </c>
      <c r="J6" s="66">
        <f>COUNTIF(B11:B53,"Cancelled")</f>
        <v>4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138"/>
      <c r="V6" s="61"/>
      <c r="W6" s="61"/>
      <c r="X6" s="139"/>
      <c r="Y6" s="140"/>
      <c r="Z6" s="140"/>
      <c r="AA6" s="139"/>
      <c r="AB6" s="141"/>
      <c r="AC6" s="140"/>
      <c r="AD6" s="140"/>
      <c r="AE6" s="139"/>
      <c r="AF6" s="140"/>
      <c r="AG6" s="140"/>
      <c r="AH6" s="139"/>
      <c r="AI6" s="139"/>
      <c r="AJ6" s="140"/>
      <c r="AK6" s="140"/>
      <c r="AL6" s="139"/>
      <c r="AM6" s="140"/>
      <c r="AN6" s="140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40"/>
      <c r="BF6" s="491"/>
    </row>
    <row r="7" spans="1:58" s="379" customFormat="1" ht="24" customHeight="1" x14ac:dyDescent="0.35">
      <c r="A7" s="135"/>
      <c r="B7" s="142"/>
      <c r="C7" s="143"/>
      <c r="D7" s="144"/>
      <c r="E7" s="167"/>
      <c r="F7" s="143"/>
      <c r="G7" s="142"/>
      <c r="H7" s="143"/>
      <c r="I7" s="140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138"/>
      <c r="V7" s="61"/>
      <c r="W7" s="61"/>
      <c r="X7" s="139"/>
      <c r="Y7" s="140"/>
      <c r="Z7" s="140"/>
      <c r="AA7" s="139"/>
      <c r="AB7" s="141"/>
      <c r="AC7" s="140"/>
      <c r="AD7" s="140"/>
      <c r="AE7" s="139"/>
      <c r="AF7" s="140"/>
      <c r="AG7" s="140"/>
      <c r="AH7" s="139"/>
      <c r="AI7" s="139"/>
      <c r="AJ7" s="140"/>
      <c r="AK7" s="140"/>
      <c r="AL7" s="139"/>
      <c r="AM7" s="140"/>
      <c r="AN7" s="140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40"/>
      <c r="BF7" s="491"/>
    </row>
    <row r="8" spans="1:58" s="379" customFormat="1" ht="24" customHeight="1" x14ac:dyDescent="0.35">
      <c r="A8" s="135"/>
      <c r="B8" s="72" t="s">
        <v>509</v>
      </c>
      <c r="C8" s="73">
        <f>SUM(B6:J6)</f>
        <v>41</v>
      </c>
      <c r="D8" s="144"/>
      <c r="E8" s="167"/>
      <c r="F8" s="143"/>
      <c r="G8" s="145"/>
      <c r="H8" s="146"/>
      <c r="I8" s="147"/>
      <c r="J8" s="146"/>
      <c r="K8" s="61"/>
      <c r="L8" s="61"/>
      <c r="M8" s="61"/>
      <c r="N8" s="61"/>
      <c r="O8" s="61"/>
      <c r="P8" s="61"/>
      <c r="Q8" s="61"/>
      <c r="R8" s="61"/>
      <c r="S8" s="61"/>
      <c r="T8" s="61"/>
      <c r="U8" s="138"/>
      <c r="V8" s="61"/>
      <c r="W8" s="61"/>
      <c r="X8" s="139"/>
      <c r="Y8" s="140"/>
      <c r="Z8" s="140"/>
      <c r="AA8" s="139"/>
      <c r="AB8" s="141"/>
      <c r="AC8" s="140"/>
      <c r="AD8" s="140"/>
      <c r="AE8" s="139"/>
      <c r="AF8" s="140"/>
      <c r="AG8" s="140"/>
      <c r="AH8" s="139"/>
      <c r="AI8" s="139"/>
      <c r="AJ8" s="140"/>
      <c r="AK8" s="140"/>
      <c r="AL8" s="139"/>
      <c r="AM8" s="140"/>
      <c r="AN8" s="140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40"/>
      <c r="BF8" s="491"/>
    </row>
    <row r="9" spans="1:58" s="379" customFormat="1" ht="24" customHeight="1" thickBot="1" x14ac:dyDescent="0.4">
      <c r="A9" s="410"/>
      <c r="B9" s="411"/>
      <c r="C9" s="411"/>
      <c r="D9" s="411"/>
      <c r="E9" s="51"/>
      <c r="F9" s="411"/>
      <c r="G9" s="410"/>
      <c r="H9" s="410"/>
      <c r="I9" s="412"/>
      <c r="J9" s="412"/>
      <c r="K9" s="412"/>
      <c r="L9" s="412"/>
      <c r="M9" s="412"/>
      <c r="N9" s="412"/>
      <c r="O9" s="412"/>
      <c r="P9" s="412"/>
      <c r="Q9" s="412"/>
      <c r="R9" s="412"/>
      <c r="S9" s="412"/>
      <c r="T9" s="412"/>
      <c r="U9" s="413"/>
      <c r="V9" s="412"/>
      <c r="W9" s="412"/>
      <c r="X9" s="415"/>
      <c r="Y9" s="414"/>
      <c r="Z9" s="414"/>
      <c r="AA9" s="415"/>
      <c r="AB9" s="416"/>
      <c r="AC9" s="414"/>
      <c r="AD9" s="414"/>
      <c r="AE9" s="415"/>
      <c r="AF9" s="414"/>
      <c r="AG9" s="414"/>
      <c r="AH9" s="415"/>
      <c r="AI9" s="415"/>
      <c r="AJ9" s="414"/>
      <c r="AK9" s="414"/>
      <c r="AL9" s="415"/>
      <c r="AM9" s="414"/>
      <c r="AN9" s="414"/>
      <c r="AO9" s="415"/>
      <c r="AP9" s="415"/>
      <c r="AQ9" s="415"/>
      <c r="AR9" s="415"/>
      <c r="AS9" s="415"/>
      <c r="AT9" s="415"/>
      <c r="AU9" s="415"/>
      <c r="AV9" s="415"/>
      <c r="AW9" s="415"/>
      <c r="AX9" s="415"/>
      <c r="AY9" s="415"/>
      <c r="AZ9" s="415"/>
      <c r="BA9" s="415"/>
      <c r="BB9" s="415"/>
      <c r="BC9" s="415"/>
      <c r="BD9" s="415"/>
      <c r="BE9" s="414"/>
      <c r="BF9" s="492"/>
    </row>
    <row r="10" spans="1:58" s="405" customFormat="1" ht="36.75" customHeight="1" x14ac:dyDescent="0.2">
      <c r="A10" s="559" t="s">
        <v>3297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113" t="s">
        <v>940</v>
      </c>
      <c r="V11" s="133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120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367">
        <v>730007</v>
      </c>
      <c r="B12" s="11" t="s">
        <v>5</v>
      </c>
      <c r="C12" s="56" t="s">
        <v>588</v>
      </c>
      <c r="D12" s="12" t="s">
        <v>950</v>
      </c>
      <c r="E12" s="12" t="s">
        <v>952</v>
      </c>
      <c r="F12" s="16" t="s">
        <v>3191</v>
      </c>
      <c r="G12" s="10" t="s">
        <v>172</v>
      </c>
      <c r="H12" s="10" t="s">
        <v>145</v>
      </c>
      <c r="I12" s="16" t="s">
        <v>18</v>
      </c>
      <c r="J12" s="14">
        <v>45613</v>
      </c>
      <c r="K12" s="12" t="s">
        <v>957</v>
      </c>
      <c r="L12" s="20">
        <f t="shared" ref="L12:L17" si="0">J12+7</f>
        <v>45620</v>
      </c>
      <c r="M12" s="14">
        <v>45624</v>
      </c>
      <c r="N12" s="92">
        <f t="shared" ref="N12:N52" si="1">M12-L12</f>
        <v>4</v>
      </c>
      <c r="O12" s="12" t="s">
        <v>962</v>
      </c>
      <c r="P12" s="16" t="s">
        <v>18</v>
      </c>
      <c r="Q12" s="20">
        <v>45642</v>
      </c>
      <c r="R12" s="12" t="s">
        <v>1445</v>
      </c>
      <c r="S12" s="20">
        <f>Q12+7</f>
        <v>45649</v>
      </c>
      <c r="T12" s="20">
        <v>45651</v>
      </c>
      <c r="U12" s="92">
        <f>T12-S12</f>
        <v>2</v>
      </c>
      <c r="V12" s="12" t="s">
        <v>1487</v>
      </c>
      <c r="W12" s="60" t="s">
        <v>5</v>
      </c>
      <c r="X12" s="20">
        <v>45782</v>
      </c>
      <c r="Y12" s="12" t="s">
        <v>3192</v>
      </c>
      <c r="Z12" s="20">
        <f>X12+7</f>
        <v>45789</v>
      </c>
      <c r="AA12" s="20">
        <v>45792</v>
      </c>
      <c r="AB12" s="91">
        <f>AA12-Z12</f>
        <v>3</v>
      </c>
      <c r="AC12" s="12" t="s">
        <v>3217</v>
      </c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460"/>
    </row>
    <row r="13" spans="1:58" s="381" customFormat="1" ht="42" customHeight="1" x14ac:dyDescent="0.25">
      <c r="A13" s="367">
        <v>730007</v>
      </c>
      <c r="B13" s="11" t="s">
        <v>5</v>
      </c>
      <c r="C13" s="56" t="s">
        <v>208</v>
      </c>
      <c r="D13" s="12" t="s">
        <v>1190</v>
      </c>
      <c r="E13" s="12" t="s">
        <v>1191</v>
      </c>
      <c r="F13" s="16" t="s">
        <v>1192</v>
      </c>
      <c r="G13" s="10" t="s">
        <v>172</v>
      </c>
      <c r="H13" s="10" t="s">
        <v>145</v>
      </c>
      <c r="I13" s="16" t="s">
        <v>3</v>
      </c>
      <c r="J13" s="14">
        <v>45629</v>
      </c>
      <c r="K13" s="12" t="s">
        <v>1193</v>
      </c>
      <c r="L13" s="20">
        <f t="shared" si="0"/>
        <v>45636</v>
      </c>
      <c r="M13" s="14">
        <v>45659</v>
      </c>
      <c r="N13" s="92">
        <f t="shared" si="1"/>
        <v>23</v>
      </c>
      <c r="O13" s="12" t="s">
        <v>1251</v>
      </c>
      <c r="P13" s="60" t="s">
        <v>5</v>
      </c>
      <c r="Q13" s="20">
        <v>45712</v>
      </c>
      <c r="R13" s="12" t="s">
        <v>2612</v>
      </c>
      <c r="S13" s="20">
        <f>Q13+7</f>
        <v>45719</v>
      </c>
      <c r="T13" s="20">
        <v>45735</v>
      </c>
      <c r="U13" s="92">
        <f>T13-S13</f>
        <v>16</v>
      </c>
      <c r="V13" s="12" t="s">
        <v>2842</v>
      </c>
      <c r="W13" s="12"/>
      <c r="X13" s="20"/>
      <c r="Y13" s="12"/>
      <c r="Z13" s="12"/>
      <c r="AA13" s="20"/>
      <c r="AB13" s="91"/>
      <c r="AC13" s="12"/>
      <c r="AD13" s="12"/>
      <c r="AE13" s="20"/>
      <c r="AF13" s="12"/>
      <c r="AG13" s="12"/>
      <c r="AH13" s="20"/>
      <c r="AI13" s="20"/>
      <c r="AJ13" s="12"/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460"/>
    </row>
    <row r="14" spans="1:58" s="381" customFormat="1" ht="42" customHeight="1" x14ac:dyDescent="0.25">
      <c r="A14" s="367">
        <v>730007</v>
      </c>
      <c r="B14" s="79" t="s">
        <v>508</v>
      </c>
      <c r="C14" s="56" t="s">
        <v>627</v>
      </c>
      <c r="D14" s="12" t="s">
        <v>1409</v>
      </c>
      <c r="E14" s="12" t="s">
        <v>1410</v>
      </c>
      <c r="F14" s="16" t="s">
        <v>1411</v>
      </c>
      <c r="G14" s="10" t="s">
        <v>172</v>
      </c>
      <c r="H14" s="10" t="s">
        <v>145</v>
      </c>
      <c r="I14" s="16" t="s">
        <v>3</v>
      </c>
      <c r="J14" s="14">
        <v>45638</v>
      </c>
      <c r="K14" s="12" t="s">
        <v>1412</v>
      </c>
      <c r="L14" s="20">
        <f t="shared" si="0"/>
        <v>45645</v>
      </c>
      <c r="M14" s="14">
        <v>45651</v>
      </c>
      <c r="N14" s="92">
        <f t="shared" si="1"/>
        <v>6</v>
      </c>
      <c r="O14" s="12" t="s">
        <v>1420</v>
      </c>
      <c r="P14" s="16" t="s">
        <v>508</v>
      </c>
      <c r="Q14" s="20">
        <v>45970</v>
      </c>
      <c r="R14" s="12" t="s">
        <v>4792</v>
      </c>
      <c r="S14" s="12" t="s">
        <v>626</v>
      </c>
      <c r="T14" s="20" t="s">
        <v>626</v>
      </c>
      <c r="U14" s="91" t="s">
        <v>626</v>
      </c>
      <c r="V14" s="12" t="s">
        <v>626</v>
      </c>
      <c r="W14" s="12"/>
      <c r="X14" s="20"/>
      <c r="Y14" s="12"/>
      <c r="Z14" s="12"/>
      <c r="AA14" s="20"/>
      <c r="AB14" s="91"/>
      <c r="AC14" s="12"/>
      <c r="AD14" s="12"/>
      <c r="AE14" s="20"/>
      <c r="AF14" s="12"/>
      <c r="AG14" s="12"/>
      <c r="AH14" s="20"/>
      <c r="AI14" s="20"/>
      <c r="AJ14" s="12"/>
      <c r="AK14" s="10"/>
      <c r="AL14" s="14"/>
      <c r="AM14" s="12"/>
      <c r="AN14" s="12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/>
      <c r="BF14" s="460"/>
    </row>
    <row r="15" spans="1:58" s="381" customFormat="1" ht="42" customHeight="1" x14ac:dyDescent="0.25">
      <c r="A15" s="367">
        <v>730007</v>
      </c>
      <c r="B15" s="79" t="s">
        <v>508</v>
      </c>
      <c r="C15" s="56" t="s">
        <v>627</v>
      </c>
      <c r="D15" s="12" t="s">
        <v>1611</v>
      </c>
      <c r="E15" s="12" t="s">
        <v>1612</v>
      </c>
      <c r="F15" s="16" t="s">
        <v>1613</v>
      </c>
      <c r="G15" s="10" t="s">
        <v>172</v>
      </c>
      <c r="H15" s="10" t="s">
        <v>145</v>
      </c>
      <c r="I15" s="16" t="s">
        <v>3</v>
      </c>
      <c r="J15" s="14">
        <v>45649</v>
      </c>
      <c r="K15" s="12" t="s">
        <v>1614</v>
      </c>
      <c r="L15" s="20">
        <f t="shared" si="0"/>
        <v>45656</v>
      </c>
      <c r="M15" s="14">
        <v>45669</v>
      </c>
      <c r="N15" s="92">
        <f t="shared" si="1"/>
        <v>13</v>
      </c>
      <c r="O15" s="12" t="s">
        <v>1620</v>
      </c>
      <c r="P15" s="60" t="s">
        <v>14</v>
      </c>
      <c r="Q15" s="20">
        <v>45732</v>
      </c>
      <c r="R15" s="12" t="s">
        <v>2806</v>
      </c>
      <c r="S15" s="20">
        <f>Q15+7</f>
        <v>45739</v>
      </c>
      <c r="T15" s="20">
        <v>45732</v>
      </c>
      <c r="U15" s="91"/>
      <c r="V15" s="12" t="s">
        <v>2812</v>
      </c>
      <c r="W15" s="12" t="s">
        <v>508</v>
      </c>
      <c r="X15" s="20">
        <v>45914</v>
      </c>
      <c r="Y15" s="12" t="s">
        <v>4186</v>
      </c>
      <c r="Z15" s="12" t="s">
        <v>626</v>
      </c>
      <c r="AA15" s="20" t="s">
        <v>626</v>
      </c>
      <c r="AB15" s="91" t="s">
        <v>626</v>
      </c>
      <c r="AC15" s="12" t="s">
        <v>626</v>
      </c>
      <c r="AD15" s="12"/>
      <c r="AE15" s="20"/>
      <c r="AF15" s="12"/>
      <c r="AG15" s="12"/>
      <c r="AH15" s="20"/>
      <c r="AI15" s="20"/>
      <c r="AJ15" s="12"/>
      <c r="AK15" s="10"/>
      <c r="AL15" s="14"/>
      <c r="AM15" s="12"/>
      <c r="AN15" s="12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2"/>
      <c r="BF15" s="460"/>
    </row>
    <row r="16" spans="1:58" s="381" customFormat="1" ht="42" customHeight="1" x14ac:dyDescent="0.25">
      <c r="A16" s="367">
        <v>730007</v>
      </c>
      <c r="B16" s="79" t="s">
        <v>508</v>
      </c>
      <c r="C16" s="56" t="s">
        <v>627</v>
      </c>
      <c r="D16" s="12" t="s">
        <v>1792</v>
      </c>
      <c r="E16" s="12" t="s">
        <v>1793</v>
      </c>
      <c r="F16" s="16" t="s">
        <v>1791</v>
      </c>
      <c r="G16" s="10" t="s">
        <v>172</v>
      </c>
      <c r="H16" s="10" t="s">
        <v>145</v>
      </c>
      <c r="I16" s="16" t="s">
        <v>3</v>
      </c>
      <c r="J16" s="14">
        <v>45661</v>
      </c>
      <c r="K16" s="12" t="s">
        <v>1794</v>
      </c>
      <c r="L16" s="20">
        <f t="shared" si="0"/>
        <v>45668</v>
      </c>
      <c r="M16" s="14">
        <v>45678</v>
      </c>
      <c r="N16" s="92">
        <f t="shared" si="1"/>
        <v>10</v>
      </c>
      <c r="O16" s="12" t="s">
        <v>1869</v>
      </c>
      <c r="P16" s="16" t="s">
        <v>508</v>
      </c>
      <c r="Q16" s="20">
        <v>45970</v>
      </c>
      <c r="R16" s="12" t="s">
        <v>4794</v>
      </c>
      <c r="S16" s="12" t="s">
        <v>626</v>
      </c>
      <c r="T16" s="20" t="s">
        <v>626</v>
      </c>
      <c r="U16" s="91" t="s">
        <v>626</v>
      </c>
      <c r="V16" s="12" t="s">
        <v>626</v>
      </c>
      <c r="W16" s="12"/>
      <c r="X16" s="20"/>
      <c r="Y16" s="12"/>
      <c r="Z16" s="12"/>
      <c r="AA16" s="20"/>
      <c r="AB16" s="91"/>
      <c r="AC16" s="12"/>
      <c r="AD16" s="12"/>
      <c r="AE16" s="20"/>
      <c r="AF16" s="12"/>
      <c r="AG16" s="12"/>
      <c r="AH16" s="20"/>
      <c r="AI16" s="20"/>
      <c r="AJ16" s="12"/>
      <c r="AK16" s="10"/>
      <c r="AL16" s="14"/>
      <c r="AM16" s="12"/>
      <c r="AN16" s="12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2"/>
      <c r="BF16" s="460"/>
    </row>
    <row r="17" spans="1:58" s="381" customFormat="1" ht="42" customHeight="1" x14ac:dyDescent="0.25">
      <c r="A17" s="367">
        <v>730007</v>
      </c>
      <c r="B17" s="11" t="s">
        <v>5</v>
      </c>
      <c r="C17" s="56" t="s">
        <v>588</v>
      </c>
      <c r="D17" s="12" t="s">
        <v>1949</v>
      </c>
      <c r="E17" s="12" t="s">
        <v>1950</v>
      </c>
      <c r="F17" s="16" t="s">
        <v>1951</v>
      </c>
      <c r="G17" s="10" t="s">
        <v>172</v>
      </c>
      <c r="H17" s="10" t="s">
        <v>145</v>
      </c>
      <c r="I17" s="16" t="s">
        <v>3</v>
      </c>
      <c r="J17" s="14">
        <v>45669</v>
      </c>
      <c r="K17" s="12" t="s">
        <v>1952</v>
      </c>
      <c r="L17" s="20">
        <f t="shared" si="0"/>
        <v>45676</v>
      </c>
      <c r="M17" s="14">
        <v>45684</v>
      </c>
      <c r="N17" s="92">
        <f t="shared" si="1"/>
        <v>8</v>
      </c>
      <c r="O17" s="12" t="s">
        <v>1960</v>
      </c>
      <c r="P17" s="16" t="s">
        <v>18</v>
      </c>
      <c r="Q17" s="20">
        <v>45699</v>
      </c>
      <c r="R17" s="12" t="s">
        <v>2419</v>
      </c>
      <c r="S17" s="20">
        <f>Q17+7</f>
        <v>45706</v>
      </c>
      <c r="T17" s="20">
        <v>45725</v>
      </c>
      <c r="U17" s="92">
        <f>T17-S17</f>
        <v>19</v>
      </c>
      <c r="V17" s="12" t="s">
        <v>2428</v>
      </c>
      <c r="W17" s="12" t="s">
        <v>5</v>
      </c>
      <c r="X17" s="20">
        <v>45969</v>
      </c>
      <c r="Y17" s="12" t="s">
        <v>4788</v>
      </c>
      <c r="Z17" s="20">
        <f>X17+7</f>
        <v>45976</v>
      </c>
      <c r="AA17" s="20">
        <v>45978</v>
      </c>
      <c r="AB17" s="92">
        <f>AA17-Z17</f>
        <v>2</v>
      </c>
      <c r="AC17" s="12" t="s">
        <v>4833</v>
      </c>
      <c r="AD17" s="12"/>
      <c r="AE17" s="20"/>
      <c r="AF17" s="12"/>
      <c r="AG17" s="12"/>
      <c r="AH17" s="20"/>
      <c r="AI17" s="20"/>
      <c r="AJ17" s="12"/>
      <c r="AK17" s="10"/>
      <c r="AL17" s="14"/>
      <c r="AM17" s="12"/>
      <c r="AN17" s="12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2"/>
      <c r="BF17" s="460"/>
    </row>
    <row r="18" spans="1:58" s="381" customFormat="1" ht="42" customHeight="1" x14ac:dyDescent="0.25">
      <c r="A18" s="367">
        <v>730007</v>
      </c>
      <c r="B18" s="11" t="s">
        <v>5</v>
      </c>
      <c r="C18" s="56" t="s">
        <v>54</v>
      </c>
      <c r="D18" s="12" t="s">
        <v>2942</v>
      </c>
      <c r="E18" s="12" t="s">
        <v>2943</v>
      </c>
      <c r="F18" s="16" t="s">
        <v>2944</v>
      </c>
      <c r="G18" s="10" t="s">
        <v>172</v>
      </c>
      <c r="H18" s="10" t="s">
        <v>145</v>
      </c>
      <c r="I18" s="11" t="s">
        <v>5</v>
      </c>
      <c r="J18" s="14">
        <v>45753</v>
      </c>
      <c r="K18" s="12" t="s">
        <v>2945</v>
      </c>
      <c r="L18" s="20">
        <f t="shared" ref="L18:L31" si="2">J18+7</f>
        <v>45760</v>
      </c>
      <c r="M18" s="14">
        <v>45759</v>
      </c>
      <c r="N18" s="92">
        <f t="shared" si="1"/>
        <v>-1</v>
      </c>
      <c r="O18" s="12" t="s">
        <v>2946</v>
      </c>
      <c r="P18" s="16"/>
      <c r="Q18" s="20"/>
      <c r="R18" s="12"/>
      <c r="S18" s="12"/>
      <c r="T18" s="20"/>
      <c r="U18" s="91"/>
      <c r="V18" s="12"/>
      <c r="W18" s="12"/>
      <c r="X18" s="20"/>
      <c r="Y18" s="12"/>
      <c r="Z18" s="12"/>
      <c r="AA18" s="20"/>
      <c r="AB18" s="91"/>
      <c r="AC18" s="12"/>
      <c r="AD18" s="12"/>
      <c r="AE18" s="20"/>
      <c r="AF18" s="12"/>
      <c r="AG18" s="12"/>
      <c r="AH18" s="20"/>
      <c r="AI18" s="20"/>
      <c r="AJ18" s="12"/>
      <c r="AK18" s="10"/>
      <c r="AL18" s="14"/>
      <c r="AM18" s="12"/>
      <c r="AN18" s="12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2"/>
      <c r="BF18" s="460"/>
    </row>
    <row r="19" spans="1:58" s="381" customFormat="1" ht="42" customHeight="1" x14ac:dyDescent="0.25">
      <c r="A19" s="367">
        <v>730007</v>
      </c>
      <c r="B19" s="11" t="s">
        <v>5</v>
      </c>
      <c r="C19" s="56" t="s">
        <v>208</v>
      </c>
      <c r="D19" s="12" t="s">
        <v>2973</v>
      </c>
      <c r="E19" s="12" t="s">
        <v>2974</v>
      </c>
      <c r="F19" s="16" t="s">
        <v>2975</v>
      </c>
      <c r="G19" s="10" t="s">
        <v>172</v>
      </c>
      <c r="H19" s="10" t="s">
        <v>145</v>
      </c>
      <c r="I19" s="11" t="s">
        <v>18</v>
      </c>
      <c r="J19" s="14">
        <v>45761</v>
      </c>
      <c r="K19" s="12" t="s">
        <v>2976</v>
      </c>
      <c r="L19" s="20">
        <f t="shared" si="2"/>
        <v>45768</v>
      </c>
      <c r="M19" s="14">
        <v>45771</v>
      </c>
      <c r="N19" s="92">
        <f t="shared" si="1"/>
        <v>3</v>
      </c>
      <c r="O19" s="12" t="s">
        <v>2980</v>
      </c>
      <c r="P19" s="16" t="s">
        <v>5</v>
      </c>
      <c r="Q19" s="20">
        <v>45960</v>
      </c>
      <c r="R19" s="12" t="s">
        <v>4645</v>
      </c>
      <c r="S19" s="20">
        <f t="shared" ref="S19:S29" si="3">Q19+7</f>
        <v>45967</v>
      </c>
      <c r="T19" s="20">
        <v>45971</v>
      </c>
      <c r="U19" s="92">
        <f t="shared" ref="U19:U27" si="4">T19-S19</f>
        <v>4</v>
      </c>
      <c r="V19" s="12" t="s">
        <v>4688</v>
      </c>
      <c r="W19" s="12"/>
      <c r="X19" s="20"/>
      <c r="Y19" s="12"/>
      <c r="Z19" s="12"/>
      <c r="AA19" s="20"/>
      <c r="AB19" s="91"/>
      <c r="AC19" s="12"/>
      <c r="AD19" s="12"/>
      <c r="AE19" s="20"/>
      <c r="AF19" s="12"/>
      <c r="AG19" s="12"/>
      <c r="AH19" s="20"/>
      <c r="AI19" s="20"/>
      <c r="AJ19" s="12"/>
      <c r="AK19" s="10"/>
      <c r="AL19" s="14"/>
      <c r="AM19" s="12"/>
      <c r="AN19" s="12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2"/>
      <c r="BF19" s="460"/>
    </row>
    <row r="20" spans="1:58" s="381" customFormat="1" ht="42" customHeight="1" x14ac:dyDescent="0.25">
      <c r="A20" s="367">
        <v>730007</v>
      </c>
      <c r="B20" s="11" t="s">
        <v>5</v>
      </c>
      <c r="C20" s="56" t="s">
        <v>208</v>
      </c>
      <c r="D20" s="12" t="s">
        <v>3009</v>
      </c>
      <c r="E20" s="12" t="s">
        <v>3010</v>
      </c>
      <c r="F20" s="16" t="s">
        <v>4667</v>
      </c>
      <c r="G20" s="10" t="s">
        <v>172</v>
      </c>
      <c r="H20" s="10" t="s">
        <v>145</v>
      </c>
      <c r="I20" s="11" t="s">
        <v>18</v>
      </c>
      <c r="J20" s="14">
        <v>45763</v>
      </c>
      <c r="K20" s="12" t="s">
        <v>3011</v>
      </c>
      <c r="L20" s="20">
        <f t="shared" si="2"/>
        <v>45770</v>
      </c>
      <c r="M20" s="14">
        <v>45771</v>
      </c>
      <c r="N20" s="92">
        <f t="shared" si="1"/>
        <v>1</v>
      </c>
      <c r="O20" s="12" t="s">
        <v>3019</v>
      </c>
      <c r="P20" s="16" t="s">
        <v>5</v>
      </c>
      <c r="Q20" s="20">
        <v>45962</v>
      </c>
      <c r="R20" s="12" t="s">
        <v>4668</v>
      </c>
      <c r="S20" s="20">
        <f t="shared" si="3"/>
        <v>45969</v>
      </c>
      <c r="T20" s="20">
        <v>45971</v>
      </c>
      <c r="U20" s="92">
        <f t="shared" si="4"/>
        <v>2</v>
      </c>
      <c r="V20" s="12" t="s">
        <v>4687</v>
      </c>
      <c r="W20" s="12"/>
      <c r="X20" s="20"/>
      <c r="Y20" s="12"/>
      <c r="Z20" s="12"/>
      <c r="AA20" s="20"/>
      <c r="AB20" s="91"/>
      <c r="AC20" s="12"/>
      <c r="AD20" s="12"/>
      <c r="AE20" s="20"/>
      <c r="AF20" s="12"/>
      <c r="AG20" s="12"/>
      <c r="AH20" s="20"/>
      <c r="AI20" s="20"/>
      <c r="AJ20" s="12"/>
      <c r="AK20" s="10"/>
      <c r="AL20" s="14"/>
      <c r="AM20" s="12"/>
      <c r="AN20" s="12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2"/>
      <c r="BF20" s="460"/>
    </row>
    <row r="21" spans="1:58" s="381" customFormat="1" ht="42" customHeight="1" x14ac:dyDescent="0.25">
      <c r="A21" s="367">
        <v>730007</v>
      </c>
      <c r="B21" s="11" t="s">
        <v>5</v>
      </c>
      <c r="C21" s="56" t="s">
        <v>208</v>
      </c>
      <c r="D21" s="12" t="s">
        <v>3052</v>
      </c>
      <c r="E21" s="12" t="s">
        <v>3053</v>
      </c>
      <c r="F21" s="16" t="s">
        <v>3055</v>
      </c>
      <c r="G21" s="10" t="s">
        <v>172</v>
      </c>
      <c r="H21" s="10" t="s">
        <v>145</v>
      </c>
      <c r="I21" s="11" t="s">
        <v>18</v>
      </c>
      <c r="J21" s="14">
        <v>45768</v>
      </c>
      <c r="K21" s="12" t="s">
        <v>3056</v>
      </c>
      <c r="L21" s="20">
        <f t="shared" si="2"/>
        <v>45775</v>
      </c>
      <c r="M21" s="14">
        <v>45777</v>
      </c>
      <c r="N21" s="92">
        <f t="shared" si="1"/>
        <v>2</v>
      </c>
      <c r="O21" s="12" t="s">
        <v>3063</v>
      </c>
      <c r="P21" s="16" t="s">
        <v>5</v>
      </c>
      <c r="Q21" s="20">
        <v>45967</v>
      </c>
      <c r="R21" s="12" t="s">
        <v>4764</v>
      </c>
      <c r="S21" s="20">
        <f t="shared" si="3"/>
        <v>45974</v>
      </c>
      <c r="T21" s="20">
        <v>45974</v>
      </c>
      <c r="U21" s="92">
        <f t="shared" si="4"/>
        <v>0</v>
      </c>
      <c r="V21" s="12" t="s">
        <v>4772</v>
      </c>
      <c r="W21" s="12"/>
      <c r="X21" s="20"/>
      <c r="Y21" s="12"/>
      <c r="Z21" s="12"/>
      <c r="AA21" s="20"/>
      <c r="AB21" s="91"/>
      <c r="AC21" s="12"/>
      <c r="AD21" s="12"/>
      <c r="AE21" s="20"/>
      <c r="AF21" s="12"/>
      <c r="AG21" s="12"/>
      <c r="AH21" s="20"/>
      <c r="AI21" s="20"/>
      <c r="AJ21" s="12"/>
      <c r="AK21" s="10"/>
      <c r="AL21" s="14"/>
      <c r="AM21" s="12"/>
      <c r="AN21" s="12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2"/>
      <c r="BF21" s="460"/>
    </row>
    <row r="22" spans="1:58" s="381" customFormat="1" ht="42" customHeight="1" x14ac:dyDescent="0.25">
      <c r="A22" s="367">
        <v>730007</v>
      </c>
      <c r="B22" s="11" t="s">
        <v>5</v>
      </c>
      <c r="C22" s="56" t="s">
        <v>208</v>
      </c>
      <c r="D22" s="12" t="s">
        <v>3074</v>
      </c>
      <c r="E22" s="12" t="s">
        <v>3076</v>
      </c>
      <c r="F22" s="16" t="s">
        <v>3075</v>
      </c>
      <c r="G22" s="10" t="s">
        <v>172</v>
      </c>
      <c r="H22" s="10" t="s">
        <v>145</v>
      </c>
      <c r="I22" s="11" t="s">
        <v>18</v>
      </c>
      <c r="J22" s="14">
        <v>45773</v>
      </c>
      <c r="K22" s="13" t="s">
        <v>3077</v>
      </c>
      <c r="L22" s="14">
        <f t="shared" si="2"/>
        <v>45780</v>
      </c>
      <c r="M22" s="14">
        <v>45782</v>
      </c>
      <c r="N22" s="92">
        <f t="shared" si="1"/>
        <v>2</v>
      </c>
      <c r="O22" s="10" t="s">
        <v>3102</v>
      </c>
      <c r="P22" s="16" t="s">
        <v>5</v>
      </c>
      <c r="Q22" s="20">
        <v>45967</v>
      </c>
      <c r="R22" s="12" t="s">
        <v>4766</v>
      </c>
      <c r="S22" s="20">
        <f t="shared" si="3"/>
        <v>45974</v>
      </c>
      <c r="T22" s="20">
        <v>45974</v>
      </c>
      <c r="U22" s="92">
        <f t="shared" si="4"/>
        <v>0</v>
      </c>
      <c r="V22" s="10" t="s">
        <v>4774</v>
      </c>
      <c r="W22" s="10"/>
      <c r="X22" s="21"/>
      <c r="Y22" s="10"/>
      <c r="Z22" s="10"/>
      <c r="AA22" s="21"/>
      <c r="AB22" s="95"/>
      <c r="AC22" s="10"/>
      <c r="AD22" s="10"/>
      <c r="AE22" s="21"/>
      <c r="AF22" s="10"/>
      <c r="AG22" s="10"/>
      <c r="AH22" s="21"/>
      <c r="AI22" s="21"/>
      <c r="AJ22" s="10"/>
      <c r="AK22" s="10"/>
      <c r="AL22" s="17"/>
      <c r="AM22" s="11"/>
      <c r="AN22" s="11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1"/>
      <c r="BF22" s="460"/>
    </row>
    <row r="23" spans="1:58" s="381" customFormat="1" ht="42" customHeight="1" x14ac:dyDescent="0.25">
      <c r="A23" s="367">
        <v>730007</v>
      </c>
      <c r="B23" s="11" t="s">
        <v>5</v>
      </c>
      <c r="C23" s="56" t="s">
        <v>588</v>
      </c>
      <c r="D23" s="12" t="s">
        <v>3093</v>
      </c>
      <c r="E23" s="12" t="s">
        <v>3094</v>
      </c>
      <c r="F23" s="16" t="s">
        <v>3095</v>
      </c>
      <c r="G23" s="10" t="s">
        <v>172</v>
      </c>
      <c r="H23" s="10" t="s">
        <v>145</v>
      </c>
      <c r="I23" s="11" t="s">
        <v>3</v>
      </c>
      <c r="J23" s="14">
        <v>45774</v>
      </c>
      <c r="K23" s="13" t="s">
        <v>3096</v>
      </c>
      <c r="L23" s="14">
        <f t="shared" si="2"/>
        <v>45781</v>
      </c>
      <c r="M23" s="14">
        <v>45792</v>
      </c>
      <c r="N23" s="92">
        <f t="shared" si="1"/>
        <v>11</v>
      </c>
      <c r="O23" s="10" t="s">
        <v>3253</v>
      </c>
      <c r="P23" s="10" t="s">
        <v>18</v>
      </c>
      <c r="Q23" s="21">
        <v>45809</v>
      </c>
      <c r="R23" s="150" t="s">
        <v>3421</v>
      </c>
      <c r="S23" s="14">
        <f t="shared" si="3"/>
        <v>45816</v>
      </c>
      <c r="T23" s="21">
        <v>45829</v>
      </c>
      <c r="U23" s="92">
        <f t="shared" si="4"/>
        <v>13</v>
      </c>
      <c r="V23" s="186" t="s">
        <v>3445</v>
      </c>
      <c r="W23" s="10" t="s">
        <v>5</v>
      </c>
      <c r="X23" s="21">
        <v>45834</v>
      </c>
      <c r="Y23" s="150" t="s">
        <v>3421</v>
      </c>
      <c r="Z23" s="14">
        <f>X23+7</f>
        <v>45841</v>
      </c>
      <c r="AA23" s="21">
        <v>45839</v>
      </c>
      <c r="AB23" s="91">
        <f>AA23-Z23</f>
        <v>-2</v>
      </c>
      <c r="AC23" s="151" t="s">
        <v>3544</v>
      </c>
      <c r="AD23" s="10"/>
      <c r="AE23" s="21"/>
      <c r="AF23" s="10"/>
      <c r="AG23" s="10"/>
      <c r="AH23" s="21"/>
      <c r="AI23" s="21"/>
      <c r="AJ23" s="10"/>
      <c r="AK23" s="10"/>
      <c r="AL23" s="17"/>
      <c r="AM23" s="11"/>
      <c r="AN23" s="11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1"/>
      <c r="BF23" s="460"/>
    </row>
    <row r="24" spans="1:58" s="381" customFormat="1" ht="42" customHeight="1" x14ac:dyDescent="0.25">
      <c r="A24" s="367">
        <v>730007</v>
      </c>
      <c r="B24" s="11" t="s">
        <v>5</v>
      </c>
      <c r="C24" s="56" t="s">
        <v>208</v>
      </c>
      <c r="D24" s="12" t="s">
        <v>3643</v>
      </c>
      <c r="E24" s="12" t="s">
        <v>3644</v>
      </c>
      <c r="F24" s="16" t="s">
        <v>3645</v>
      </c>
      <c r="G24" s="10" t="s">
        <v>172</v>
      </c>
      <c r="H24" s="10" t="s">
        <v>145</v>
      </c>
      <c r="I24" s="11" t="s">
        <v>18</v>
      </c>
      <c r="J24" s="14">
        <v>45851</v>
      </c>
      <c r="K24" s="150" t="s">
        <v>3646</v>
      </c>
      <c r="L24" s="14">
        <f t="shared" si="2"/>
        <v>45858</v>
      </c>
      <c r="M24" s="14">
        <v>45859</v>
      </c>
      <c r="N24" s="92">
        <f t="shared" si="1"/>
        <v>1</v>
      </c>
      <c r="O24" s="10" t="s">
        <v>3659</v>
      </c>
      <c r="P24" s="10" t="s">
        <v>5</v>
      </c>
      <c r="Q24" s="21">
        <v>45963</v>
      </c>
      <c r="R24" s="150" t="s">
        <v>4675</v>
      </c>
      <c r="S24" s="14">
        <f t="shared" si="3"/>
        <v>45970</v>
      </c>
      <c r="T24" s="21">
        <v>45971</v>
      </c>
      <c r="U24" s="92">
        <f t="shared" si="4"/>
        <v>1</v>
      </c>
      <c r="V24" s="186" t="s">
        <v>4720</v>
      </c>
      <c r="W24" s="10"/>
      <c r="X24" s="21"/>
      <c r="Y24" s="150"/>
      <c r="Z24" s="14"/>
      <c r="AA24" s="21"/>
      <c r="AB24" s="91"/>
      <c r="AC24" s="151"/>
      <c r="AD24" s="10"/>
      <c r="AE24" s="21"/>
      <c r="AF24" s="10"/>
      <c r="AG24" s="10"/>
      <c r="AH24" s="21"/>
      <c r="AI24" s="21"/>
      <c r="AJ24" s="10"/>
      <c r="AK24" s="10"/>
      <c r="AL24" s="17"/>
      <c r="AM24" s="11"/>
      <c r="AN24" s="11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1"/>
      <c r="BF24" s="460"/>
    </row>
    <row r="25" spans="1:58" s="381" customFormat="1" ht="42" customHeight="1" x14ac:dyDescent="0.25">
      <c r="A25" s="367">
        <v>730007</v>
      </c>
      <c r="B25" s="11" t="s">
        <v>5</v>
      </c>
      <c r="C25" s="56" t="s">
        <v>208</v>
      </c>
      <c r="D25" s="12" t="s">
        <v>3809</v>
      </c>
      <c r="E25" s="200" t="s">
        <v>3810</v>
      </c>
      <c r="F25" s="16" t="s">
        <v>3811</v>
      </c>
      <c r="G25" s="10" t="s">
        <v>172</v>
      </c>
      <c r="H25" s="10" t="s">
        <v>145</v>
      </c>
      <c r="I25" s="11" t="s">
        <v>18</v>
      </c>
      <c r="J25" s="14">
        <v>45865</v>
      </c>
      <c r="K25" s="150" t="s">
        <v>3812</v>
      </c>
      <c r="L25" s="14">
        <f t="shared" si="2"/>
        <v>45872</v>
      </c>
      <c r="M25" s="14">
        <v>45872</v>
      </c>
      <c r="N25" s="92">
        <f t="shared" si="1"/>
        <v>0</v>
      </c>
      <c r="O25" s="10" t="s">
        <v>3818</v>
      </c>
      <c r="P25" s="10" t="s">
        <v>5</v>
      </c>
      <c r="Q25" s="21">
        <v>45969</v>
      </c>
      <c r="R25" s="150" t="s">
        <v>4782</v>
      </c>
      <c r="S25" s="14">
        <f t="shared" si="3"/>
        <v>45976</v>
      </c>
      <c r="T25" s="21">
        <v>45978</v>
      </c>
      <c r="U25" s="92">
        <f t="shared" si="4"/>
        <v>2</v>
      </c>
      <c r="V25" s="186" t="s">
        <v>4827</v>
      </c>
      <c r="W25" s="10"/>
      <c r="X25" s="21"/>
      <c r="Y25" s="150"/>
      <c r="Z25" s="14"/>
      <c r="AA25" s="21"/>
      <c r="AB25" s="91"/>
      <c r="AC25" s="10"/>
      <c r="AD25" s="10"/>
      <c r="AE25" s="21"/>
      <c r="AF25" s="10"/>
      <c r="AG25" s="10"/>
      <c r="AH25" s="21"/>
      <c r="AI25" s="21"/>
      <c r="AJ25" s="10"/>
      <c r="AK25" s="10"/>
      <c r="AL25" s="17"/>
      <c r="AM25" s="11"/>
      <c r="AN25" s="11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1"/>
      <c r="BF25" s="460"/>
    </row>
    <row r="26" spans="1:58" s="381" customFormat="1" ht="42" customHeight="1" x14ac:dyDescent="0.25">
      <c r="A26" s="367">
        <v>730007</v>
      </c>
      <c r="B26" s="11" t="s">
        <v>5</v>
      </c>
      <c r="C26" s="56" t="s">
        <v>208</v>
      </c>
      <c r="D26" s="12" t="s">
        <v>4926</v>
      </c>
      <c r="E26" s="200" t="s">
        <v>4928</v>
      </c>
      <c r="F26" s="16" t="s">
        <v>5265</v>
      </c>
      <c r="G26" s="10" t="s">
        <v>172</v>
      </c>
      <c r="H26" s="10" t="s">
        <v>145</v>
      </c>
      <c r="I26" s="11" t="s">
        <v>18</v>
      </c>
      <c r="J26" s="14">
        <v>45977</v>
      </c>
      <c r="K26" s="150" t="s">
        <v>4929</v>
      </c>
      <c r="L26" s="14">
        <f t="shared" si="2"/>
        <v>45984</v>
      </c>
      <c r="M26" s="14">
        <v>45985</v>
      </c>
      <c r="N26" s="92">
        <f t="shared" si="1"/>
        <v>1</v>
      </c>
      <c r="O26" s="10" t="s">
        <v>4942</v>
      </c>
      <c r="P26" s="10" t="s">
        <v>5</v>
      </c>
      <c r="Q26" s="21">
        <v>46006</v>
      </c>
      <c r="R26" s="150" t="s">
        <v>5266</v>
      </c>
      <c r="S26" s="14">
        <f>Q26+7</f>
        <v>46013</v>
      </c>
      <c r="T26" s="21">
        <v>46015</v>
      </c>
      <c r="U26" s="92">
        <f t="shared" si="4"/>
        <v>2</v>
      </c>
      <c r="V26" s="186" t="s">
        <v>5299</v>
      </c>
      <c r="W26" s="10"/>
      <c r="X26" s="21"/>
      <c r="Y26" s="150"/>
      <c r="Z26" s="14"/>
      <c r="AA26" s="21"/>
      <c r="AB26" s="91"/>
      <c r="AC26" s="10"/>
      <c r="AD26" s="10"/>
      <c r="AE26" s="21"/>
      <c r="AF26" s="10"/>
      <c r="AG26" s="10"/>
      <c r="AH26" s="21"/>
      <c r="AI26" s="21"/>
      <c r="AJ26" s="10"/>
      <c r="AK26" s="10"/>
      <c r="AL26" s="17"/>
      <c r="AM26" s="11"/>
      <c r="AN26" s="11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1"/>
      <c r="BF26" s="460"/>
    </row>
    <row r="27" spans="1:58" s="381" customFormat="1" ht="42" customHeight="1" x14ac:dyDescent="0.25">
      <c r="A27" s="367">
        <v>730007</v>
      </c>
      <c r="B27" s="11" t="s">
        <v>5</v>
      </c>
      <c r="C27" s="56" t="s">
        <v>725</v>
      </c>
      <c r="D27" s="12" t="s">
        <v>4927</v>
      </c>
      <c r="E27" s="200" t="s">
        <v>4930</v>
      </c>
      <c r="F27" s="16" t="s">
        <v>5363</v>
      </c>
      <c r="G27" s="10" t="s">
        <v>172</v>
      </c>
      <c r="H27" s="10" t="s">
        <v>145</v>
      </c>
      <c r="I27" s="11" t="s">
        <v>3</v>
      </c>
      <c r="J27" s="14">
        <v>45977</v>
      </c>
      <c r="K27" s="150" t="s">
        <v>4931</v>
      </c>
      <c r="L27" s="14">
        <f t="shared" si="2"/>
        <v>45984</v>
      </c>
      <c r="M27" s="14">
        <v>45987</v>
      </c>
      <c r="N27" s="92">
        <f t="shared" ref="N27:N33" si="5">M27-L27</f>
        <v>3</v>
      </c>
      <c r="O27" s="10" t="s">
        <v>4944</v>
      </c>
      <c r="P27" s="11" t="s">
        <v>3</v>
      </c>
      <c r="Q27" s="21">
        <v>45999</v>
      </c>
      <c r="R27" s="150" t="s">
        <v>5166</v>
      </c>
      <c r="S27" s="14">
        <f t="shared" si="3"/>
        <v>46006</v>
      </c>
      <c r="T27" s="21">
        <v>46007</v>
      </c>
      <c r="U27" s="92">
        <f t="shared" si="4"/>
        <v>1</v>
      </c>
      <c r="V27" s="186" t="s">
        <v>5173</v>
      </c>
      <c r="W27" s="11" t="s">
        <v>18</v>
      </c>
      <c r="X27" s="21">
        <v>46014</v>
      </c>
      <c r="Y27" s="150" t="s">
        <v>5364</v>
      </c>
      <c r="Z27" s="14">
        <f>X27+7</f>
        <v>46021</v>
      </c>
      <c r="AA27" s="21">
        <v>46022</v>
      </c>
      <c r="AB27" s="92">
        <f>AA27-Z27</f>
        <v>1</v>
      </c>
      <c r="AC27" s="10" t="s">
        <v>5370</v>
      </c>
      <c r="AD27" s="10" t="s">
        <v>5</v>
      </c>
      <c r="AE27" s="21">
        <v>46025</v>
      </c>
      <c r="AF27" s="10" t="s">
        <v>5449</v>
      </c>
      <c r="AG27" s="14">
        <f>AE27+7</f>
        <v>46032</v>
      </c>
      <c r="AH27" s="21">
        <v>46033</v>
      </c>
      <c r="AI27" s="92">
        <f>AH27-AG27</f>
        <v>1</v>
      </c>
      <c r="AJ27" s="10" t="s">
        <v>5455</v>
      </c>
      <c r="AK27" s="10"/>
      <c r="AL27" s="17"/>
      <c r="AM27" s="11"/>
      <c r="AN27" s="11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1"/>
      <c r="BF27" s="460"/>
    </row>
    <row r="28" spans="1:58" s="381" customFormat="1" ht="42" customHeight="1" x14ac:dyDescent="0.25">
      <c r="A28" s="367">
        <v>730007</v>
      </c>
      <c r="B28" s="11" t="s">
        <v>5</v>
      </c>
      <c r="C28" s="56" t="s">
        <v>208</v>
      </c>
      <c r="D28" s="12" t="s">
        <v>5010</v>
      </c>
      <c r="E28" s="209" t="s">
        <v>5011</v>
      </c>
      <c r="F28" s="16" t="s">
        <v>5012</v>
      </c>
      <c r="G28" s="10" t="s">
        <v>172</v>
      </c>
      <c r="H28" s="10" t="s">
        <v>145</v>
      </c>
      <c r="I28" s="11" t="s">
        <v>18</v>
      </c>
      <c r="J28" s="14">
        <v>45983</v>
      </c>
      <c r="K28" s="150" t="s">
        <v>5013</v>
      </c>
      <c r="L28" s="14">
        <f t="shared" si="2"/>
        <v>45990</v>
      </c>
      <c r="M28" s="14">
        <v>45992</v>
      </c>
      <c r="N28" s="92">
        <f t="shared" si="5"/>
        <v>2</v>
      </c>
      <c r="O28" s="10" t="s">
        <v>5022</v>
      </c>
      <c r="P28" s="10" t="s">
        <v>5</v>
      </c>
      <c r="Q28" s="21">
        <v>46019</v>
      </c>
      <c r="R28" s="150" t="s">
        <v>5413</v>
      </c>
      <c r="S28" s="14">
        <f t="shared" si="3"/>
        <v>46026</v>
      </c>
      <c r="T28" s="21">
        <v>46027</v>
      </c>
      <c r="U28" s="92">
        <f>T28-S28</f>
        <v>1</v>
      </c>
      <c r="V28" s="186" t="s">
        <v>5415</v>
      </c>
      <c r="W28" s="10"/>
      <c r="X28" s="21"/>
      <c r="Y28" s="150"/>
      <c r="Z28" s="14"/>
      <c r="AA28" s="21"/>
      <c r="AB28" s="91"/>
      <c r="AC28" s="10"/>
      <c r="AD28" s="10"/>
      <c r="AE28" s="21"/>
      <c r="AF28" s="10"/>
      <c r="AG28" s="10"/>
      <c r="AH28" s="21"/>
      <c r="AI28" s="21"/>
      <c r="AJ28" s="10"/>
      <c r="AK28" s="10"/>
      <c r="AL28" s="17"/>
      <c r="AM28" s="11"/>
      <c r="AN28" s="11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1"/>
      <c r="BF28" s="460"/>
    </row>
    <row r="29" spans="1:58" s="381" customFormat="1" ht="42" customHeight="1" x14ac:dyDescent="0.25">
      <c r="A29" s="367">
        <v>730007</v>
      </c>
      <c r="B29" s="11" t="s">
        <v>5</v>
      </c>
      <c r="C29" s="56" t="s">
        <v>208</v>
      </c>
      <c r="D29" s="12" t="s">
        <v>5161</v>
      </c>
      <c r="E29" s="209" t="s">
        <v>5162</v>
      </c>
      <c r="F29" s="16" t="s">
        <v>5164</v>
      </c>
      <c r="G29" s="10" t="s">
        <v>172</v>
      </c>
      <c r="H29" s="10" t="s">
        <v>145</v>
      </c>
      <c r="I29" s="11" t="s">
        <v>18</v>
      </c>
      <c r="J29" s="14">
        <v>45999</v>
      </c>
      <c r="K29" s="150" t="s">
        <v>5165</v>
      </c>
      <c r="L29" s="14">
        <f t="shared" si="2"/>
        <v>46006</v>
      </c>
      <c r="M29" s="14">
        <v>46009</v>
      </c>
      <c r="N29" s="92">
        <f t="shared" si="5"/>
        <v>3</v>
      </c>
      <c r="O29" s="10" t="s">
        <v>5174</v>
      </c>
      <c r="P29" s="10" t="s">
        <v>5</v>
      </c>
      <c r="Q29" s="21">
        <v>46028</v>
      </c>
      <c r="R29" s="150" t="s">
        <v>5504</v>
      </c>
      <c r="S29" s="14">
        <f t="shared" si="3"/>
        <v>46035</v>
      </c>
      <c r="T29" s="21">
        <v>46037</v>
      </c>
      <c r="U29" s="92">
        <f>T29-S29</f>
        <v>2</v>
      </c>
      <c r="V29" s="186" t="s">
        <v>5512</v>
      </c>
      <c r="W29" s="10"/>
      <c r="X29" s="21"/>
      <c r="Y29" s="150"/>
      <c r="Z29" s="14"/>
      <c r="AA29" s="21"/>
      <c r="AB29" s="91"/>
      <c r="AC29" s="151"/>
      <c r="AD29" s="10"/>
      <c r="AE29" s="21"/>
      <c r="AF29" s="10"/>
      <c r="AG29" s="10"/>
      <c r="AH29" s="21"/>
      <c r="AI29" s="21"/>
      <c r="AJ29" s="10"/>
      <c r="AK29" s="10"/>
      <c r="AL29" s="17"/>
      <c r="AM29" s="11"/>
      <c r="AN29" s="11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1"/>
      <c r="BF29" s="460"/>
    </row>
    <row r="30" spans="1:58" s="381" customFormat="1" ht="42" customHeight="1" x14ac:dyDescent="0.25">
      <c r="A30" s="367">
        <v>730007</v>
      </c>
      <c r="B30" s="11" t="s">
        <v>18</v>
      </c>
      <c r="C30" s="56" t="s">
        <v>54</v>
      </c>
      <c r="D30" s="12" t="s">
        <v>5163</v>
      </c>
      <c r="E30" s="209" t="s">
        <v>6280</v>
      </c>
      <c r="F30" s="16" t="s">
        <v>6281</v>
      </c>
      <c r="G30" s="10" t="s">
        <v>172</v>
      </c>
      <c r="H30" s="10" t="s">
        <v>145</v>
      </c>
      <c r="I30" s="11" t="s">
        <v>18</v>
      </c>
      <c r="J30" s="14">
        <v>46119</v>
      </c>
      <c r="K30" s="150" t="s">
        <v>6282</v>
      </c>
      <c r="L30" s="14">
        <f t="shared" si="2"/>
        <v>46126</v>
      </c>
      <c r="M30" s="14">
        <v>46127</v>
      </c>
      <c r="N30" s="92">
        <f t="shared" si="5"/>
        <v>1</v>
      </c>
      <c r="O30" s="10" t="s">
        <v>6300</v>
      </c>
      <c r="P30" s="10"/>
      <c r="Q30" s="21"/>
      <c r="R30" s="150"/>
      <c r="S30" s="14"/>
      <c r="T30" s="21"/>
      <c r="U30" s="92"/>
      <c r="V30" s="186"/>
      <c r="W30" s="10"/>
      <c r="X30" s="21"/>
      <c r="Y30" s="150"/>
      <c r="Z30" s="14"/>
      <c r="AA30" s="21"/>
      <c r="AB30" s="91"/>
      <c r="AC30" s="151"/>
      <c r="AD30" s="10"/>
      <c r="AE30" s="21"/>
      <c r="AF30" s="10"/>
      <c r="AG30" s="10"/>
      <c r="AH30" s="21"/>
      <c r="AI30" s="21"/>
      <c r="AJ30" s="10"/>
      <c r="AK30" s="10"/>
      <c r="AL30" s="17"/>
      <c r="AM30" s="11"/>
      <c r="AN30" s="11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1"/>
      <c r="BF30" s="460"/>
    </row>
    <row r="31" spans="1:58" s="381" customFormat="1" ht="42" customHeight="1" x14ac:dyDescent="0.25">
      <c r="A31" s="367">
        <v>730007</v>
      </c>
      <c r="B31" s="11" t="s">
        <v>5</v>
      </c>
      <c r="C31" s="56" t="s">
        <v>208</v>
      </c>
      <c r="D31" s="12" t="s">
        <v>6514</v>
      </c>
      <c r="E31" s="209" t="s">
        <v>6516</v>
      </c>
      <c r="F31" s="16" t="s">
        <v>6515</v>
      </c>
      <c r="G31" s="10" t="s">
        <v>172</v>
      </c>
      <c r="H31" s="10" t="s">
        <v>145</v>
      </c>
      <c r="I31" s="11" t="s">
        <v>3</v>
      </c>
      <c r="J31" s="14">
        <v>46137</v>
      </c>
      <c r="K31" s="150" t="s">
        <v>6517</v>
      </c>
      <c r="L31" s="14">
        <f t="shared" si="2"/>
        <v>46144</v>
      </c>
      <c r="M31" s="14">
        <v>46147</v>
      </c>
      <c r="N31" s="92">
        <f t="shared" si="5"/>
        <v>3</v>
      </c>
      <c r="O31" s="10" t="s">
        <v>6524</v>
      </c>
      <c r="P31" s="10" t="s">
        <v>5</v>
      </c>
      <c r="Q31" s="21">
        <v>46155</v>
      </c>
      <c r="R31" s="150" t="s">
        <v>6766</v>
      </c>
      <c r="S31" s="14">
        <f t="shared" ref="S31:S37" si="6">Q31+7</f>
        <v>46162</v>
      </c>
      <c r="T31" s="21">
        <v>46160</v>
      </c>
      <c r="U31" s="92">
        <f t="shared" ref="U31:U37" si="7">T31-S31</f>
        <v>-2</v>
      </c>
      <c r="V31" s="186" t="s">
        <v>6787</v>
      </c>
      <c r="W31" s="10"/>
      <c r="X31" s="21"/>
      <c r="Y31" s="150"/>
      <c r="Z31" s="14"/>
      <c r="AA31" s="21"/>
      <c r="AB31" s="91"/>
      <c r="AC31" s="151"/>
      <c r="AD31" s="10"/>
      <c r="AE31" s="21"/>
      <c r="AF31" s="10"/>
      <c r="AG31" s="10"/>
      <c r="AH31" s="21"/>
      <c r="AI31" s="21"/>
      <c r="AJ31" s="10"/>
      <c r="AK31" s="10"/>
      <c r="AL31" s="17"/>
      <c r="AM31" s="11"/>
      <c r="AN31" s="11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1"/>
      <c r="BF31" s="460"/>
    </row>
    <row r="32" spans="1:58" s="381" customFormat="1" ht="42" customHeight="1" x14ac:dyDescent="0.25">
      <c r="A32" s="367">
        <v>730007</v>
      </c>
      <c r="B32" s="11" t="s">
        <v>18</v>
      </c>
      <c r="C32" s="56" t="s">
        <v>208</v>
      </c>
      <c r="D32" s="12" t="s">
        <v>6595</v>
      </c>
      <c r="E32" s="209" t="s">
        <v>6596</v>
      </c>
      <c r="F32" s="16" t="s">
        <v>6597</v>
      </c>
      <c r="G32" s="10" t="s">
        <v>172</v>
      </c>
      <c r="H32" s="10" t="s">
        <v>145</v>
      </c>
      <c r="I32" s="11" t="s">
        <v>3</v>
      </c>
      <c r="J32" s="14">
        <v>46142</v>
      </c>
      <c r="K32" s="150" t="s">
        <v>6598</v>
      </c>
      <c r="L32" s="14">
        <f t="shared" ref="L32:L37" si="8">J32+7</f>
        <v>46149</v>
      </c>
      <c r="M32" s="14">
        <v>46147</v>
      </c>
      <c r="N32" s="92">
        <f t="shared" si="5"/>
        <v>-2</v>
      </c>
      <c r="O32" s="10" t="s">
        <v>6599</v>
      </c>
      <c r="P32" s="10" t="s">
        <v>18</v>
      </c>
      <c r="Q32" s="21">
        <v>46154</v>
      </c>
      <c r="R32" s="150" t="s">
        <v>6752</v>
      </c>
      <c r="S32" s="14">
        <f t="shared" si="6"/>
        <v>46161</v>
      </c>
      <c r="T32" s="21">
        <v>46165</v>
      </c>
      <c r="U32" s="92">
        <f t="shared" si="7"/>
        <v>4</v>
      </c>
      <c r="V32" s="186" t="s">
        <v>6785</v>
      </c>
      <c r="W32" s="10"/>
      <c r="X32" s="21"/>
      <c r="Y32" s="150"/>
      <c r="Z32" s="14"/>
      <c r="AA32" s="21"/>
      <c r="AB32" s="91"/>
      <c r="AC32" s="151"/>
      <c r="AD32" s="10"/>
      <c r="AE32" s="21"/>
      <c r="AF32" s="10"/>
      <c r="AG32" s="10"/>
      <c r="AH32" s="21"/>
      <c r="AI32" s="21"/>
      <c r="AJ32" s="10"/>
      <c r="AK32" s="10"/>
      <c r="AL32" s="17"/>
      <c r="AM32" s="11"/>
      <c r="AN32" s="11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1"/>
      <c r="BF32" s="460"/>
    </row>
    <row r="33" spans="1:58" s="381" customFormat="1" ht="42" customHeight="1" x14ac:dyDescent="0.25">
      <c r="A33" s="367">
        <v>730007</v>
      </c>
      <c r="B33" s="16" t="s">
        <v>3</v>
      </c>
      <c r="C33" s="56" t="s">
        <v>54</v>
      </c>
      <c r="D33" s="12" t="s">
        <v>6927</v>
      </c>
      <c r="E33" s="209" t="s">
        <v>6926</v>
      </c>
      <c r="F33" s="16" t="s">
        <v>6928</v>
      </c>
      <c r="G33" s="10" t="s">
        <v>172</v>
      </c>
      <c r="H33" s="10" t="s">
        <v>145</v>
      </c>
      <c r="I33" s="16" t="s">
        <v>3</v>
      </c>
      <c r="J33" s="14">
        <v>46175</v>
      </c>
      <c r="K33" s="150" t="s">
        <v>6929</v>
      </c>
      <c r="L33" s="14">
        <f t="shared" si="8"/>
        <v>46182</v>
      </c>
      <c r="M33" s="14">
        <v>46184</v>
      </c>
      <c r="N33" s="92">
        <f t="shared" si="5"/>
        <v>2</v>
      </c>
      <c r="O33" s="10" t="s">
        <v>6983</v>
      </c>
      <c r="P33" s="10"/>
      <c r="Q33" s="21"/>
      <c r="R33" s="150"/>
      <c r="S33" s="14"/>
      <c r="T33" s="21"/>
      <c r="U33" s="92"/>
      <c r="V33" s="186"/>
      <c r="W33" s="10"/>
      <c r="X33" s="21"/>
      <c r="Y33" s="150"/>
      <c r="Z33" s="14"/>
      <c r="AA33" s="21"/>
      <c r="AB33" s="91"/>
      <c r="AC33" s="151"/>
      <c r="AD33" s="10"/>
      <c r="AE33" s="21"/>
      <c r="AF33" s="10"/>
      <c r="AG33" s="10"/>
      <c r="AH33" s="21"/>
      <c r="AI33" s="21"/>
      <c r="AJ33" s="10"/>
      <c r="AK33" s="10"/>
      <c r="AL33" s="17"/>
      <c r="AM33" s="11"/>
      <c r="AN33" s="11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1"/>
      <c r="BF33" s="460"/>
    </row>
    <row r="34" spans="1:58" s="381" customFormat="1" ht="42" customHeight="1" x14ac:dyDescent="0.25">
      <c r="A34" s="367">
        <v>100008</v>
      </c>
      <c r="B34" s="11" t="s">
        <v>5</v>
      </c>
      <c r="C34" s="56" t="s">
        <v>588</v>
      </c>
      <c r="D34" s="12" t="s">
        <v>3287</v>
      </c>
      <c r="E34" s="12" t="s">
        <v>3286</v>
      </c>
      <c r="F34" s="16" t="s">
        <v>3369</v>
      </c>
      <c r="G34" s="10" t="s">
        <v>172</v>
      </c>
      <c r="H34" s="10" t="s">
        <v>145</v>
      </c>
      <c r="I34" s="16" t="s">
        <v>3</v>
      </c>
      <c r="J34" s="14">
        <v>45792</v>
      </c>
      <c r="K34" s="13" t="s">
        <v>3292</v>
      </c>
      <c r="L34" s="14">
        <f t="shared" si="8"/>
        <v>45799</v>
      </c>
      <c r="M34" s="14">
        <v>45799</v>
      </c>
      <c r="N34" s="92">
        <f t="shared" si="1"/>
        <v>0</v>
      </c>
      <c r="O34" s="10" t="s">
        <v>3307</v>
      </c>
      <c r="P34" s="10" t="s">
        <v>18</v>
      </c>
      <c r="Q34" s="21">
        <v>45804</v>
      </c>
      <c r="R34" s="10" t="s">
        <v>3370</v>
      </c>
      <c r="S34" s="14">
        <f t="shared" si="6"/>
        <v>45811</v>
      </c>
      <c r="T34" s="21">
        <v>45832</v>
      </c>
      <c r="U34" s="92">
        <f t="shared" si="7"/>
        <v>21</v>
      </c>
      <c r="V34" s="10" t="s">
        <v>3380</v>
      </c>
      <c r="W34" s="10" t="s">
        <v>5</v>
      </c>
      <c r="X34" s="21">
        <v>45960</v>
      </c>
      <c r="Y34" s="10" t="s">
        <v>4643</v>
      </c>
      <c r="Z34" s="14">
        <f>X34+7</f>
        <v>45967</v>
      </c>
      <c r="AA34" s="21">
        <v>45979</v>
      </c>
      <c r="AB34" s="92">
        <f>AA34-Z34</f>
        <v>12</v>
      </c>
      <c r="AC34" s="10" t="s">
        <v>4677</v>
      </c>
      <c r="AD34" s="10"/>
      <c r="AE34" s="21"/>
      <c r="AF34" s="10"/>
      <c r="AG34" s="10"/>
      <c r="AH34" s="21"/>
      <c r="AI34" s="21"/>
      <c r="AJ34" s="10"/>
      <c r="AK34" s="10"/>
      <c r="AL34" s="17"/>
      <c r="AM34" s="11"/>
      <c r="AN34" s="11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1"/>
      <c r="BF34" s="460"/>
    </row>
    <row r="35" spans="1:58" s="381" customFormat="1" ht="42" customHeight="1" x14ac:dyDescent="0.25">
      <c r="A35" s="367">
        <v>100008</v>
      </c>
      <c r="B35" s="12" t="s">
        <v>5</v>
      </c>
      <c r="C35" s="56" t="s">
        <v>725</v>
      </c>
      <c r="D35" s="12" t="s">
        <v>3288</v>
      </c>
      <c r="E35" s="12" t="s">
        <v>3289</v>
      </c>
      <c r="F35" s="16" t="s">
        <v>3290</v>
      </c>
      <c r="G35" s="10" t="s">
        <v>172</v>
      </c>
      <c r="H35" s="10" t="s">
        <v>145</v>
      </c>
      <c r="I35" s="16" t="s">
        <v>3</v>
      </c>
      <c r="J35" s="14">
        <v>45792</v>
      </c>
      <c r="K35" s="13" t="s">
        <v>3291</v>
      </c>
      <c r="L35" s="14">
        <f t="shared" si="8"/>
        <v>45799</v>
      </c>
      <c r="M35" s="14">
        <v>45806</v>
      </c>
      <c r="N35" s="92">
        <f t="shared" si="1"/>
        <v>7</v>
      </c>
      <c r="O35" s="10" t="s">
        <v>3306</v>
      </c>
      <c r="P35" s="11" t="s">
        <v>18</v>
      </c>
      <c r="Q35" s="21">
        <v>45819</v>
      </c>
      <c r="R35" s="150" t="s">
        <v>3490</v>
      </c>
      <c r="S35" s="14">
        <f t="shared" si="6"/>
        <v>45826</v>
      </c>
      <c r="T35" s="21">
        <v>45831</v>
      </c>
      <c r="U35" s="92">
        <f t="shared" si="7"/>
        <v>5</v>
      </c>
      <c r="V35" s="10" t="s">
        <v>3492</v>
      </c>
      <c r="W35" s="10" t="s">
        <v>5</v>
      </c>
      <c r="X35" s="21">
        <v>45890</v>
      </c>
      <c r="Y35" s="10" t="s">
        <v>4011</v>
      </c>
      <c r="Z35" s="14">
        <f>X35+7</f>
        <v>45897</v>
      </c>
      <c r="AA35" s="21">
        <v>45903</v>
      </c>
      <c r="AB35" s="92">
        <f>AA35-Z35</f>
        <v>6</v>
      </c>
      <c r="AC35" s="10" t="s">
        <v>4024</v>
      </c>
      <c r="AD35" s="10" t="s">
        <v>5</v>
      </c>
      <c r="AE35" s="21">
        <v>46090</v>
      </c>
      <c r="AF35" s="10" t="s">
        <v>6002</v>
      </c>
      <c r="AG35" s="14">
        <f>AE35+7</f>
        <v>46097</v>
      </c>
      <c r="AH35" s="21">
        <v>46096</v>
      </c>
      <c r="AI35" s="92">
        <f>AH35-AG35</f>
        <v>-1</v>
      </c>
      <c r="AJ35" s="10" t="s">
        <v>6068</v>
      </c>
      <c r="AK35" s="10"/>
      <c r="AL35" s="17"/>
      <c r="AM35" s="11"/>
      <c r="AN35" s="11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1"/>
      <c r="BF35" s="460"/>
    </row>
    <row r="36" spans="1:58" s="381" customFormat="1" ht="42" customHeight="1" x14ac:dyDescent="0.25">
      <c r="A36" s="367">
        <v>100008</v>
      </c>
      <c r="B36" s="11" t="s">
        <v>5</v>
      </c>
      <c r="C36" s="56" t="s">
        <v>208</v>
      </c>
      <c r="D36" s="12" t="s">
        <v>3431</v>
      </c>
      <c r="E36" s="12" t="s">
        <v>3432</v>
      </c>
      <c r="F36" s="16" t="s">
        <v>3430</v>
      </c>
      <c r="G36" s="10" t="s">
        <v>172</v>
      </c>
      <c r="H36" s="10" t="s">
        <v>145</v>
      </c>
      <c r="I36" s="11" t="s">
        <v>18</v>
      </c>
      <c r="J36" s="14">
        <v>45810</v>
      </c>
      <c r="K36" s="13" t="s">
        <v>3442</v>
      </c>
      <c r="L36" s="14">
        <f t="shared" si="8"/>
        <v>45817</v>
      </c>
      <c r="M36" s="14">
        <v>45820</v>
      </c>
      <c r="N36" s="92">
        <f t="shared" si="1"/>
        <v>3</v>
      </c>
      <c r="O36" s="10" t="s">
        <v>3453</v>
      </c>
      <c r="P36" s="10" t="s">
        <v>5</v>
      </c>
      <c r="Q36" s="21">
        <v>45960</v>
      </c>
      <c r="R36" s="150" t="s">
        <v>4650</v>
      </c>
      <c r="S36" s="14">
        <f t="shared" si="6"/>
        <v>45967</v>
      </c>
      <c r="T36" s="21">
        <v>45971</v>
      </c>
      <c r="U36" s="92">
        <f t="shared" si="7"/>
        <v>4</v>
      </c>
      <c r="V36" s="134" t="s">
        <v>4680</v>
      </c>
      <c r="W36" s="10"/>
      <c r="X36" s="21"/>
      <c r="Y36" s="10"/>
      <c r="Z36" s="10"/>
      <c r="AA36" s="21"/>
      <c r="AB36" s="95"/>
      <c r="AC36" s="10"/>
      <c r="AD36" s="10"/>
      <c r="AE36" s="21"/>
      <c r="AF36" s="10"/>
      <c r="AG36" s="10"/>
      <c r="AH36" s="21"/>
      <c r="AI36" s="21"/>
      <c r="AJ36" s="10"/>
      <c r="AK36" s="10"/>
      <c r="AL36" s="17"/>
      <c r="AM36" s="11"/>
      <c r="AN36" s="11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1"/>
      <c r="BF36" s="460"/>
    </row>
    <row r="37" spans="1:58" s="381" customFormat="1" ht="42" customHeight="1" x14ac:dyDescent="0.25">
      <c r="A37" s="367">
        <v>100008</v>
      </c>
      <c r="B37" s="11" t="s">
        <v>5</v>
      </c>
      <c r="C37" s="56" t="s">
        <v>208</v>
      </c>
      <c r="D37" s="12" t="s">
        <v>3444</v>
      </c>
      <c r="E37" s="12" t="s">
        <v>3443</v>
      </c>
      <c r="F37" s="16" t="s">
        <v>4689</v>
      </c>
      <c r="G37" s="10" t="s">
        <v>172</v>
      </c>
      <c r="H37" s="10" t="s">
        <v>145</v>
      </c>
      <c r="I37" s="11" t="s">
        <v>18</v>
      </c>
      <c r="J37" s="14">
        <v>45811</v>
      </c>
      <c r="K37" s="150" t="s">
        <v>3452</v>
      </c>
      <c r="L37" s="14">
        <f t="shared" si="8"/>
        <v>45818</v>
      </c>
      <c r="M37" s="14">
        <v>45820</v>
      </c>
      <c r="N37" s="92">
        <f t="shared" si="1"/>
        <v>2</v>
      </c>
      <c r="O37" s="10" t="s">
        <v>3502</v>
      </c>
      <c r="P37" s="10" t="s">
        <v>5</v>
      </c>
      <c r="Q37" s="21">
        <v>45963</v>
      </c>
      <c r="R37" s="150" t="s">
        <v>4690</v>
      </c>
      <c r="S37" s="14">
        <f t="shared" si="6"/>
        <v>45970</v>
      </c>
      <c r="T37" s="21">
        <v>45971</v>
      </c>
      <c r="U37" s="92">
        <f t="shared" si="7"/>
        <v>1</v>
      </c>
      <c r="V37" s="134" t="s">
        <v>4721</v>
      </c>
      <c r="W37" s="10"/>
      <c r="X37" s="21"/>
      <c r="Y37" s="10"/>
      <c r="Z37" s="10"/>
      <c r="AA37" s="21"/>
      <c r="AB37" s="95"/>
      <c r="AC37" s="10"/>
      <c r="AD37" s="10"/>
      <c r="AE37" s="21"/>
      <c r="AF37" s="10"/>
      <c r="AG37" s="10"/>
      <c r="AH37" s="21"/>
      <c r="AI37" s="21"/>
      <c r="AJ37" s="10"/>
      <c r="AK37" s="10"/>
      <c r="AL37" s="17"/>
      <c r="AM37" s="11"/>
      <c r="AN37" s="11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1"/>
      <c r="BF37" s="460"/>
    </row>
    <row r="38" spans="1:58" s="381" customFormat="1" ht="42" customHeight="1" x14ac:dyDescent="0.25">
      <c r="A38" s="367">
        <v>100008</v>
      </c>
      <c r="B38" s="12" t="s">
        <v>5</v>
      </c>
      <c r="C38" s="56" t="s">
        <v>54</v>
      </c>
      <c r="D38" s="12" t="s">
        <v>3486</v>
      </c>
      <c r="E38" s="12" t="s">
        <v>3487</v>
      </c>
      <c r="F38" s="16" t="s">
        <v>3488</v>
      </c>
      <c r="G38" s="10" t="s">
        <v>172</v>
      </c>
      <c r="H38" s="10" t="s">
        <v>145</v>
      </c>
      <c r="I38" s="12" t="s">
        <v>5</v>
      </c>
      <c r="J38" s="14">
        <v>45819</v>
      </c>
      <c r="K38" s="13" t="s">
        <v>3489</v>
      </c>
      <c r="L38" s="14">
        <f t="shared" ref="L38:L49" si="9">J38+7</f>
        <v>45826</v>
      </c>
      <c r="M38" s="14">
        <v>45829</v>
      </c>
      <c r="N38" s="92">
        <f t="shared" si="1"/>
        <v>3</v>
      </c>
      <c r="O38" s="10" t="s">
        <v>3491</v>
      </c>
      <c r="P38" s="10"/>
      <c r="Q38" s="21"/>
      <c r="R38" s="150"/>
      <c r="S38" s="14"/>
      <c r="T38" s="21"/>
      <c r="U38" s="95"/>
      <c r="V38" s="134"/>
      <c r="W38" s="10"/>
      <c r="X38" s="21"/>
      <c r="Y38" s="10"/>
      <c r="Z38" s="10"/>
      <c r="AA38" s="21"/>
      <c r="AB38" s="95"/>
      <c r="AC38" s="10"/>
      <c r="AD38" s="10"/>
      <c r="AE38" s="21"/>
      <c r="AF38" s="10"/>
      <c r="AG38" s="10"/>
      <c r="AH38" s="21"/>
      <c r="AI38" s="21"/>
      <c r="AJ38" s="10"/>
      <c r="AK38" s="10"/>
      <c r="AL38" s="17"/>
      <c r="AM38" s="11"/>
      <c r="AN38" s="11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1"/>
      <c r="BF38" s="460"/>
    </row>
    <row r="39" spans="1:58" s="381" customFormat="1" ht="42" customHeight="1" x14ac:dyDescent="0.25">
      <c r="A39" s="367">
        <v>100008</v>
      </c>
      <c r="B39" s="12" t="s">
        <v>5</v>
      </c>
      <c r="C39" s="56" t="s">
        <v>54</v>
      </c>
      <c r="D39" s="12" t="s">
        <v>3493</v>
      </c>
      <c r="E39" s="12" t="s">
        <v>3494</v>
      </c>
      <c r="F39" s="16" t="s">
        <v>3495</v>
      </c>
      <c r="G39" s="10" t="s">
        <v>172</v>
      </c>
      <c r="H39" s="10" t="s">
        <v>145</v>
      </c>
      <c r="I39" s="12" t="s">
        <v>5</v>
      </c>
      <c r="J39" s="14" t="s">
        <v>3496</v>
      </c>
      <c r="K39" s="13" t="s">
        <v>3497</v>
      </c>
      <c r="L39" s="14">
        <f t="shared" si="9"/>
        <v>45827</v>
      </c>
      <c r="M39" s="14">
        <v>45829</v>
      </c>
      <c r="N39" s="92">
        <f t="shared" si="1"/>
        <v>2</v>
      </c>
      <c r="O39" s="10" t="s">
        <v>3498</v>
      </c>
      <c r="P39" s="10"/>
      <c r="Q39" s="21"/>
      <c r="R39" s="150"/>
      <c r="S39" s="14"/>
      <c r="T39" s="21"/>
      <c r="U39" s="95"/>
      <c r="V39" s="134"/>
      <c r="W39" s="10"/>
      <c r="X39" s="21"/>
      <c r="Y39" s="10"/>
      <c r="Z39" s="10"/>
      <c r="AA39" s="21"/>
      <c r="AB39" s="95"/>
      <c r="AC39" s="10"/>
      <c r="AD39" s="10"/>
      <c r="AE39" s="21"/>
      <c r="AF39" s="10"/>
      <c r="AG39" s="10"/>
      <c r="AH39" s="21"/>
      <c r="AI39" s="21"/>
      <c r="AJ39" s="10"/>
      <c r="AK39" s="10"/>
      <c r="AL39" s="17"/>
      <c r="AM39" s="11"/>
      <c r="AN39" s="11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1"/>
      <c r="BF39" s="460"/>
    </row>
    <row r="40" spans="1:58" s="381" customFormat="1" ht="42" customHeight="1" x14ac:dyDescent="0.25">
      <c r="A40" s="367">
        <v>100008</v>
      </c>
      <c r="B40" s="12" t="s">
        <v>5</v>
      </c>
      <c r="C40" s="56" t="s">
        <v>208</v>
      </c>
      <c r="D40" s="12" t="s">
        <v>3697</v>
      </c>
      <c r="E40" s="12" t="s">
        <v>3698</v>
      </c>
      <c r="F40" s="16" t="s">
        <v>4712</v>
      </c>
      <c r="G40" s="10" t="s">
        <v>172</v>
      </c>
      <c r="H40" s="10" t="s">
        <v>145</v>
      </c>
      <c r="I40" s="12" t="s">
        <v>18</v>
      </c>
      <c r="J40" s="14">
        <v>45857</v>
      </c>
      <c r="K40" s="13" t="s">
        <v>3699</v>
      </c>
      <c r="L40" s="14">
        <f t="shared" si="9"/>
        <v>45864</v>
      </c>
      <c r="M40" s="14">
        <v>45865</v>
      </c>
      <c r="N40" s="92">
        <f t="shared" si="1"/>
        <v>1</v>
      </c>
      <c r="O40" s="10" t="s">
        <v>3722</v>
      </c>
      <c r="P40" s="10" t="s">
        <v>5</v>
      </c>
      <c r="Q40" s="21">
        <v>45965</v>
      </c>
      <c r="R40" s="150" t="s">
        <v>4713</v>
      </c>
      <c r="S40" s="14">
        <f t="shared" ref="S40:S48" si="10">Q40+7</f>
        <v>45972</v>
      </c>
      <c r="T40" s="21">
        <v>45972</v>
      </c>
      <c r="U40" s="92">
        <f t="shared" ref="U40:U45" si="11">T40-S40</f>
        <v>0</v>
      </c>
      <c r="V40" s="134" t="s">
        <v>4731</v>
      </c>
      <c r="W40" s="10"/>
      <c r="X40" s="21"/>
      <c r="Y40" s="10"/>
      <c r="Z40" s="10"/>
      <c r="AA40" s="21"/>
      <c r="AB40" s="95"/>
      <c r="AC40" s="10"/>
      <c r="AD40" s="10"/>
      <c r="AE40" s="21"/>
      <c r="AF40" s="10"/>
      <c r="AG40" s="10"/>
      <c r="AH40" s="21"/>
      <c r="AI40" s="21"/>
      <c r="AJ40" s="10"/>
      <c r="AK40" s="10"/>
      <c r="AL40" s="17"/>
      <c r="AM40" s="11"/>
      <c r="AN40" s="11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1"/>
      <c r="BF40" s="460"/>
    </row>
    <row r="41" spans="1:58" s="381" customFormat="1" ht="42" customHeight="1" x14ac:dyDescent="0.25">
      <c r="A41" s="367">
        <v>100008</v>
      </c>
      <c r="B41" s="12" t="s">
        <v>5</v>
      </c>
      <c r="C41" s="56" t="s">
        <v>588</v>
      </c>
      <c r="D41" s="12" t="s">
        <v>3941</v>
      </c>
      <c r="E41" s="12" t="s">
        <v>3943</v>
      </c>
      <c r="F41" s="16" t="s">
        <v>3942</v>
      </c>
      <c r="G41" s="10" t="s">
        <v>172</v>
      </c>
      <c r="H41" s="10" t="s">
        <v>145</v>
      </c>
      <c r="I41" s="12" t="s">
        <v>3</v>
      </c>
      <c r="J41" s="14">
        <v>45885</v>
      </c>
      <c r="K41" s="13" t="s">
        <v>3944</v>
      </c>
      <c r="L41" s="14">
        <f t="shared" si="9"/>
        <v>45892</v>
      </c>
      <c r="M41" s="14">
        <v>45900</v>
      </c>
      <c r="N41" s="92">
        <f t="shared" si="1"/>
        <v>8</v>
      </c>
      <c r="O41" s="10" t="s">
        <v>3966</v>
      </c>
      <c r="P41" s="10" t="s">
        <v>18</v>
      </c>
      <c r="Q41" s="21">
        <v>45904</v>
      </c>
      <c r="R41" s="150" t="s">
        <v>4112</v>
      </c>
      <c r="S41" s="14">
        <f t="shared" si="10"/>
        <v>45911</v>
      </c>
      <c r="T41" s="21">
        <v>45916</v>
      </c>
      <c r="U41" s="92">
        <f t="shared" si="11"/>
        <v>5</v>
      </c>
      <c r="V41" s="186" t="s">
        <v>4121</v>
      </c>
      <c r="W41" s="10" t="s">
        <v>5</v>
      </c>
      <c r="X41" s="21">
        <v>45960</v>
      </c>
      <c r="Y41" s="10" t="s">
        <v>4644</v>
      </c>
      <c r="Z41" s="14">
        <f>X41+7</f>
        <v>45967</v>
      </c>
      <c r="AA41" s="21">
        <v>45965</v>
      </c>
      <c r="AB41" s="92">
        <f>AA41-Z41</f>
        <v>-2</v>
      </c>
      <c r="AC41" s="10" t="s">
        <v>4678</v>
      </c>
      <c r="AD41" s="10"/>
      <c r="AE41" s="21"/>
      <c r="AF41" s="10"/>
      <c r="AG41" s="10"/>
      <c r="AH41" s="21"/>
      <c r="AI41" s="21"/>
      <c r="AJ41" s="10"/>
      <c r="AK41" s="10"/>
      <c r="AL41" s="17"/>
      <c r="AM41" s="11"/>
      <c r="AN41" s="11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1"/>
      <c r="BF41" s="460"/>
    </row>
    <row r="42" spans="1:58" s="381" customFormat="1" ht="42" customHeight="1" x14ac:dyDescent="0.25">
      <c r="A42" s="367">
        <v>100008</v>
      </c>
      <c r="B42" s="12" t="s">
        <v>5</v>
      </c>
      <c r="C42" s="56" t="s">
        <v>54</v>
      </c>
      <c r="D42" s="12" t="s">
        <v>3993</v>
      </c>
      <c r="E42" s="12" t="s">
        <v>3994</v>
      </c>
      <c r="F42" s="16" t="s">
        <v>3995</v>
      </c>
      <c r="G42" s="10" t="s">
        <v>172</v>
      </c>
      <c r="H42" s="10" t="s">
        <v>145</v>
      </c>
      <c r="I42" s="12" t="s">
        <v>18</v>
      </c>
      <c r="J42" s="14">
        <v>45888</v>
      </c>
      <c r="K42" s="13" t="s">
        <v>3996</v>
      </c>
      <c r="L42" s="14">
        <f t="shared" si="9"/>
        <v>45895</v>
      </c>
      <c r="M42" s="14">
        <v>45897</v>
      </c>
      <c r="N42" s="92">
        <f t="shared" si="1"/>
        <v>2</v>
      </c>
      <c r="O42" s="10" t="s">
        <v>4021</v>
      </c>
      <c r="P42" s="10" t="s">
        <v>5</v>
      </c>
      <c r="Q42" s="21">
        <v>45970</v>
      </c>
      <c r="R42" s="150" t="s">
        <v>4837</v>
      </c>
      <c r="S42" s="14">
        <f t="shared" si="10"/>
        <v>45977</v>
      </c>
      <c r="T42" s="21">
        <v>45979</v>
      </c>
      <c r="U42" s="92">
        <f t="shared" si="11"/>
        <v>2</v>
      </c>
      <c r="V42" s="134" t="s">
        <v>4836</v>
      </c>
      <c r="W42" s="10"/>
      <c r="X42" s="21"/>
      <c r="Y42" s="10"/>
      <c r="Z42" s="10"/>
      <c r="AA42" s="21"/>
      <c r="AB42" s="95"/>
      <c r="AC42" s="10"/>
      <c r="AD42" s="10"/>
      <c r="AE42" s="21"/>
      <c r="AF42" s="10"/>
      <c r="AG42" s="10"/>
      <c r="AH42" s="21"/>
      <c r="AI42" s="21"/>
      <c r="AJ42" s="10"/>
      <c r="AK42" s="10"/>
      <c r="AL42" s="17"/>
      <c r="AM42" s="11"/>
      <c r="AN42" s="11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1"/>
      <c r="BF42" s="460"/>
    </row>
    <row r="43" spans="1:58" s="381" customFormat="1" ht="42" customHeight="1" x14ac:dyDescent="0.25">
      <c r="A43" s="367">
        <v>100008</v>
      </c>
      <c r="B43" s="11" t="s">
        <v>5</v>
      </c>
      <c r="C43" s="56" t="s">
        <v>588</v>
      </c>
      <c r="D43" s="12" t="s">
        <v>4007</v>
      </c>
      <c r="E43" s="12" t="s">
        <v>4008</v>
      </c>
      <c r="F43" s="16" t="s">
        <v>4009</v>
      </c>
      <c r="G43" s="10" t="s">
        <v>172</v>
      </c>
      <c r="H43" s="10" t="s">
        <v>145</v>
      </c>
      <c r="I43" s="12" t="s">
        <v>18</v>
      </c>
      <c r="J43" s="14">
        <v>45890</v>
      </c>
      <c r="K43" s="13" t="s">
        <v>4010</v>
      </c>
      <c r="L43" s="14">
        <f t="shared" si="9"/>
        <v>45897</v>
      </c>
      <c r="M43" s="13" t="s">
        <v>626</v>
      </c>
      <c r="N43" s="92" t="s">
        <v>626</v>
      </c>
      <c r="O43" s="10" t="s">
        <v>4023</v>
      </c>
      <c r="P43" s="11" t="s">
        <v>18</v>
      </c>
      <c r="Q43" s="21">
        <v>45963</v>
      </c>
      <c r="R43" s="150" t="s">
        <v>4670</v>
      </c>
      <c r="S43" s="14">
        <f t="shared" si="10"/>
        <v>45970</v>
      </c>
      <c r="T43" s="21">
        <v>45981</v>
      </c>
      <c r="U43" s="92">
        <f t="shared" si="11"/>
        <v>11</v>
      </c>
      <c r="V43" s="134" t="s">
        <v>4718</v>
      </c>
      <c r="W43" s="10" t="s">
        <v>5</v>
      </c>
      <c r="X43" s="21">
        <v>45985</v>
      </c>
      <c r="Y43" s="10" t="s">
        <v>5028</v>
      </c>
      <c r="Z43" s="14">
        <f>X43+7</f>
        <v>45992</v>
      </c>
      <c r="AA43" s="21">
        <v>45993</v>
      </c>
      <c r="AB43" s="92">
        <f>AA43-Z43</f>
        <v>1</v>
      </c>
      <c r="AC43" s="10" t="s">
        <v>5045</v>
      </c>
      <c r="AD43" s="10"/>
      <c r="AE43" s="21"/>
      <c r="AF43" s="10"/>
      <c r="AG43" s="10"/>
      <c r="AH43" s="21"/>
      <c r="AI43" s="21"/>
      <c r="AJ43" s="10"/>
      <c r="AK43" s="10"/>
      <c r="AL43" s="17"/>
      <c r="AM43" s="11"/>
      <c r="AN43" s="11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1"/>
      <c r="BF43" s="460"/>
    </row>
    <row r="44" spans="1:58" s="381" customFormat="1" ht="42" customHeight="1" x14ac:dyDescent="0.25">
      <c r="A44" s="367">
        <v>100008</v>
      </c>
      <c r="B44" s="12" t="s">
        <v>5</v>
      </c>
      <c r="C44" s="56" t="s">
        <v>588</v>
      </c>
      <c r="D44" s="12" t="s">
        <v>4136</v>
      </c>
      <c r="E44" s="12" t="s">
        <v>4137</v>
      </c>
      <c r="F44" s="16" t="s">
        <v>4138</v>
      </c>
      <c r="G44" s="10" t="s">
        <v>172</v>
      </c>
      <c r="H44" s="10" t="s">
        <v>145</v>
      </c>
      <c r="I44" s="12" t="s">
        <v>3</v>
      </c>
      <c r="J44" s="14">
        <v>45908</v>
      </c>
      <c r="K44" s="13" t="s">
        <v>4139</v>
      </c>
      <c r="L44" s="14">
        <f t="shared" si="9"/>
        <v>45915</v>
      </c>
      <c r="M44" s="14">
        <v>45916</v>
      </c>
      <c r="N44" s="92">
        <f t="shared" si="1"/>
        <v>1</v>
      </c>
      <c r="O44" s="10" t="s">
        <v>4148</v>
      </c>
      <c r="P44" s="12" t="s">
        <v>3</v>
      </c>
      <c r="Q44" s="21">
        <v>45921</v>
      </c>
      <c r="R44" s="150" t="s">
        <v>4241</v>
      </c>
      <c r="S44" s="14">
        <f t="shared" si="10"/>
        <v>45928</v>
      </c>
      <c r="T44" s="21">
        <v>45931</v>
      </c>
      <c r="U44" s="92">
        <f t="shared" si="11"/>
        <v>3</v>
      </c>
      <c r="V44" s="186" t="s">
        <v>4262</v>
      </c>
      <c r="W44" s="10" t="s">
        <v>5</v>
      </c>
      <c r="X44" s="21">
        <v>45936</v>
      </c>
      <c r="Y44" s="10" t="s">
        <v>4408</v>
      </c>
      <c r="Z44" s="14">
        <f>X44+7</f>
        <v>45943</v>
      </c>
      <c r="AA44" s="21">
        <v>45939</v>
      </c>
      <c r="AB44" s="92">
        <f>AA44-Z44</f>
        <v>-4</v>
      </c>
      <c r="AC44" s="10" t="s">
        <v>4413</v>
      </c>
      <c r="AD44" s="10"/>
      <c r="AE44" s="21"/>
      <c r="AF44" s="10"/>
      <c r="AG44" s="10"/>
      <c r="AH44" s="21"/>
      <c r="AI44" s="21"/>
      <c r="AJ44" s="10"/>
      <c r="AK44" s="10"/>
      <c r="AL44" s="17"/>
      <c r="AM44" s="11"/>
      <c r="AN44" s="11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1"/>
      <c r="BF44" s="460"/>
    </row>
    <row r="45" spans="1:58" s="381" customFormat="1" ht="42" customHeight="1" x14ac:dyDescent="0.25">
      <c r="A45" s="367">
        <v>100008</v>
      </c>
      <c r="B45" s="12" t="s">
        <v>5</v>
      </c>
      <c r="C45" s="56" t="s">
        <v>208</v>
      </c>
      <c r="D45" s="12" t="s">
        <v>4242</v>
      </c>
      <c r="E45" s="12" t="s">
        <v>4244</v>
      </c>
      <c r="F45" s="16" t="s">
        <v>4243</v>
      </c>
      <c r="G45" s="10" t="s">
        <v>172</v>
      </c>
      <c r="H45" s="10" t="s">
        <v>145</v>
      </c>
      <c r="I45" s="12" t="s">
        <v>3</v>
      </c>
      <c r="J45" s="14">
        <v>45921</v>
      </c>
      <c r="K45" s="13" t="s">
        <v>4245</v>
      </c>
      <c r="L45" s="14">
        <f t="shared" si="9"/>
        <v>45928</v>
      </c>
      <c r="M45" s="14">
        <v>45936</v>
      </c>
      <c r="N45" s="92">
        <f t="shared" si="1"/>
        <v>8</v>
      </c>
      <c r="O45" s="10" t="s">
        <v>4263</v>
      </c>
      <c r="P45" s="10" t="s">
        <v>5</v>
      </c>
      <c r="Q45" s="21">
        <v>45955</v>
      </c>
      <c r="R45" s="150" t="s">
        <v>4588</v>
      </c>
      <c r="S45" s="14">
        <f t="shared" si="10"/>
        <v>45962</v>
      </c>
      <c r="T45" s="21">
        <v>45963</v>
      </c>
      <c r="U45" s="92">
        <f t="shared" si="11"/>
        <v>1</v>
      </c>
      <c r="V45" s="186" t="s">
        <v>4605</v>
      </c>
      <c r="W45" s="10"/>
      <c r="X45" s="21"/>
      <c r="Y45" s="10"/>
      <c r="Z45" s="10"/>
      <c r="AA45" s="21"/>
      <c r="AB45" s="95"/>
      <c r="AC45" s="10"/>
      <c r="AD45" s="10"/>
      <c r="AE45" s="21"/>
      <c r="AF45" s="10"/>
      <c r="AG45" s="10"/>
      <c r="AH45" s="21"/>
      <c r="AI45" s="21"/>
      <c r="AJ45" s="10"/>
      <c r="AK45" s="10"/>
      <c r="AL45" s="17"/>
      <c r="AM45" s="11"/>
      <c r="AN45" s="11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1"/>
      <c r="BF45" s="460"/>
    </row>
    <row r="46" spans="1:58" s="381" customFormat="1" ht="42" customHeight="1" x14ac:dyDescent="0.25">
      <c r="A46" s="367">
        <v>100008</v>
      </c>
      <c r="B46" s="58" t="s">
        <v>508</v>
      </c>
      <c r="C46" s="56" t="s">
        <v>627</v>
      </c>
      <c r="D46" s="12" t="s">
        <v>4651</v>
      </c>
      <c r="E46" s="12" t="s">
        <v>4652</v>
      </c>
      <c r="F46" s="16" t="s">
        <v>4655</v>
      </c>
      <c r="G46" s="10" t="s">
        <v>172</v>
      </c>
      <c r="H46" s="10" t="s">
        <v>145</v>
      </c>
      <c r="I46" s="12" t="s">
        <v>331</v>
      </c>
      <c r="J46" s="14">
        <v>45964</v>
      </c>
      <c r="K46" s="13" t="s">
        <v>4705</v>
      </c>
      <c r="L46" s="14">
        <f t="shared" si="9"/>
        <v>45971</v>
      </c>
      <c r="M46" s="14"/>
      <c r="N46" s="92">
        <f t="shared" si="1"/>
        <v>-45971</v>
      </c>
      <c r="O46" s="10" t="s">
        <v>4732</v>
      </c>
      <c r="P46" s="10" t="s">
        <v>508</v>
      </c>
      <c r="Q46" s="21">
        <v>46012</v>
      </c>
      <c r="R46" s="150" t="s">
        <v>5358</v>
      </c>
      <c r="S46" s="14">
        <f t="shared" si="10"/>
        <v>46019</v>
      </c>
      <c r="T46" s="21" t="s">
        <v>626</v>
      </c>
      <c r="U46" s="92" t="s">
        <v>626</v>
      </c>
      <c r="V46" s="134" t="s">
        <v>626</v>
      </c>
      <c r="W46" s="10"/>
      <c r="X46" s="21"/>
      <c r="Y46" s="10"/>
      <c r="Z46" s="10"/>
      <c r="AA46" s="21"/>
      <c r="AB46" s="95"/>
      <c r="AC46" s="10"/>
      <c r="AD46" s="10"/>
      <c r="AE46" s="21"/>
      <c r="AF46" s="10"/>
      <c r="AG46" s="10"/>
      <c r="AH46" s="21"/>
      <c r="AI46" s="21"/>
      <c r="AJ46" s="10"/>
      <c r="AK46" s="10"/>
      <c r="AL46" s="17"/>
      <c r="AM46" s="11"/>
      <c r="AN46" s="11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1"/>
      <c r="BF46" s="460"/>
    </row>
    <row r="47" spans="1:58" s="381" customFormat="1" ht="42" customHeight="1" x14ac:dyDescent="0.25">
      <c r="A47" s="367">
        <v>100008</v>
      </c>
      <c r="B47" s="12" t="s">
        <v>5</v>
      </c>
      <c r="C47" s="56" t="s">
        <v>208</v>
      </c>
      <c r="D47" s="12" t="s">
        <v>4656</v>
      </c>
      <c r="E47" s="12" t="s">
        <v>4657</v>
      </c>
      <c r="F47" s="16" t="s">
        <v>4658</v>
      </c>
      <c r="G47" s="10" t="s">
        <v>172</v>
      </c>
      <c r="H47" s="10" t="s">
        <v>145</v>
      </c>
      <c r="I47" s="12" t="s">
        <v>3</v>
      </c>
      <c r="J47" s="14">
        <v>45962</v>
      </c>
      <c r="K47" s="150" t="s">
        <v>4659</v>
      </c>
      <c r="L47" s="14">
        <f t="shared" si="9"/>
        <v>45969</v>
      </c>
      <c r="M47" s="14">
        <v>45967</v>
      </c>
      <c r="N47" s="92">
        <f t="shared" si="1"/>
        <v>-2</v>
      </c>
      <c r="O47" s="10" t="s">
        <v>4686</v>
      </c>
      <c r="P47" s="10" t="s">
        <v>5</v>
      </c>
      <c r="Q47" s="21">
        <v>45973</v>
      </c>
      <c r="R47" s="150" t="s">
        <v>4867</v>
      </c>
      <c r="S47" s="14">
        <f t="shared" si="10"/>
        <v>45980</v>
      </c>
      <c r="T47" s="21">
        <v>45983</v>
      </c>
      <c r="U47" s="92">
        <f>T47-S47</f>
        <v>3</v>
      </c>
      <c r="V47" s="134" t="s">
        <v>4878</v>
      </c>
      <c r="W47" s="10"/>
      <c r="X47" s="21"/>
      <c r="Y47" s="10"/>
      <c r="Z47" s="10"/>
      <c r="AA47" s="21"/>
      <c r="AB47" s="95"/>
      <c r="AC47" s="10"/>
      <c r="AD47" s="10"/>
      <c r="AE47" s="21"/>
      <c r="AF47" s="10"/>
      <c r="AG47" s="10"/>
      <c r="AH47" s="21"/>
      <c r="AI47" s="21"/>
      <c r="AJ47" s="10"/>
      <c r="AK47" s="10"/>
      <c r="AL47" s="17"/>
      <c r="AM47" s="11"/>
      <c r="AN47" s="11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1"/>
      <c r="BF47" s="460"/>
    </row>
    <row r="48" spans="1:58" s="381" customFormat="1" ht="42" customHeight="1" x14ac:dyDescent="0.25">
      <c r="A48" s="367">
        <v>100008</v>
      </c>
      <c r="B48" s="12" t="s">
        <v>5</v>
      </c>
      <c r="C48" s="56" t="s">
        <v>588</v>
      </c>
      <c r="D48" s="12" t="s">
        <v>5547</v>
      </c>
      <c r="E48" s="12" t="s">
        <v>5546</v>
      </c>
      <c r="F48" s="16" t="s">
        <v>5545</v>
      </c>
      <c r="G48" s="10" t="s">
        <v>172</v>
      </c>
      <c r="H48" s="10" t="s">
        <v>145</v>
      </c>
      <c r="I48" s="12" t="s">
        <v>3</v>
      </c>
      <c r="J48" s="14">
        <v>46033</v>
      </c>
      <c r="K48" s="150" t="s">
        <v>5548</v>
      </c>
      <c r="L48" s="14">
        <f>J48+7</f>
        <v>46040</v>
      </c>
      <c r="M48" s="14">
        <v>46041</v>
      </c>
      <c r="N48" s="92">
        <f t="shared" si="1"/>
        <v>1</v>
      </c>
      <c r="O48" s="10" t="s">
        <v>5549</v>
      </c>
      <c r="P48" s="12" t="s">
        <v>18</v>
      </c>
      <c r="Q48" s="21">
        <v>46062</v>
      </c>
      <c r="R48" s="150" t="s">
        <v>5804</v>
      </c>
      <c r="S48" s="14">
        <f t="shared" si="10"/>
        <v>46069</v>
      </c>
      <c r="T48" s="21">
        <v>46070</v>
      </c>
      <c r="U48" s="92">
        <f>T48-S48</f>
        <v>1</v>
      </c>
      <c r="V48" s="134" t="s">
        <v>5811</v>
      </c>
      <c r="W48" s="10" t="s">
        <v>5</v>
      </c>
      <c r="X48" s="21">
        <v>46079</v>
      </c>
      <c r="Y48" s="10" t="s">
        <v>5900</v>
      </c>
      <c r="Z48" s="14">
        <f>X48+7</f>
        <v>46086</v>
      </c>
      <c r="AA48" s="21">
        <v>46089</v>
      </c>
      <c r="AB48" s="92">
        <f>AA48-Z48</f>
        <v>3</v>
      </c>
      <c r="AC48" s="10" t="s">
        <v>5906</v>
      </c>
      <c r="AD48" s="10"/>
      <c r="AE48" s="21"/>
      <c r="AF48" s="10"/>
      <c r="AG48" s="10"/>
      <c r="AH48" s="21"/>
      <c r="AI48" s="21"/>
      <c r="AJ48" s="10"/>
      <c r="AK48" s="10"/>
      <c r="AL48" s="17"/>
      <c r="AM48" s="11"/>
      <c r="AN48" s="11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1"/>
      <c r="BF48" s="460"/>
    </row>
    <row r="49" spans="1:58" s="381" customFormat="1" ht="42" customHeight="1" x14ac:dyDescent="0.25">
      <c r="A49" s="367">
        <v>310002</v>
      </c>
      <c r="B49" s="12" t="s">
        <v>5</v>
      </c>
      <c r="C49" s="56" t="s">
        <v>54</v>
      </c>
      <c r="D49" s="12" t="s">
        <v>3614</v>
      </c>
      <c r="E49" s="12" t="s">
        <v>3615</v>
      </c>
      <c r="F49" s="16" t="s">
        <v>3616</v>
      </c>
      <c r="G49" s="10" t="s">
        <v>172</v>
      </c>
      <c r="H49" s="10" t="s">
        <v>145</v>
      </c>
      <c r="I49" s="12" t="s">
        <v>5</v>
      </c>
      <c r="J49" s="14">
        <v>45845</v>
      </c>
      <c r="K49" s="13" t="s">
        <v>3617</v>
      </c>
      <c r="L49" s="14">
        <f t="shared" si="9"/>
        <v>45852</v>
      </c>
      <c r="M49" s="14">
        <v>45854</v>
      </c>
      <c r="N49" s="92">
        <f t="shared" si="1"/>
        <v>2</v>
      </c>
      <c r="O49" s="10" t="s">
        <v>3624</v>
      </c>
      <c r="P49" s="10"/>
      <c r="Q49" s="21"/>
      <c r="R49" s="150"/>
      <c r="S49" s="14"/>
      <c r="T49" s="21"/>
      <c r="U49" s="95"/>
      <c r="V49" s="134"/>
      <c r="W49" s="10"/>
      <c r="X49" s="21"/>
      <c r="Y49" s="10"/>
      <c r="Z49" s="10"/>
      <c r="AA49" s="21"/>
      <c r="AB49" s="95"/>
      <c r="AC49" s="10"/>
      <c r="AD49" s="10"/>
      <c r="AE49" s="21"/>
      <c r="AF49" s="10"/>
      <c r="AG49" s="10"/>
      <c r="AH49" s="21"/>
      <c r="AI49" s="21"/>
      <c r="AJ49" s="10"/>
      <c r="AK49" s="10"/>
      <c r="AL49" s="17"/>
      <c r="AM49" s="11"/>
      <c r="AN49" s="11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1"/>
      <c r="BF49" s="460"/>
    </row>
    <row r="50" spans="1:58" s="381" customFormat="1" ht="42" customHeight="1" x14ac:dyDescent="0.25">
      <c r="A50" s="367">
        <v>310002</v>
      </c>
      <c r="B50" s="12" t="s">
        <v>5</v>
      </c>
      <c r="C50" s="56" t="s">
        <v>208</v>
      </c>
      <c r="D50" s="12" t="s">
        <v>4231</v>
      </c>
      <c r="E50" s="12" t="s">
        <v>4232</v>
      </c>
      <c r="F50" s="16" t="s">
        <v>4233</v>
      </c>
      <c r="G50" s="10" t="s">
        <v>172</v>
      </c>
      <c r="H50" s="10" t="s">
        <v>145</v>
      </c>
      <c r="I50" s="16" t="s">
        <v>18</v>
      </c>
      <c r="J50" s="14">
        <v>45919</v>
      </c>
      <c r="K50" s="13" t="s">
        <v>4234</v>
      </c>
      <c r="L50" s="14">
        <f>J50+7</f>
        <v>45926</v>
      </c>
      <c r="M50" s="14">
        <v>45925</v>
      </c>
      <c r="N50" s="92">
        <f t="shared" si="1"/>
        <v>-1</v>
      </c>
      <c r="O50" s="10" t="s">
        <v>4239</v>
      </c>
      <c r="P50" s="12" t="s">
        <v>5</v>
      </c>
      <c r="Q50" s="21">
        <v>45960</v>
      </c>
      <c r="R50" s="10" t="s">
        <v>4653</v>
      </c>
      <c r="S50" s="14">
        <f>Q50+7</f>
        <v>45967</v>
      </c>
      <c r="T50" s="21">
        <v>45971</v>
      </c>
      <c r="U50" s="92">
        <f>T50-S50</f>
        <v>4</v>
      </c>
      <c r="V50" s="10" t="s">
        <v>4681</v>
      </c>
      <c r="W50" s="10"/>
      <c r="X50" s="21"/>
      <c r="Y50" s="10"/>
      <c r="Z50" s="10"/>
      <c r="AA50" s="21"/>
      <c r="AB50" s="95"/>
      <c r="AC50" s="10"/>
      <c r="AD50" s="10"/>
      <c r="AE50" s="21"/>
      <c r="AF50" s="10"/>
      <c r="AG50" s="10"/>
      <c r="AH50" s="21"/>
      <c r="AI50" s="21"/>
      <c r="AJ50" s="10"/>
      <c r="AK50" s="10"/>
      <c r="AL50" s="17"/>
      <c r="AM50" s="11"/>
      <c r="AN50" s="11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1"/>
      <c r="BF50" s="460"/>
    </row>
    <row r="51" spans="1:58" s="381" customFormat="1" ht="42" customHeight="1" x14ac:dyDescent="0.25">
      <c r="A51" s="367">
        <v>310002</v>
      </c>
      <c r="B51" s="12" t="s">
        <v>5</v>
      </c>
      <c r="C51" s="56" t="s">
        <v>588</v>
      </c>
      <c r="D51" s="12" t="s">
        <v>6977</v>
      </c>
      <c r="E51" s="12" t="s">
        <v>6978</v>
      </c>
      <c r="F51" s="16" t="s">
        <v>6979</v>
      </c>
      <c r="G51" s="10" t="s">
        <v>172</v>
      </c>
      <c r="H51" s="10" t="s">
        <v>145</v>
      </c>
      <c r="I51" s="16" t="s">
        <v>3</v>
      </c>
      <c r="J51" s="14">
        <v>46183</v>
      </c>
      <c r="K51" s="13" t="s">
        <v>6980</v>
      </c>
      <c r="L51" s="14">
        <f>J51+7</f>
        <v>46190</v>
      </c>
      <c r="M51" s="14">
        <v>46193</v>
      </c>
      <c r="N51" s="92">
        <f t="shared" si="1"/>
        <v>3</v>
      </c>
      <c r="O51" s="10" t="s">
        <v>6988</v>
      </c>
      <c r="P51" s="12" t="s">
        <v>18</v>
      </c>
      <c r="Q51" s="21">
        <v>46200</v>
      </c>
      <c r="R51" s="10" t="s">
        <v>7103</v>
      </c>
      <c r="S51" s="14">
        <f>Q51+7</f>
        <v>46207</v>
      </c>
      <c r="T51" s="21">
        <v>46205</v>
      </c>
      <c r="U51" s="92">
        <f>T51-S51</f>
        <v>-2</v>
      </c>
      <c r="V51" s="10" t="s">
        <v>7115</v>
      </c>
      <c r="W51" s="10" t="s">
        <v>5</v>
      </c>
      <c r="X51" s="21">
        <v>46210</v>
      </c>
      <c r="Y51" s="10" t="s">
        <v>7233</v>
      </c>
      <c r="Z51" s="14">
        <f>X51+7</f>
        <v>46217</v>
      </c>
      <c r="AA51" s="21">
        <v>46211</v>
      </c>
      <c r="AB51" s="92">
        <f>AA51-Z51</f>
        <v>-6</v>
      </c>
      <c r="AC51" s="10" t="s">
        <v>7241</v>
      </c>
      <c r="AD51" s="10"/>
      <c r="AE51" s="21"/>
      <c r="AF51" s="10"/>
      <c r="AG51" s="10"/>
      <c r="AH51" s="21"/>
      <c r="AI51" s="21"/>
      <c r="AJ51" s="10"/>
      <c r="AK51" s="10"/>
      <c r="AL51" s="17"/>
      <c r="AM51" s="11"/>
      <c r="AN51" s="11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1"/>
      <c r="BF51" s="460"/>
    </row>
    <row r="52" spans="1:58" s="381" customFormat="1" ht="42" customHeight="1" x14ac:dyDescent="0.25">
      <c r="A52" s="367">
        <v>150023</v>
      </c>
      <c r="B52" s="11" t="s">
        <v>5</v>
      </c>
      <c r="C52" s="56" t="s">
        <v>588</v>
      </c>
      <c r="D52" s="12" t="s">
        <v>4618</v>
      </c>
      <c r="E52" s="12" t="s">
        <v>4617</v>
      </c>
      <c r="F52" s="16" t="s">
        <v>4619</v>
      </c>
      <c r="G52" s="10" t="s">
        <v>172</v>
      </c>
      <c r="H52" s="10" t="s">
        <v>145</v>
      </c>
      <c r="I52" s="16" t="s">
        <v>3</v>
      </c>
      <c r="J52" s="14">
        <v>45958</v>
      </c>
      <c r="K52" s="13" t="s">
        <v>4620</v>
      </c>
      <c r="L52" s="14">
        <f>J52+7</f>
        <v>45965</v>
      </c>
      <c r="M52" s="14">
        <v>45967</v>
      </c>
      <c r="N52" s="92">
        <f t="shared" si="1"/>
        <v>2</v>
      </c>
      <c r="O52" s="10" t="s">
        <v>4632</v>
      </c>
      <c r="P52" s="16" t="s">
        <v>18</v>
      </c>
      <c r="Q52" s="21">
        <v>45986</v>
      </c>
      <c r="R52" s="10" t="s">
        <v>5049</v>
      </c>
      <c r="S52" s="14">
        <f>Q52+7</f>
        <v>45993</v>
      </c>
      <c r="T52" s="21">
        <v>45994</v>
      </c>
      <c r="U52" s="92">
        <f>T52-S52</f>
        <v>1</v>
      </c>
      <c r="V52" s="10" t="s">
        <v>5051</v>
      </c>
      <c r="W52" s="10" t="s">
        <v>5</v>
      </c>
      <c r="X52" s="21">
        <v>46001</v>
      </c>
      <c r="Y52" s="10" t="s">
        <v>5176</v>
      </c>
      <c r="Z52" s="14">
        <f>X52+7</f>
        <v>46008</v>
      </c>
      <c r="AA52" s="21">
        <v>46015</v>
      </c>
      <c r="AB52" s="92">
        <f>AA52-Z52</f>
        <v>7</v>
      </c>
      <c r="AC52" s="10" t="s">
        <v>5222</v>
      </c>
      <c r="AD52" s="10"/>
      <c r="AE52" s="21"/>
      <c r="AF52" s="10"/>
      <c r="AG52" s="10"/>
      <c r="AH52" s="21"/>
      <c r="AI52" s="21"/>
      <c r="AJ52" s="10"/>
      <c r="AK52" s="10"/>
      <c r="AL52" s="17"/>
      <c r="AM52" s="11"/>
      <c r="AN52" s="11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1"/>
      <c r="BF52" s="460"/>
    </row>
    <row r="53" spans="1:58" s="381" customFormat="1" ht="42" customHeight="1" thickBot="1" x14ac:dyDescent="0.3">
      <c r="A53" s="369"/>
      <c r="B53" s="371"/>
      <c r="C53" s="371"/>
      <c r="D53" s="370"/>
      <c r="E53" s="370"/>
      <c r="F53" s="262"/>
      <c r="G53" s="263"/>
      <c r="H53" s="263"/>
      <c r="I53" s="262"/>
      <c r="J53" s="474"/>
      <c r="K53" s="373"/>
      <c r="L53" s="373"/>
      <c r="M53" s="474"/>
      <c r="N53" s="474"/>
      <c r="O53" s="263"/>
      <c r="P53" s="263"/>
      <c r="Q53" s="374"/>
      <c r="R53" s="263"/>
      <c r="S53" s="263"/>
      <c r="T53" s="374"/>
      <c r="U53" s="375"/>
      <c r="V53" s="263"/>
      <c r="W53" s="263"/>
      <c r="X53" s="374"/>
      <c r="Y53" s="263"/>
      <c r="Z53" s="263"/>
      <c r="AA53" s="374"/>
      <c r="AB53" s="375"/>
      <c r="AC53" s="263"/>
      <c r="AD53" s="263"/>
      <c r="AE53" s="374"/>
      <c r="AF53" s="263"/>
      <c r="AG53" s="263"/>
      <c r="AH53" s="374"/>
      <c r="AI53" s="374"/>
      <c r="AJ53" s="263"/>
      <c r="AK53" s="263"/>
      <c r="AL53" s="376"/>
      <c r="AM53" s="371"/>
      <c r="AN53" s="371"/>
      <c r="AO53" s="376"/>
      <c r="AP53" s="376"/>
      <c r="AQ53" s="376"/>
      <c r="AR53" s="376"/>
      <c r="AS53" s="376"/>
      <c r="AT53" s="376"/>
      <c r="AU53" s="376"/>
      <c r="AV53" s="376"/>
      <c r="AW53" s="376"/>
      <c r="AX53" s="376"/>
      <c r="AY53" s="376"/>
      <c r="AZ53" s="376"/>
      <c r="BA53" s="376"/>
      <c r="BB53" s="376"/>
      <c r="BC53" s="376"/>
      <c r="BD53" s="376"/>
      <c r="BE53" s="371"/>
      <c r="BF53" s="490"/>
    </row>
  </sheetData>
  <autoFilter ref="A11:BF11" xr:uid="{00000000-0001-0000-2200-000000000000}"/>
  <mergeCells count="18">
    <mergeCell ref="H1:H2"/>
    <mergeCell ref="I1:I2"/>
    <mergeCell ref="A10:A11"/>
    <mergeCell ref="G10:G11"/>
    <mergeCell ref="B10:B11"/>
    <mergeCell ref="C10:C11"/>
    <mergeCell ref="D10:D11"/>
    <mergeCell ref="E10:E11"/>
    <mergeCell ref="F10:F11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24:D33">
    <cfRule type="cellIs" dxfId="654" priority="13" operator="equal">
      <formula>"B- Incorporate Comments - Proceed"</formula>
    </cfRule>
    <cfRule type="cellIs" dxfId="653" priority="11" operator="equal">
      <formula>"E - Review not Required - Proceed"</formula>
    </cfRule>
    <cfRule type="cellIs" dxfId="652" priority="12" operator="equal">
      <formula>"D - Rejected"</formula>
    </cfRule>
    <cfRule type="cellIs" dxfId="651" priority="14" operator="equal">
      <formula>"C - Revise and Resubmit - Do Not Proceed"</formula>
    </cfRule>
    <cfRule type="cellIs" dxfId="650" priority="15" operator="equal">
      <formula>"A - Work May Proceed"</formula>
    </cfRule>
  </conditionalFormatting>
  <conditionalFormatting sqref="A36:L36">
    <cfRule type="cellIs" dxfId="649" priority="187" operator="equal">
      <formula>"D - Rejected"</formula>
    </cfRule>
    <cfRule type="cellIs" dxfId="648" priority="189" operator="equal">
      <formula>"C - Revise and Resubmit - Do Not Proceed"</formula>
    </cfRule>
    <cfRule type="cellIs" dxfId="647" priority="186" operator="equal">
      <formula>"E - Review not Required - Proceed"</formula>
    </cfRule>
    <cfRule type="cellIs" dxfId="646" priority="190" operator="equal">
      <formula>"A - Work May Proceed"</formula>
    </cfRule>
    <cfRule type="cellIs" dxfId="645" priority="188" operator="equal">
      <formula>"B- Incorporate Comments - Proceed"</formula>
    </cfRule>
  </conditionalFormatting>
  <conditionalFormatting sqref="A49:M52">
    <cfRule type="cellIs" dxfId="644" priority="88" operator="equal">
      <formula>"B- Incorporate Comments - Proceed"</formula>
    </cfRule>
    <cfRule type="cellIs" dxfId="643" priority="86" operator="equal">
      <formula>"E - Review not Required - Proceed"</formula>
    </cfRule>
    <cfRule type="cellIs" dxfId="642" priority="87" operator="equal">
      <formula>"D - Rejected"</formula>
    </cfRule>
    <cfRule type="cellIs" dxfId="641" priority="90" operator="equal">
      <formula>"A - Work May Proceed"</formula>
    </cfRule>
    <cfRule type="cellIs" dxfId="640" priority="89" operator="equal">
      <formula>"C - Revise and Resubmit - Do Not Proceed"</formula>
    </cfRule>
  </conditionalFormatting>
  <conditionalFormatting sqref="A12:XFD22 O22:O31 A23:Q23 W23:X33 Z23:AB33 L24:N31 P24:Q31 L32:Q33 A34:F35 O34:O51 G35:Q35 A53:XFD1048576">
    <cfRule type="cellIs" dxfId="639" priority="196" operator="equal">
      <formula>"E - Review not Required - Proceed"</formula>
    </cfRule>
    <cfRule type="cellIs" dxfId="638" priority="197" operator="equal">
      <formula>"D - Rejected"</formula>
    </cfRule>
    <cfRule type="cellIs" dxfId="637" priority="198" operator="equal">
      <formula>"B- Incorporate Comments - Proceed"</formula>
    </cfRule>
    <cfRule type="cellIs" dxfId="636" priority="199" operator="equal">
      <formula>"C - Revise and Resubmit - Do Not Proceed"</formula>
    </cfRule>
    <cfRule type="cellIs" dxfId="635" priority="200" operator="equal">
      <formula>"A - Work May Proceed"</formula>
    </cfRule>
  </conditionalFormatting>
  <conditionalFormatting sqref="D11:BE11 B1:G2 X1:XFD9 B3:H4 B9:H9 B10:XFD10 A10:A11 B11">
    <cfRule type="cellIs" dxfId="634" priority="254" operator="equal">
      <formula>"C - Revise and Resubmit - Do Not Proceed"</formula>
    </cfRule>
    <cfRule type="cellIs" dxfId="633" priority="255" operator="equal">
      <formula>"A - Work May Proceed"</formula>
    </cfRule>
    <cfRule type="cellIs" dxfId="632" priority="253" operator="equal">
      <formula>"B- Incorporate Comments - Proceed"</formula>
    </cfRule>
    <cfRule type="cellIs" dxfId="631" priority="252" operator="equal">
      <formula>"D - Rejected"</formula>
    </cfRule>
    <cfRule type="cellIs" dxfId="630" priority="251" operator="equal">
      <formula>"E - Review not Required - Proceed"</formula>
    </cfRule>
  </conditionalFormatting>
  <conditionalFormatting sqref="E24">
    <cfRule type="cellIs" dxfId="629" priority="99" operator="equal">
      <formula>"C - Revise and Resubmit - Do Not Proceed"</formula>
    </cfRule>
    <cfRule type="cellIs" dxfId="628" priority="96" operator="equal">
      <formula>"E - Review not Required - Proceed"</formula>
    </cfRule>
    <cfRule type="cellIs" dxfId="627" priority="97" operator="equal">
      <formula>"D - Rejected"</formula>
    </cfRule>
    <cfRule type="cellIs" dxfId="626" priority="98" operator="equal">
      <formula>"B- Incorporate Comments - Proceed"</formula>
    </cfRule>
    <cfRule type="cellIs" dxfId="625" priority="100" operator="equal">
      <formula>"A - Work May Proceed"</formula>
    </cfRule>
  </conditionalFormatting>
  <conditionalFormatting sqref="F24:J33">
    <cfRule type="cellIs" dxfId="624" priority="6" operator="equal">
      <formula>"E - Review not Required - Proceed"</formula>
    </cfRule>
    <cfRule type="cellIs" dxfId="623" priority="8" operator="equal">
      <formula>"B- Incorporate Comments - Proceed"</formula>
    </cfRule>
    <cfRule type="cellIs" dxfId="622" priority="9" operator="equal">
      <formula>"C - Revise and Resubmit - Do Not Proceed"</formula>
    </cfRule>
    <cfRule type="cellIs" dxfId="621" priority="7" operator="equal">
      <formula>"D - Rejected"</formula>
    </cfRule>
    <cfRule type="cellIs" dxfId="620" priority="10" operator="equal">
      <formula>"A - Work May Proceed"</formula>
    </cfRule>
  </conditionalFormatting>
  <conditionalFormatting sqref="I11">
    <cfRule type="cellIs" dxfId="619" priority="322" operator="equal">
      <formula>"B - Incorporate Comments - Proceed "</formula>
    </cfRule>
    <cfRule type="cellIs" dxfId="618" priority="323" operator="equal">
      <formula>"E - Review Not Required - Proceed"</formula>
    </cfRule>
    <cfRule type="cellIs" dxfId="617" priority="324" operator="between">
      <formula>"E - Review not Required - Proceed"</formula>
      <formula>"E - Review not Required - Proceed"</formula>
    </cfRule>
    <cfRule type="cellIs" dxfId="616" priority="326" operator="between">
      <formula>"C - Revise and Resubmit - Do Not Proceed"</formula>
      <formula>"C - Revise and Resubmit - Do Not Proceed"</formula>
    </cfRule>
    <cfRule type="cellIs" dxfId="615" priority="328" operator="between">
      <formula>"A - Work May Proceed"</formula>
      <formula>"A - Work May Proceed"</formula>
    </cfRule>
    <cfRule type="cellIs" dxfId="614" priority="327" operator="between">
      <formula>"B - Incorporate Comments - Proceed"</formula>
      <formula>"B - Incorporate Comments - Proceed"</formula>
    </cfRule>
    <cfRule type="cellIs" dxfId="613" priority="331" operator="between">
      <formula>"D - Rejected "</formula>
      <formula>"D - Rejected "</formula>
    </cfRule>
    <cfRule type="cellIs" dxfId="612" priority="329" operator="between">
      <formula>"B - Incorporate Comments - Proceed"</formula>
      <formula>"B - Incorporate Comments - Proceed"</formula>
    </cfRule>
    <cfRule type="cellIs" dxfId="611" priority="330" operator="between">
      <formula>"E - Review not Required - Proceed"</formula>
      <formula>"E - Review not Required - Proceed"</formula>
    </cfRule>
    <cfRule type="cellIs" dxfId="610" priority="325" operator="between">
      <formula>"'D - Rejected "</formula>
      <formula>"'D - Rejected "</formula>
    </cfRule>
    <cfRule type="cellIs" dxfId="609" priority="321" operator="equal">
      <formula>"For Information"</formula>
    </cfRule>
    <cfRule type="cellIs" dxfId="608" priority="320" operator="equal">
      <formula>"B - Incorporate Comments - Proceed"</formula>
    </cfRule>
    <cfRule type="cellIs" dxfId="607" priority="335" stopIfTrue="1" operator="between">
      <formula>"B - Incorporate Comments - Proceed "</formula>
      <formula>"B - Incorporate Comments - Proceed "</formula>
    </cfRule>
    <cfRule type="cellIs" dxfId="606" priority="334" operator="between">
      <formula>"C - Revise and Resubmit - Do Not Proceed"</formula>
      <formula>"C - Revise and Resubmit - Do Not Proceed"</formula>
    </cfRule>
    <cfRule type="cellIs" dxfId="605" priority="333" operator="between">
      <formula>"A - Work May Proceed"</formula>
      <formula>"A - Work May Proceed"</formula>
    </cfRule>
    <cfRule type="cellIs" dxfId="604" priority="332" operator="between">
      <formula>"CANCELLED"</formula>
      <formula>"CANCELLED"</formula>
    </cfRule>
  </conditionalFormatting>
  <conditionalFormatting sqref="J5:J6 B5:I7 B8:J8">
    <cfRule type="cellIs" dxfId="603" priority="201" operator="equal">
      <formula>"E - Review not Required - Proceed"</formula>
    </cfRule>
    <cfRule type="cellIs" dxfId="602" priority="202" operator="equal">
      <formula>"D - Rejected"</formula>
    </cfRule>
    <cfRule type="cellIs" dxfId="601" priority="204" operator="equal">
      <formula>"C - Revise and Resubmit - Do Not Proceed"</formula>
    </cfRule>
    <cfRule type="cellIs" dxfId="600" priority="205" stopIfTrue="1" operator="equal">
      <formula>"A - Work May Proceed"</formula>
    </cfRule>
    <cfRule type="cellIs" dxfId="599" priority="203" operator="equal">
      <formula>"B- Incorporate Comments - Proceed"</formula>
    </cfRule>
  </conditionalFormatting>
  <conditionalFormatting sqref="K38:M46 L47:M48">
    <cfRule type="cellIs" dxfId="598" priority="116" operator="equal">
      <formula>"E - Review not Required - Proceed"</formula>
    </cfRule>
    <cfRule type="cellIs" dxfId="597" priority="117" operator="equal">
      <formula>"D - Rejected"</formula>
    </cfRule>
    <cfRule type="cellIs" dxfId="596" priority="118" operator="equal">
      <formula>"B- Incorporate Comments - Proceed"</formula>
    </cfRule>
    <cfRule type="cellIs" dxfId="595" priority="119" operator="equal">
      <formula>"C - Revise and Resubmit - Do Not Proceed"</formula>
    </cfRule>
    <cfRule type="cellIs" dxfId="594" priority="120" operator="equal">
      <formula>"A - Work May Proceed"</formula>
    </cfRule>
  </conditionalFormatting>
  <conditionalFormatting sqref="M36:N37 L37 N38:N52">
    <cfRule type="cellIs" dxfId="593" priority="169" operator="equal">
      <formula>"C - Revise and Resubmit - Do Not Proceed"</formula>
    </cfRule>
    <cfRule type="cellIs" dxfId="592" priority="168" operator="equal">
      <formula>"B- Incorporate Comments - Proceed"</formula>
    </cfRule>
    <cfRule type="cellIs" dxfId="591" priority="167" operator="equal">
      <formula>"D - Rejected"</formula>
    </cfRule>
    <cfRule type="cellIs" dxfId="590" priority="170" operator="equal">
      <formula>"A - Work May Proceed"</formula>
    </cfRule>
    <cfRule type="cellIs" dxfId="589" priority="166" operator="equal">
      <formula>"E - Review not Required - Proceed"</formula>
    </cfRule>
  </conditionalFormatting>
  <conditionalFormatting sqref="O52:XFD52">
    <cfRule type="cellIs" dxfId="588" priority="41" operator="equal">
      <formula>"E - Review not Required - Proceed"</formula>
    </cfRule>
    <cfRule type="cellIs" dxfId="587" priority="42" operator="equal">
      <formula>"D - Rejected"</formula>
    </cfRule>
    <cfRule type="cellIs" dxfId="586" priority="43" operator="equal">
      <formula>"B- Incorporate Comments - Proceed"</formula>
    </cfRule>
    <cfRule type="cellIs" dxfId="585" priority="44" operator="equal">
      <formula>"C - Revise and Resubmit - Do Not Proceed"</formula>
    </cfRule>
    <cfRule type="cellIs" dxfId="584" priority="45" operator="equal">
      <formula>"A - Work May Proceed"</formula>
    </cfRule>
  </conditionalFormatting>
  <conditionalFormatting sqref="P11">
    <cfRule type="cellIs" dxfId="583" priority="316" operator="between">
      <formula>"CANCELLED"</formula>
      <formula>"CANCELLED"</formula>
    </cfRule>
    <cfRule type="cellIs" dxfId="582" priority="317" operator="between">
      <formula>"A - Work May Proceed"</formula>
      <formula>"A - Work May Proceed"</formula>
    </cfRule>
    <cfRule type="cellIs" dxfId="581" priority="318" operator="between">
      <formula>"C - Revise and Resubmit - Do Not Proceed"</formula>
      <formula>"C - Revise and Resubmit - Do Not Proceed"</formula>
    </cfRule>
    <cfRule type="cellIs" dxfId="580" priority="319" stopIfTrue="1" operator="between">
      <formula>"B - Incorporate Comments - Proceed "</formula>
      <formula>"B - Incorporate Comments - Proceed "</formula>
    </cfRule>
    <cfRule type="cellIs" dxfId="579" priority="309" operator="between">
      <formula>"'D - Rejected "</formula>
      <formula>"'D - Rejected "</formula>
    </cfRule>
    <cfRule type="cellIs" dxfId="578" priority="304" operator="equal">
      <formula>"B - Incorporate Comments - Proceed"</formula>
    </cfRule>
    <cfRule type="cellIs" dxfId="577" priority="305" operator="equal">
      <formula>"For Information"</formula>
    </cfRule>
    <cfRule type="cellIs" dxfId="576" priority="306" operator="equal">
      <formula>"B - Incorporate Comments - Proceed "</formula>
    </cfRule>
    <cfRule type="cellIs" dxfId="575" priority="307" operator="equal">
      <formula>"E - Review Not Required - Proceed"</formula>
    </cfRule>
    <cfRule type="cellIs" dxfId="574" priority="308" operator="between">
      <formula>"E - Review not Required - Proceed"</formula>
      <formula>"E - Review not Required - Proceed"</formula>
    </cfRule>
    <cfRule type="cellIs" dxfId="573" priority="310" operator="between">
      <formula>"C - Revise and Resubmit - Do Not Proceed"</formula>
      <formula>"C - Revise and Resubmit - Do Not Proceed"</formula>
    </cfRule>
    <cfRule type="cellIs" dxfId="572" priority="311" operator="between">
      <formula>"B - Incorporate Comments - Proceed"</formula>
      <formula>"B - Incorporate Comments - Proceed"</formula>
    </cfRule>
    <cfRule type="cellIs" dxfId="571" priority="312" operator="between">
      <formula>"A - Work May Proceed"</formula>
      <formula>"A - Work May Proceed"</formula>
    </cfRule>
    <cfRule type="cellIs" dxfId="570" priority="313" operator="between">
      <formula>"B - Incorporate Comments - Proceed"</formula>
      <formula>"B - Incorporate Comments - Proceed"</formula>
    </cfRule>
    <cfRule type="cellIs" dxfId="569" priority="314" operator="between">
      <formula>"E - Review not Required - Proceed"</formula>
      <formula>"E - Review not Required - Proceed"</formula>
    </cfRule>
    <cfRule type="cellIs" dxfId="568" priority="315" operator="between">
      <formula>"D - Rejected "</formula>
      <formula>"D - Rejected "</formula>
    </cfRule>
  </conditionalFormatting>
  <conditionalFormatting sqref="P36:Q49 A37:J48">
    <cfRule type="cellIs" dxfId="567" priority="145" operator="equal">
      <formula>"A - Work May Proceed"</formula>
    </cfRule>
    <cfRule type="cellIs" dxfId="566" priority="144" operator="equal">
      <formula>"C - Revise and Resubmit - Do Not Proceed"</formula>
    </cfRule>
    <cfRule type="cellIs" dxfId="565" priority="142" operator="equal">
      <formula>"D - Rejected"</formula>
    </cfRule>
    <cfRule type="cellIs" dxfId="564" priority="141" operator="equal">
      <formula>"E - Review not Required - Proceed"</formula>
    </cfRule>
    <cfRule type="cellIs" dxfId="563" priority="143" operator="equal">
      <formula>"B- Incorporate Comments - Proceed"</formula>
    </cfRule>
  </conditionalFormatting>
  <conditionalFormatting sqref="P50:XFD51">
    <cfRule type="cellIs" dxfId="562" priority="2" operator="equal">
      <formula>"D - Rejected"</formula>
    </cfRule>
    <cfRule type="cellIs" dxfId="561" priority="3" operator="equal">
      <formula>"B- Incorporate Comments - Proceed"</formula>
    </cfRule>
    <cfRule type="cellIs" dxfId="560" priority="4" operator="equal">
      <formula>"C - Revise and Resubmit - Do Not Proceed"</formula>
    </cfRule>
    <cfRule type="cellIs" dxfId="559" priority="5" operator="equal">
      <formula>"A - Work May Proceed"</formula>
    </cfRule>
    <cfRule type="cellIs" dxfId="558" priority="1" operator="equal">
      <formula>"E - Review not Required - Proceed"</formula>
    </cfRule>
  </conditionalFormatting>
  <conditionalFormatting sqref="S23:U33 G34:U34">
    <cfRule type="cellIs" dxfId="557" priority="17" operator="equal">
      <formula>"D - Rejected"</formula>
    </cfRule>
    <cfRule type="cellIs" dxfId="556" priority="18" operator="equal">
      <formula>"B- Incorporate Comments - Proceed"</formula>
    </cfRule>
    <cfRule type="cellIs" dxfId="555" priority="19" operator="equal">
      <formula>"C - Revise and Resubmit - Do Not Proceed"</formula>
    </cfRule>
    <cfRule type="cellIs" dxfId="554" priority="20" operator="equal">
      <formula>"A - Work May Proceed"</formula>
    </cfRule>
    <cfRule type="cellIs" dxfId="553" priority="16" operator="equal">
      <formula>"E - Review not Required - Proceed"</formula>
    </cfRule>
  </conditionalFormatting>
  <conditionalFormatting sqref="S35:U49">
    <cfRule type="cellIs" dxfId="552" priority="93" operator="equal">
      <formula>"B- Incorporate Comments - Proceed"</formula>
    </cfRule>
    <cfRule type="cellIs" dxfId="551" priority="94" operator="equal">
      <formula>"C - Revise and Resubmit - Do Not Proceed"</formula>
    </cfRule>
    <cfRule type="cellIs" dxfId="550" priority="91" operator="equal">
      <formula>"E - Review not Required - Proceed"</formula>
    </cfRule>
    <cfRule type="cellIs" dxfId="549" priority="95" operator="equal">
      <formula>"A - Work May Proceed"</formula>
    </cfRule>
    <cfRule type="cellIs" dxfId="548" priority="92" operator="equal">
      <formula>"D - Rejected"</formula>
    </cfRule>
  </conditionalFormatting>
  <conditionalFormatting sqref="W11">
    <cfRule type="cellIs" dxfId="547" priority="288" operator="equal">
      <formula>"B - Incorporate Comments - Proceed"</formula>
    </cfRule>
    <cfRule type="cellIs" dxfId="546" priority="303" stopIfTrue="1" operator="between">
      <formula>"B - Incorporate Comments - Proceed "</formula>
      <formula>"B - Incorporate Comments - Proceed "</formula>
    </cfRule>
    <cfRule type="cellIs" dxfId="545" priority="302" operator="between">
      <formula>"C - Revise and Resubmit - Do Not Proceed"</formula>
      <formula>"C - Revise and Resubmit - Do Not Proceed"</formula>
    </cfRule>
    <cfRule type="cellIs" dxfId="544" priority="290" operator="equal">
      <formula>"B - Incorporate Comments - Proceed "</formula>
    </cfRule>
    <cfRule type="cellIs" dxfId="543" priority="289" operator="equal">
      <formula>"For Information"</formula>
    </cfRule>
    <cfRule type="cellIs" dxfId="542" priority="297" operator="between">
      <formula>"B - Incorporate Comments - Proceed"</formula>
      <formula>"B - Incorporate Comments - Proceed"</formula>
    </cfRule>
    <cfRule type="cellIs" dxfId="541" priority="301" operator="between">
      <formula>"A - Work May Proceed"</formula>
      <formula>"A - Work May Proceed"</formula>
    </cfRule>
    <cfRule type="cellIs" dxfId="540" priority="300" operator="between">
      <formula>"CANCELLED"</formula>
      <formula>"CANCELLED"</formula>
    </cfRule>
    <cfRule type="cellIs" dxfId="539" priority="292" operator="between">
      <formula>"E - Review not Required - Proceed"</formula>
      <formula>"E - Review not Required - Proceed"</formula>
    </cfRule>
    <cfRule type="cellIs" dxfId="538" priority="298" operator="between">
      <formula>"E - Review not Required - Proceed"</formula>
      <formula>"E - Review not Required - Proceed"</formula>
    </cfRule>
    <cfRule type="cellIs" dxfId="537" priority="299" operator="between">
      <formula>"D - Rejected "</formula>
      <formula>"D - Rejected "</formula>
    </cfRule>
    <cfRule type="cellIs" dxfId="536" priority="296" operator="between">
      <formula>"A - Work May Proceed"</formula>
      <formula>"A - Work May Proceed"</formula>
    </cfRule>
    <cfRule type="cellIs" dxfId="535" priority="295" operator="between">
      <formula>"B - Incorporate Comments - Proceed"</formula>
      <formula>"B - Incorporate Comments - Proceed"</formula>
    </cfRule>
    <cfRule type="cellIs" dxfId="534" priority="294" operator="between">
      <formula>"C - Revise and Resubmit - Do Not Proceed"</formula>
      <formula>"C - Revise and Resubmit - Do Not Proceed"</formula>
    </cfRule>
    <cfRule type="cellIs" dxfId="533" priority="293" operator="between">
      <formula>"'D - Rejected "</formula>
      <formula>"'D - Rejected "</formula>
    </cfRule>
    <cfRule type="cellIs" dxfId="532" priority="291" operator="equal">
      <formula>"E - Review Not Required - Proceed"</formula>
    </cfRule>
  </conditionalFormatting>
  <conditionalFormatting sqref="W36:BE37 W38:XFD49">
    <cfRule type="cellIs" dxfId="531" priority="26" operator="equal">
      <formula>"E - Review not Required - Proceed"</formula>
    </cfRule>
    <cfRule type="cellIs" dxfId="530" priority="29" operator="equal">
      <formula>"C - Revise and Resubmit - Do Not Proceed"</formula>
    </cfRule>
    <cfRule type="cellIs" dxfId="529" priority="30" operator="equal">
      <formula>"A - Work May Proceed"</formula>
    </cfRule>
    <cfRule type="cellIs" dxfId="528" priority="27" operator="equal">
      <formula>"D - Rejected"</formula>
    </cfRule>
    <cfRule type="cellIs" dxfId="527" priority="28" operator="equal">
      <formula>"B- Incorporate Comments - Proceed"</formula>
    </cfRule>
  </conditionalFormatting>
  <conditionalFormatting sqref="AC25:AC28">
    <cfRule type="cellIs" dxfId="526" priority="36" operator="equal">
      <formula>"E - Review not Required - Proceed"</formula>
    </cfRule>
    <cfRule type="cellIs" dxfId="525" priority="39" operator="equal">
      <formula>"C - Revise and Resubmit - Do Not Proceed"</formula>
    </cfRule>
    <cfRule type="cellIs" dxfId="524" priority="38" operator="equal">
      <formula>"B- Incorporate Comments - Proceed"</formula>
    </cfRule>
    <cfRule type="cellIs" dxfId="523" priority="37" operator="equal">
      <formula>"D - Rejected"</formula>
    </cfRule>
    <cfRule type="cellIs" dxfId="522" priority="40" operator="equal">
      <formula>"A - Work May Proceed"</formula>
    </cfRule>
  </conditionalFormatting>
  <conditionalFormatting sqref="AD11">
    <cfRule type="cellIs" dxfId="521" priority="287" stopIfTrue="1" operator="between">
      <formula>"B - Incorporate Comments - Proceed "</formula>
      <formula>"B - Incorporate Comments - Proceed "</formula>
    </cfRule>
    <cfRule type="cellIs" dxfId="520" priority="283" operator="between">
      <formula>"D - Rejected "</formula>
      <formula>"D - Rejected "</formula>
    </cfRule>
    <cfRule type="cellIs" dxfId="519" priority="272" operator="equal">
      <formula>"B - Incorporate Comments - Proceed"</formula>
    </cfRule>
    <cfRule type="cellIs" dxfId="518" priority="273" operator="equal">
      <formula>"For Information"</formula>
    </cfRule>
    <cfRule type="cellIs" dxfId="517" priority="274" operator="equal">
      <formula>"B - Incorporate Comments - Proceed "</formula>
    </cfRule>
    <cfRule type="cellIs" dxfId="516" priority="275" operator="equal">
      <formula>"E - Review Not Required - Proceed"</formula>
    </cfRule>
    <cfRule type="cellIs" dxfId="515" priority="276" operator="between">
      <formula>"E - Review not Required - Proceed"</formula>
      <formula>"E - Review not Required - Proceed"</formula>
    </cfRule>
    <cfRule type="cellIs" dxfId="514" priority="277" operator="between">
      <formula>"'D - Rejected "</formula>
      <formula>"'D - Rejected "</formula>
    </cfRule>
    <cfRule type="cellIs" dxfId="513" priority="278" operator="between">
      <formula>"C - Revise and Resubmit - Do Not Proceed"</formula>
      <formula>"C - Revise and Resubmit - Do Not Proceed"</formula>
    </cfRule>
    <cfRule type="cellIs" dxfId="512" priority="279" operator="between">
      <formula>"B - Incorporate Comments - Proceed"</formula>
      <formula>"B - Incorporate Comments - Proceed"</formula>
    </cfRule>
    <cfRule type="cellIs" dxfId="511" priority="280" operator="between">
      <formula>"A - Work May Proceed"</formula>
      <formula>"A - Work May Proceed"</formula>
    </cfRule>
    <cfRule type="cellIs" dxfId="510" priority="281" operator="between">
      <formula>"B - Incorporate Comments - Proceed"</formula>
      <formula>"B - Incorporate Comments - Proceed"</formula>
    </cfRule>
    <cfRule type="cellIs" dxfId="509" priority="282" operator="between">
      <formula>"E - Review not Required - Proceed"</formula>
      <formula>"E - Review not Required - Proceed"</formula>
    </cfRule>
    <cfRule type="cellIs" dxfId="508" priority="284" operator="between">
      <formula>"CANCELLED"</formula>
      <formula>"CANCELLED"</formula>
    </cfRule>
    <cfRule type="cellIs" dxfId="507" priority="285" operator="between">
      <formula>"A - Work May Proceed"</formula>
      <formula>"A - Work May Proceed"</formula>
    </cfRule>
    <cfRule type="cellIs" dxfId="506" priority="286" operator="between">
      <formula>"C - Revise and Resubmit - Do Not Proceed"</formula>
      <formula>"C - Revise and Resubmit - Do Not Proceed"</formula>
    </cfRule>
  </conditionalFormatting>
  <conditionalFormatting sqref="AD23:XFD31 AD32:BE33">
    <cfRule type="cellIs" dxfId="505" priority="34" operator="equal">
      <formula>"C - Revise and Resubmit - Do Not Proceed"</formula>
    </cfRule>
    <cfRule type="cellIs" dxfId="504" priority="31" operator="equal">
      <formula>"E - Review not Required - Proceed"</formula>
    </cfRule>
    <cfRule type="cellIs" dxfId="503" priority="32" operator="equal">
      <formula>"D - Rejected"</formula>
    </cfRule>
    <cfRule type="cellIs" dxfId="502" priority="33" operator="equal">
      <formula>"B- Incorporate Comments - Proceed"</formula>
    </cfRule>
    <cfRule type="cellIs" dxfId="501" priority="35" operator="equal">
      <formula>"A - Work May Proceed"</formula>
    </cfRule>
  </conditionalFormatting>
  <conditionalFormatting sqref="AK11">
    <cfRule type="cellIs" dxfId="500" priority="269" operator="between">
      <formula>"A - Work May Proceed"</formula>
      <formula>"A - Work May Proceed"</formula>
    </cfRule>
    <cfRule type="cellIs" dxfId="499" priority="268" operator="between">
      <formula>"CANCELLED"</formula>
      <formula>"CANCELLED"</formula>
    </cfRule>
    <cfRule type="cellIs" dxfId="498" priority="267" operator="between">
      <formula>"D - Rejected "</formula>
      <formula>"D - Rejected "</formula>
    </cfRule>
    <cfRule type="cellIs" dxfId="497" priority="266" operator="between">
      <formula>"E - Review not Required - Proceed"</formula>
      <formula>"E - Review not Required - Proceed"</formula>
    </cfRule>
    <cfRule type="cellIs" dxfId="496" priority="257" operator="equal">
      <formula>"For Information"</formula>
    </cfRule>
    <cfRule type="cellIs" dxfId="495" priority="265" operator="between">
      <formula>"B - Incorporate Comments - Proceed"</formula>
      <formula>"B - Incorporate Comments - Proceed"</formula>
    </cfRule>
    <cfRule type="cellIs" dxfId="494" priority="264" operator="between">
      <formula>"A - Work May Proceed"</formula>
      <formula>"A - Work May Proceed"</formula>
    </cfRule>
    <cfRule type="cellIs" dxfId="493" priority="263" operator="between">
      <formula>"B - Incorporate Comments - Proceed"</formula>
      <formula>"B - Incorporate Comments - Proceed"</formula>
    </cfRule>
    <cfRule type="cellIs" dxfId="492" priority="262" operator="between">
      <formula>"C - Revise and Resubmit - Do Not Proceed"</formula>
      <formula>"C - Revise and Resubmit - Do Not Proceed"</formula>
    </cfRule>
    <cfRule type="cellIs" dxfId="491" priority="261" operator="between">
      <formula>"'D - Rejected "</formula>
      <formula>"'D - Rejected "</formula>
    </cfRule>
    <cfRule type="cellIs" dxfId="490" priority="260" operator="between">
      <formula>"E - Review not Required - Proceed"</formula>
      <formula>"E - Review not Required - Proceed"</formula>
    </cfRule>
    <cfRule type="cellIs" dxfId="489" priority="259" operator="equal">
      <formula>"E - Review Not Required - Proceed"</formula>
    </cfRule>
    <cfRule type="cellIs" dxfId="488" priority="258" operator="equal">
      <formula>"B - Incorporate Comments - Proceed "</formula>
    </cfRule>
    <cfRule type="cellIs" dxfId="487" priority="256" operator="equal">
      <formula>"B - Incorporate Comments - Proceed"</formula>
    </cfRule>
    <cfRule type="cellIs" dxfId="486" priority="271" stopIfTrue="1" operator="between">
      <formula>"B - Incorporate Comments - Proceed "</formula>
      <formula>"B - Incorporate Comments - Proceed "</formula>
    </cfRule>
    <cfRule type="cellIs" dxfId="485" priority="270" operator="between">
      <formula>"C - Revise and Resubmit - Do Not Proceed"</formula>
      <formula>"C - Revise and Resubmit - Do Not Proceed"</formula>
    </cfRule>
  </conditionalFormatting>
  <conditionalFormatting sqref="AR11">
    <cfRule type="cellIs" dxfId="484" priority="219" operator="between">
      <formula>"E - Review not Required - Proceed"</formula>
      <formula>"E - Review not Required - Proceed"</formula>
    </cfRule>
    <cfRule type="cellIs" dxfId="483" priority="218" operator="equal">
      <formula>"E - Review Not Required - Proceed"</formula>
    </cfRule>
    <cfRule type="cellIs" dxfId="482" priority="217" operator="equal">
      <formula>"B - Incorporate Comments - Proceed "</formula>
    </cfRule>
    <cfRule type="cellIs" dxfId="481" priority="216" operator="equal">
      <formula>"For Information"</formula>
    </cfRule>
    <cfRule type="cellIs" dxfId="480" priority="214" operator="equal">
      <formula>"C - Revise and Resubmit - Do Not Proceed"</formula>
    </cfRule>
    <cfRule type="cellIs" dxfId="479" priority="213" operator="equal">
      <formula>"B - Incorporate Comments - Proceed"</formula>
    </cfRule>
    <cfRule type="cellIs" dxfId="478" priority="212" operator="equal">
      <formula>"D - Rejected"</formula>
    </cfRule>
    <cfRule type="cellIs" dxfId="477" priority="211" operator="equal">
      <formula>"E - Review not Required - Proceed"</formula>
    </cfRule>
    <cfRule type="cellIs" dxfId="476" priority="228" operator="between">
      <formula>"A - Work May Proceed"</formula>
      <formula>"A - Work May Proceed"</formula>
    </cfRule>
    <cfRule type="cellIs" dxfId="475" priority="225" operator="between">
      <formula>"E - Review not Required - Proceed"</formula>
      <formula>"E - Review not Required - Proceed"</formula>
    </cfRule>
    <cfRule type="cellIs" dxfId="474" priority="226" operator="between">
      <formula>"D - Rejected "</formula>
      <formula>"D - Rejected "</formula>
    </cfRule>
    <cfRule type="cellIs" dxfId="473" priority="227" operator="between">
      <formula>"CANCELLED"</formula>
      <formula>"CANCELLED"</formula>
    </cfRule>
    <cfRule type="cellIs" dxfId="472" priority="215" operator="equal">
      <formula>"A - Work May Proceed"</formula>
    </cfRule>
    <cfRule type="cellIs" dxfId="471" priority="229" operator="between">
      <formula>"C - Revise and Resubmit - Do Not Proceed"</formula>
      <formula>"C - Revise and Resubmit - Do Not Proceed"</formula>
    </cfRule>
    <cfRule type="cellIs" dxfId="470" priority="230" stopIfTrue="1" operator="between">
      <formula>"B - Incorporate Comments - Proceed "</formula>
      <formula>"B - Incorporate Comments - Proceed "</formula>
    </cfRule>
    <cfRule type="cellIs" dxfId="469" priority="224" operator="between">
      <formula>"B - Incorporate Comments - Proceed"</formula>
      <formula>"B - Incorporate Comments - Proceed"</formula>
    </cfRule>
    <cfRule type="cellIs" dxfId="468" priority="223" operator="between">
      <formula>"A - Work May Proceed"</formula>
      <formula>"A - Work May Proceed"</formula>
    </cfRule>
    <cfRule type="cellIs" dxfId="467" priority="222" operator="between">
      <formula>"B - Incorporate Comments - Proceed"</formula>
      <formula>"B - Incorporate Comments - Proceed"</formula>
    </cfRule>
    <cfRule type="cellIs" dxfId="466" priority="221" operator="between">
      <formula>"C - Revise and Resubmit - Do Not Proceed"</formula>
      <formula>"C - Revise and Resubmit - Do Not Proceed"</formula>
    </cfRule>
    <cfRule type="cellIs" dxfId="465" priority="220" operator="between">
      <formula>"'D - Rejected "</formula>
      <formula>"'D - Rejected "</formula>
    </cfRule>
  </conditionalFormatting>
  <conditionalFormatting sqref="AY11">
    <cfRule type="cellIs" dxfId="464" priority="244" operator="between">
      <formula>"B - Incorporate Comments - Proceed"</formula>
      <formula>"B - Incorporate Comments - Proceed"</formula>
    </cfRule>
    <cfRule type="cellIs" dxfId="463" priority="245" operator="between">
      <formula>"E - Review not Required - Proceed"</formula>
      <formula>"E - Review not Required - Proceed"</formula>
    </cfRule>
    <cfRule type="cellIs" dxfId="462" priority="246" operator="between">
      <formula>"D - Rejected "</formula>
      <formula>"D - Rejected "</formula>
    </cfRule>
    <cfRule type="cellIs" dxfId="461" priority="247" operator="between">
      <formula>"CANCELLED"</formula>
      <formula>"CANCELLED"</formula>
    </cfRule>
    <cfRule type="cellIs" dxfId="460" priority="248" operator="between">
      <formula>"A - Work May Proceed"</formula>
      <formula>"A - Work May Proceed"</formula>
    </cfRule>
    <cfRule type="cellIs" dxfId="459" priority="249" operator="between">
      <formula>"C - Revise and Resubmit - Do Not Proceed"</formula>
      <formula>"C - Revise and Resubmit - Do Not Proceed"</formula>
    </cfRule>
    <cfRule type="cellIs" dxfId="458" priority="234" operator="equal">
      <formula>"C - Revise and Resubmit - Do Not Proceed"</formula>
    </cfRule>
    <cfRule type="cellIs" dxfId="457" priority="235" operator="equal">
      <formula>"A - Work May Proceed"</formula>
    </cfRule>
    <cfRule type="cellIs" dxfId="456" priority="236" operator="equal">
      <formula>"For Information"</formula>
    </cfRule>
    <cfRule type="cellIs" dxfId="455" priority="237" operator="equal">
      <formula>"B - Incorporate Comments - Proceed "</formula>
    </cfRule>
    <cfRule type="cellIs" dxfId="454" priority="238" operator="equal">
      <formula>"E - Review Not Required - Proceed"</formula>
    </cfRule>
    <cfRule type="cellIs" dxfId="453" priority="250" stopIfTrue="1" operator="between">
      <formula>"B - Incorporate Comments - Proceed "</formula>
      <formula>"B - Incorporate Comments - Proceed "</formula>
    </cfRule>
    <cfRule type="cellIs" dxfId="452" priority="239" operator="between">
      <formula>"E - Review not Required - Proceed"</formula>
      <formula>"E - Review not Required - Proceed"</formula>
    </cfRule>
    <cfRule type="cellIs" dxfId="451" priority="240" operator="between">
      <formula>"'D - Rejected "</formula>
      <formula>"'D - Rejected "</formula>
    </cfRule>
    <cfRule type="cellIs" dxfId="450" priority="241" operator="between">
      <formula>"C - Revise and Resubmit - Do Not Proceed"</formula>
      <formula>"C - Revise and Resubmit - Do Not Proceed"</formula>
    </cfRule>
    <cfRule type="cellIs" dxfId="449" priority="242" operator="between">
      <formula>"B - Incorporate Comments - Proceed"</formula>
      <formula>"B - Incorporate Comments - Proceed"</formula>
    </cfRule>
    <cfRule type="cellIs" dxfId="448" priority="232" operator="equal">
      <formula>"D - Rejected"</formula>
    </cfRule>
    <cfRule type="cellIs" dxfId="447" priority="233" operator="equal">
      <formula>"B - Incorporate Comments - Proceed"</formula>
    </cfRule>
    <cfRule type="cellIs" dxfId="446" priority="231" operator="equal">
      <formula>"E - Review not Required - Proceed"</formula>
    </cfRule>
    <cfRule type="cellIs" dxfId="445" priority="243" operator="between">
      <formula>"A - Work May Proceed"</formula>
      <formula>"A - Work May Proceed"</formula>
    </cfRule>
  </conditionalFormatting>
  <conditionalFormatting sqref="BF32:XFD37 V34:BE35">
    <cfRule type="cellIs" dxfId="444" priority="22" operator="equal">
      <formula>"D - Rejected"</formula>
    </cfRule>
    <cfRule type="cellIs" dxfId="443" priority="23" operator="equal">
      <formula>"B- Incorporate Comments - Proceed"</formula>
    </cfRule>
    <cfRule type="cellIs" dxfId="442" priority="24" operator="equal">
      <formula>"C - Revise and Resubmit - Do Not Proceed"</formula>
    </cfRule>
    <cfRule type="cellIs" dxfId="441" priority="25" operator="equal">
      <formula>"A - Work May Proceed"</formula>
    </cfRule>
    <cfRule type="cellIs" dxfId="440" priority="21" operator="equal">
      <formula>"E - Review not Required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2">
    <tabColor theme="7"/>
  </sheetPr>
  <dimension ref="A1:BF39"/>
  <sheetViews>
    <sheetView zoomScale="55" zoomScaleNormal="55" zoomScaleSheetLayoutView="70" workbookViewId="0">
      <pane ySplit="11" topLeftCell="A28" activePane="bottomLeft" state="frozen"/>
      <selection activeCell="A14" sqref="A14"/>
      <selection pane="bottomLeft" activeCell="F38" sqref="F38"/>
    </sheetView>
  </sheetViews>
  <sheetFormatPr defaultColWidth="9.140625" defaultRowHeight="15" x14ac:dyDescent="0.25"/>
  <cols>
    <col min="1" max="1" width="24.57031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3" width="30.140625" style="471" customWidth="1"/>
    <col min="14" max="14" width="30.140625" style="396" customWidth="1"/>
    <col min="15" max="16" width="30.140625" style="393" customWidth="1"/>
    <col min="17" max="17" width="30.140625" style="397" customWidth="1"/>
    <col min="18" max="19" width="30.140625" style="393" customWidth="1"/>
    <col min="20" max="21" width="30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5.28515625" style="472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 s="111"/>
      <c r="O1"/>
      <c r="P1"/>
      <c r="Q1"/>
      <c r="R1"/>
      <c r="S1"/>
      <c r="T1"/>
      <c r="U1"/>
      <c r="V1"/>
      <c r="W1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198"/>
    </row>
    <row r="2" spans="1:58" s="379" customFormat="1" ht="24" customHeight="1" x14ac:dyDescent="0.35">
      <c r="A2" s="8"/>
      <c r="B2" s="25" t="s">
        <v>28</v>
      </c>
      <c r="C2" s="26" t="s">
        <v>171</v>
      </c>
      <c r="D2" s="26"/>
      <c r="E2" s="26"/>
      <c r="F2" s="27"/>
      <c r="G2" s="8"/>
      <c r="H2" s="548"/>
      <c r="I2" s="558"/>
      <c r="J2"/>
      <c r="K2"/>
      <c r="L2"/>
      <c r="M2"/>
      <c r="N2" s="111"/>
      <c r="O2"/>
      <c r="P2"/>
      <c r="Q2"/>
      <c r="R2"/>
      <c r="S2"/>
      <c r="T2"/>
      <c r="U2"/>
      <c r="V2"/>
      <c r="W2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198"/>
    </row>
    <row r="3" spans="1:58" s="379" customFormat="1" ht="24" customHeight="1" x14ac:dyDescent="0.35">
      <c r="A3" s="8"/>
      <c r="B3" s="25" t="s">
        <v>507</v>
      </c>
      <c r="C3" s="26" t="s">
        <v>132</v>
      </c>
      <c r="D3" s="26"/>
      <c r="E3" s="26"/>
      <c r="F3" s="27"/>
      <c r="G3" s="8"/>
      <c r="H3" s="8"/>
      <c r="I3"/>
      <c r="J3"/>
      <c r="K3"/>
      <c r="L3"/>
      <c r="M3"/>
      <c r="N3" s="111"/>
      <c r="O3"/>
      <c r="P3"/>
      <c r="Q3"/>
      <c r="R3"/>
      <c r="S3"/>
      <c r="T3"/>
      <c r="U3"/>
      <c r="V3"/>
      <c r="W3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198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 s="111"/>
      <c r="O4"/>
      <c r="P4"/>
      <c r="Q4"/>
      <c r="R4"/>
      <c r="S4"/>
      <c r="T4"/>
      <c r="U4"/>
      <c r="V4"/>
      <c r="W4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198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 s="111"/>
      <c r="O5"/>
      <c r="P5"/>
      <c r="Q5"/>
      <c r="R5"/>
      <c r="S5"/>
      <c r="T5"/>
      <c r="U5"/>
      <c r="V5"/>
      <c r="W5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198"/>
    </row>
    <row r="6" spans="1:58" s="379" customFormat="1" ht="24" customHeight="1" x14ac:dyDescent="0.35">
      <c r="A6" s="8"/>
      <c r="B6" s="64">
        <f>COUNTIF(B11:B38,"A - Work May Proceed")</f>
        <v>26</v>
      </c>
      <c r="C6" s="65">
        <f>COUNTIF(B11:B38,"B- Incorporate Comments - Proceed")</f>
        <v>0</v>
      </c>
      <c r="D6" s="65">
        <f>COUNTIF(B11:B38,"C - Revise and Resubmit - Do Not Proceed")</f>
        <v>0</v>
      </c>
      <c r="E6" s="65">
        <f>COUNTIF(B11:B38,"D - Rejected")</f>
        <v>0</v>
      </c>
      <c r="F6" s="65">
        <f>COUNTIF(B11:B38,"E - Review not Required - Proceed")</f>
        <v>0</v>
      </c>
      <c r="G6" s="66">
        <f>COUNTIF(B11:B38,"UR")</f>
        <v>0</v>
      </c>
      <c r="H6" s="66">
        <f>COUNTIF(B11:B38,"FA")</f>
        <v>0</v>
      </c>
      <c r="I6" s="66">
        <f>COUNTIF(B11:B38,"Terminated")</f>
        <v>0</v>
      </c>
      <c r="J6" s="66">
        <f>COUNTIF(B11:B38,"Cancelled")</f>
        <v>0</v>
      </c>
      <c r="K6"/>
      <c r="L6"/>
      <c r="M6"/>
      <c r="N6" s="111"/>
      <c r="O6"/>
      <c r="P6"/>
      <c r="Q6"/>
      <c r="R6"/>
      <c r="S6"/>
      <c r="T6"/>
      <c r="U6"/>
      <c r="V6"/>
      <c r="W6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198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 s="111"/>
      <c r="O7"/>
      <c r="P7"/>
      <c r="Q7"/>
      <c r="R7"/>
      <c r="S7"/>
      <c r="T7"/>
      <c r="U7"/>
      <c r="V7"/>
      <c r="W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198"/>
    </row>
    <row r="8" spans="1:58" s="379" customFormat="1" ht="24" customHeight="1" x14ac:dyDescent="0.35">
      <c r="A8" s="8"/>
      <c r="B8" s="72" t="s">
        <v>509</v>
      </c>
      <c r="C8" s="73">
        <f>SUM(B6:J6)</f>
        <v>26</v>
      </c>
      <c r="D8" s="69"/>
      <c r="E8" s="70"/>
      <c r="F8" s="70"/>
      <c r="G8" s="74"/>
      <c r="H8" s="75"/>
      <c r="I8" s="76"/>
      <c r="J8" s="75"/>
      <c r="K8"/>
      <c r="L8"/>
      <c r="M8"/>
      <c r="N8" s="111"/>
      <c r="O8"/>
      <c r="P8"/>
      <c r="Q8"/>
      <c r="R8"/>
      <c r="S8"/>
      <c r="T8"/>
      <c r="U8"/>
      <c r="V8"/>
      <c r="W8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198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 s="111"/>
      <c r="O9"/>
      <c r="P9"/>
      <c r="Q9"/>
      <c r="R9"/>
      <c r="S9"/>
      <c r="T9"/>
      <c r="U9"/>
      <c r="V9"/>
      <c r="W9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198"/>
    </row>
    <row r="10" spans="1:58" s="405" customFormat="1" ht="36.75" customHeight="1" x14ac:dyDescent="0.2">
      <c r="A10" s="559" t="s">
        <v>3259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112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442">
        <v>730007</v>
      </c>
      <c r="B12" s="11" t="s">
        <v>5</v>
      </c>
      <c r="C12" s="56" t="s">
        <v>588</v>
      </c>
      <c r="D12" s="12" t="s">
        <v>1165</v>
      </c>
      <c r="E12" s="12" t="s">
        <v>1167</v>
      </c>
      <c r="F12" s="16" t="s">
        <v>1166</v>
      </c>
      <c r="G12" s="10" t="s">
        <v>172</v>
      </c>
      <c r="H12" s="10" t="s">
        <v>132</v>
      </c>
      <c r="I12" s="16" t="s">
        <v>18</v>
      </c>
      <c r="J12" s="14">
        <v>45628</v>
      </c>
      <c r="K12" s="12" t="s">
        <v>1168</v>
      </c>
      <c r="L12" s="20">
        <f t="shared" ref="L12:L18" si="0">J12+7</f>
        <v>45635</v>
      </c>
      <c r="M12" s="14">
        <v>45643</v>
      </c>
      <c r="N12" s="92">
        <f t="shared" ref="N12:N20" si="1">M12-L12</f>
        <v>8</v>
      </c>
      <c r="O12" s="12" t="s">
        <v>1181</v>
      </c>
      <c r="P12" s="16" t="s">
        <v>5</v>
      </c>
      <c r="Q12" s="20">
        <v>45689</v>
      </c>
      <c r="R12" s="12" t="s">
        <v>2265</v>
      </c>
      <c r="S12" s="20">
        <f>Q12+7</f>
        <v>45696</v>
      </c>
      <c r="T12" s="20">
        <v>45704</v>
      </c>
      <c r="U12" s="92">
        <f>T12-S12</f>
        <v>8</v>
      </c>
      <c r="V12" s="12" t="s">
        <v>2281</v>
      </c>
      <c r="W12" s="12" t="s">
        <v>5</v>
      </c>
      <c r="X12" s="20">
        <v>46134</v>
      </c>
      <c r="Y12" s="12" t="s">
        <v>6485</v>
      </c>
      <c r="Z12" s="20">
        <f>X12+7</f>
        <v>46141</v>
      </c>
      <c r="AA12" s="20">
        <v>46142</v>
      </c>
      <c r="AB12" s="92">
        <f>AA12-Z12</f>
        <v>1</v>
      </c>
      <c r="AC12" s="12" t="s">
        <v>6501</v>
      </c>
      <c r="AD12" s="12"/>
      <c r="AE12" s="20"/>
      <c r="AF12" s="12"/>
      <c r="AG12" s="12"/>
      <c r="AH12" s="20"/>
      <c r="AI12" s="20"/>
      <c r="AJ12" s="12"/>
      <c r="AK12" s="10"/>
      <c r="AL12" s="14"/>
      <c r="AM12" s="12"/>
      <c r="AN12" s="12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/>
      <c r="BF12" s="460"/>
    </row>
    <row r="13" spans="1:58" s="381" customFormat="1" ht="42" customHeight="1" x14ac:dyDescent="0.25">
      <c r="A13" s="442">
        <v>730007</v>
      </c>
      <c r="B13" s="16" t="s">
        <v>5</v>
      </c>
      <c r="C13" s="56" t="s">
        <v>725</v>
      </c>
      <c r="D13" s="12" t="s">
        <v>1436</v>
      </c>
      <c r="E13" s="12" t="s">
        <v>1437</v>
      </c>
      <c r="F13" s="16" t="s">
        <v>1438</v>
      </c>
      <c r="G13" s="10" t="s">
        <v>172</v>
      </c>
      <c r="H13" s="10" t="s">
        <v>132</v>
      </c>
      <c r="I13" s="16" t="s">
        <v>3</v>
      </c>
      <c r="J13" s="14">
        <v>45641</v>
      </c>
      <c r="K13" s="12" t="s">
        <v>1439</v>
      </c>
      <c r="L13" s="20">
        <f t="shared" si="0"/>
        <v>45648</v>
      </c>
      <c r="M13" s="14">
        <v>45662</v>
      </c>
      <c r="N13" s="92">
        <f t="shared" si="1"/>
        <v>14</v>
      </c>
      <c r="O13" s="12" t="s">
        <v>1484</v>
      </c>
      <c r="P13" s="16" t="s">
        <v>5</v>
      </c>
      <c r="Q13" s="20">
        <v>45666</v>
      </c>
      <c r="R13" s="12" t="s">
        <v>1921</v>
      </c>
      <c r="S13" s="20">
        <f>Q13+7</f>
        <v>45673</v>
      </c>
      <c r="T13" s="20">
        <v>45686</v>
      </c>
      <c r="U13" s="92">
        <f>T13-S13</f>
        <v>13</v>
      </c>
      <c r="V13" s="12" t="s">
        <v>1940</v>
      </c>
      <c r="W13" s="16" t="s">
        <v>18</v>
      </c>
      <c r="X13" s="20">
        <v>46134</v>
      </c>
      <c r="Y13" s="12" t="s">
        <v>6482</v>
      </c>
      <c r="Z13" s="20">
        <f>X13+7</f>
        <v>46141</v>
      </c>
      <c r="AA13" s="20">
        <v>46145</v>
      </c>
      <c r="AB13" s="92">
        <f>AA13-Z13</f>
        <v>4</v>
      </c>
      <c r="AC13" s="12" t="s">
        <v>6494</v>
      </c>
      <c r="AD13" s="12" t="s">
        <v>5</v>
      </c>
      <c r="AE13" s="20">
        <v>46148</v>
      </c>
      <c r="AF13" s="12" t="s">
        <v>6687</v>
      </c>
      <c r="AG13" s="14">
        <f>AE13+7</f>
        <v>46155</v>
      </c>
      <c r="AH13" s="21">
        <v>46153</v>
      </c>
      <c r="AI13" s="92">
        <f>AH13-AG13</f>
        <v>-2</v>
      </c>
      <c r="AJ13" s="12" t="s">
        <v>6691</v>
      </c>
      <c r="AK13" s="10"/>
      <c r="AL13" s="14"/>
      <c r="AM13" s="12"/>
      <c r="AN13" s="12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2"/>
      <c r="BF13" s="460"/>
    </row>
    <row r="14" spans="1:58" s="381" customFormat="1" ht="42" customHeight="1" x14ac:dyDescent="0.25">
      <c r="A14" s="442">
        <v>730007</v>
      </c>
      <c r="B14" s="56" t="s">
        <v>5</v>
      </c>
      <c r="C14" s="56" t="s">
        <v>208</v>
      </c>
      <c r="D14" s="12" t="s">
        <v>1512</v>
      </c>
      <c r="E14" s="12" t="s">
        <v>1513</v>
      </c>
      <c r="F14" s="16" t="s">
        <v>1514</v>
      </c>
      <c r="G14" s="10" t="s">
        <v>172</v>
      </c>
      <c r="H14" s="10" t="s">
        <v>132</v>
      </c>
      <c r="I14" s="16" t="s">
        <v>3</v>
      </c>
      <c r="J14" s="14">
        <v>45643</v>
      </c>
      <c r="K14" s="12" t="s">
        <v>1515</v>
      </c>
      <c r="L14" s="20">
        <f t="shared" si="0"/>
        <v>45650</v>
      </c>
      <c r="M14" s="14">
        <v>45662</v>
      </c>
      <c r="N14" s="92">
        <f t="shared" si="1"/>
        <v>12</v>
      </c>
      <c r="O14" s="12" t="s">
        <v>1533</v>
      </c>
      <c r="P14" s="60" t="s">
        <v>5</v>
      </c>
      <c r="Q14" s="20">
        <v>45673</v>
      </c>
      <c r="R14" s="12" t="s">
        <v>2029</v>
      </c>
      <c r="S14" s="20">
        <f>Q14+7</f>
        <v>45680</v>
      </c>
      <c r="T14" s="20">
        <v>45686</v>
      </c>
      <c r="U14" s="92">
        <f>T14-S14</f>
        <v>6</v>
      </c>
      <c r="V14" s="12" t="s">
        <v>2034</v>
      </c>
      <c r="W14" s="12"/>
      <c r="X14" s="20"/>
      <c r="Y14" s="12"/>
      <c r="Z14" s="12"/>
      <c r="AA14" s="20"/>
      <c r="AB14" s="20"/>
      <c r="AC14" s="12"/>
      <c r="AD14" s="12"/>
      <c r="AE14" s="20"/>
      <c r="AF14" s="12"/>
      <c r="AG14" s="12"/>
      <c r="AH14" s="20"/>
      <c r="AI14" s="20"/>
      <c r="AJ14" s="12"/>
      <c r="AK14" s="10"/>
      <c r="AL14" s="14"/>
      <c r="AM14" s="12"/>
      <c r="AN14" s="12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/>
      <c r="BF14" s="460"/>
    </row>
    <row r="15" spans="1:58" s="381" customFormat="1" ht="42" customHeight="1" x14ac:dyDescent="0.25">
      <c r="A15" s="442">
        <v>730007</v>
      </c>
      <c r="B15" s="12" t="s">
        <v>5</v>
      </c>
      <c r="C15" s="56" t="s">
        <v>208</v>
      </c>
      <c r="D15" s="12" t="s">
        <v>2535</v>
      </c>
      <c r="E15" s="12" t="s">
        <v>2536</v>
      </c>
      <c r="F15" s="16" t="s">
        <v>2537</v>
      </c>
      <c r="G15" s="10" t="s">
        <v>172</v>
      </c>
      <c r="H15" s="10" t="s">
        <v>132</v>
      </c>
      <c r="I15" s="16" t="s">
        <v>18</v>
      </c>
      <c r="J15" s="14">
        <v>45707</v>
      </c>
      <c r="K15" s="12" t="s">
        <v>2538</v>
      </c>
      <c r="L15" s="20">
        <f t="shared" si="0"/>
        <v>45714</v>
      </c>
      <c r="M15" s="14">
        <v>45729</v>
      </c>
      <c r="N15" s="92">
        <f t="shared" si="1"/>
        <v>15</v>
      </c>
      <c r="O15" s="12" t="s">
        <v>2556</v>
      </c>
      <c r="P15" s="16" t="s">
        <v>5</v>
      </c>
      <c r="Q15" s="20">
        <v>46154</v>
      </c>
      <c r="R15" s="12" t="s">
        <v>6740</v>
      </c>
      <c r="S15" s="14">
        <f>Q15+7</f>
        <v>46161</v>
      </c>
      <c r="T15" s="21">
        <v>46174</v>
      </c>
      <c r="U15" s="92">
        <f>T15-S15</f>
        <v>13</v>
      </c>
      <c r="V15" s="12" t="s">
        <v>6741</v>
      </c>
      <c r="W15" s="12"/>
      <c r="X15" s="20"/>
      <c r="Y15" s="12"/>
      <c r="Z15" s="12"/>
      <c r="AA15" s="20"/>
      <c r="AB15" s="20"/>
      <c r="AC15" s="12"/>
      <c r="AD15" s="12"/>
      <c r="AE15" s="20"/>
      <c r="AF15" s="12"/>
      <c r="AG15" s="12"/>
      <c r="AH15" s="20"/>
      <c r="AI15" s="20"/>
      <c r="AJ15" s="12"/>
      <c r="AK15" s="10"/>
      <c r="AL15" s="14"/>
      <c r="AM15" s="12"/>
      <c r="AN15" s="12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2"/>
      <c r="BF15" s="460"/>
    </row>
    <row r="16" spans="1:58" s="381" customFormat="1" ht="42" customHeight="1" x14ac:dyDescent="0.25">
      <c r="A16" s="442">
        <v>730007</v>
      </c>
      <c r="B16" s="11" t="s">
        <v>5</v>
      </c>
      <c r="C16" s="56" t="s">
        <v>588</v>
      </c>
      <c r="D16" s="12" t="s">
        <v>2569</v>
      </c>
      <c r="E16" s="12" t="s">
        <v>2570</v>
      </c>
      <c r="F16" s="16" t="s">
        <v>2571</v>
      </c>
      <c r="G16" s="10" t="s">
        <v>172</v>
      </c>
      <c r="H16" s="10" t="s">
        <v>132</v>
      </c>
      <c r="I16" s="16" t="s">
        <v>18</v>
      </c>
      <c r="J16" s="14">
        <v>45709</v>
      </c>
      <c r="K16" s="12" t="s">
        <v>2572</v>
      </c>
      <c r="L16" s="20">
        <f t="shared" si="0"/>
        <v>45716</v>
      </c>
      <c r="M16" s="14">
        <v>45727</v>
      </c>
      <c r="N16" s="92">
        <f t="shared" si="1"/>
        <v>11</v>
      </c>
      <c r="O16" s="12" t="s">
        <v>2578</v>
      </c>
      <c r="P16" s="16" t="s">
        <v>18</v>
      </c>
      <c r="Q16" s="20">
        <v>45971</v>
      </c>
      <c r="R16" s="12" t="s">
        <v>4825</v>
      </c>
      <c r="S16" s="14">
        <f>Q16+7</f>
        <v>45978</v>
      </c>
      <c r="T16" s="21">
        <v>45980</v>
      </c>
      <c r="U16" s="92">
        <f>T16-S16</f>
        <v>2</v>
      </c>
      <c r="V16" s="12" t="s">
        <v>4846</v>
      </c>
      <c r="W16" s="12" t="s">
        <v>5</v>
      </c>
      <c r="X16" s="20">
        <v>46007</v>
      </c>
      <c r="Y16" s="12" t="s">
        <v>5291</v>
      </c>
      <c r="Z16" s="14">
        <f>X16+7</f>
        <v>46014</v>
      </c>
      <c r="AA16" s="21">
        <v>46014</v>
      </c>
      <c r="AB16" s="92">
        <f>AA16-Z16</f>
        <v>0</v>
      </c>
      <c r="AC16" s="12" t="s">
        <v>5327</v>
      </c>
      <c r="AD16" s="12"/>
      <c r="AE16" s="20"/>
      <c r="AF16" s="12"/>
      <c r="AG16" s="12"/>
      <c r="AH16" s="20"/>
      <c r="AI16" s="20"/>
      <c r="AJ16" s="12"/>
      <c r="AK16" s="10"/>
      <c r="AL16" s="14"/>
      <c r="AM16" s="12"/>
      <c r="AN16" s="12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2"/>
      <c r="BF16" s="460"/>
    </row>
    <row r="17" spans="1:58" s="381" customFormat="1" ht="42" customHeight="1" x14ac:dyDescent="0.25">
      <c r="A17" s="442">
        <v>730007</v>
      </c>
      <c r="B17" s="11" t="s">
        <v>5</v>
      </c>
      <c r="C17" s="56" t="s">
        <v>54</v>
      </c>
      <c r="D17" s="12" t="s">
        <v>2632</v>
      </c>
      <c r="E17" s="12" t="s">
        <v>2631</v>
      </c>
      <c r="F17" s="16" t="s">
        <v>2633</v>
      </c>
      <c r="G17" s="10" t="s">
        <v>172</v>
      </c>
      <c r="H17" s="10" t="s">
        <v>132</v>
      </c>
      <c r="I17" s="16" t="s">
        <v>5</v>
      </c>
      <c r="J17" s="14">
        <v>45717</v>
      </c>
      <c r="K17" s="12" t="s">
        <v>2634</v>
      </c>
      <c r="L17" s="20">
        <f t="shared" si="0"/>
        <v>45724</v>
      </c>
      <c r="M17" s="14">
        <v>45727</v>
      </c>
      <c r="N17" s="92">
        <f t="shared" si="1"/>
        <v>3</v>
      </c>
      <c r="O17" s="12" t="s">
        <v>2660</v>
      </c>
      <c r="P17" s="16"/>
      <c r="Q17" s="20"/>
      <c r="R17" s="12"/>
      <c r="S17" s="12"/>
      <c r="T17" s="20"/>
      <c r="U17" s="20"/>
      <c r="V17" s="12"/>
      <c r="W17" s="12"/>
      <c r="X17" s="20"/>
      <c r="Y17" s="12"/>
      <c r="Z17" s="12"/>
      <c r="AA17" s="20"/>
      <c r="AB17" s="20"/>
      <c r="AC17" s="12"/>
      <c r="AD17" s="12"/>
      <c r="AE17" s="20"/>
      <c r="AF17" s="12"/>
      <c r="AG17" s="12"/>
      <c r="AH17" s="20"/>
      <c r="AI17" s="20"/>
      <c r="AJ17" s="12"/>
      <c r="AK17" s="10"/>
      <c r="AL17" s="14"/>
      <c r="AM17" s="12"/>
      <c r="AN17" s="12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2"/>
      <c r="BF17" s="460"/>
    </row>
    <row r="18" spans="1:58" s="381" customFormat="1" ht="42" customHeight="1" x14ac:dyDescent="0.25">
      <c r="A18" s="442">
        <v>730007</v>
      </c>
      <c r="B18" s="11" t="s">
        <v>5</v>
      </c>
      <c r="C18" s="56" t="s">
        <v>208</v>
      </c>
      <c r="D18" s="12" t="s">
        <v>2635</v>
      </c>
      <c r="E18" s="12" t="s">
        <v>2636</v>
      </c>
      <c r="F18" s="16" t="s">
        <v>2637</v>
      </c>
      <c r="G18" s="10" t="s">
        <v>172</v>
      </c>
      <c r="H18" s="10" t="s">
        <v>132</v>
      </c>
      <c r="I18" s="16" t="s">
        <v>18</v>
      </c>
      <c r="J18" s="14">
        <v>45717</v>
      </c>
      <c r="K18" s="12" t="s">
        <v>2638</v>
      </c>
      <c r="L18" s="20">
        <f t="shared" si="0"/>
        <v>45724</v>
      </c>
      <c r="M18" s="14">
        <v>45727</v>
      </c>
      <c r="N18" s="92">
        <f t="shared" si="1"/>
        <v>3</v>
      </c>
      <c r="O18" s="12" t="s">
        <v>2661</v>
      </c>
      <c r="P18" s="16" t="s">
        <v>5</v>
      </c>
      <c r="Q18" s="20">
        <v>46060</v>
      </c>
      <c r="R18" s="12" t="s">
        <v>5790</v>
      </c>
      <c r="S18" s="14">
        <f>Q18+7</f>
        <v>46067</v>
      </c>
      <c r="T18" s="21">
        <v>46068</v>
      </c>
      <c r="U18" s="92">
        <f>T18-S18</f>
        <v>1</v>
      </c>
      <c r="V18" s="12" t="s">
        <v>5794</v>
      </c>
      <c r="W18" s="12"/>
      <c r="X18" s="20"/>
      <c r="Y18" s="12"/>
      <c r="Z18" s="12"/>
      <c r="AA18" s="20"/>
      <c r="AB18" s="20"/>
      <c r="AC18" s="12"/>
      <c r="AD18" s="12"/>
      <c r="AE18" s="20"/>
      <c r="AF18" s="12"/>
      <c r="AG18" s="12"/>
      <c r="AH18" s="20"/>
      <c r="AI18" s="20"/>
      <c r="AJ18" s="12"/>
      <c r="AK18" s="10"/>
      <c r="AL18" s="14"/>
      <c r="AM18" s="12"/>
      <c r="AN18" s="12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2"/>
      <c r="BF18" s="460"/>
    </row>
    <row r="19" spans="1:58" s="381" customFormat="1" ht="42" customHeight="1" x14ac:dyDescent="0.25">
      <c r="A19" s="442">
        <v>730007</v>
      </c>
      <c r="B19" s="11" t="s">
        <v>5</v>
      </c>
      <c r="C19" s="56" t="s">
        <v>54</v>
      </c>
      <c r="D19" s="12" t="s">
        <v>3207</v>
      </c>
      <c r="E19" s="12" t="s">
        <v>3208</v>
      </c>
      <c r="F19" s="16" t="s">
        <v>3209</v>
      </c>
      <c r="G19" s="10" t="s">
        <v>172</v>
      </c>
      <c r="H19" s="10" t="s">
        <v>132</v>
      </c>
      <c r="I19" s="16" t="s">
        <v>5</v>
      </c>
      <c r="J19" s="14">
        <v>45784</v>
      </c>
      <c r="K19" s="12" t="s">
        <v>3210</v>
      </c>
      <c r="L19" s="20">
        <f t="shared" ref="L19:L24" si="2">J19+7</f>
        <v>45791</v>
      </c>
      <c r="M19" s="14">
        <v>45794</v>
      </c>
      <c r="N19" s="92">
        <f t="shared" si="1"/>
        <v>3</v>
      </c>
      <c r="O19" s="12" t="s">
        <v>3215</v>
      </c>
      <c r="P19" s="16"/>
      <c r="Q19" s="20"/>
      <c r="R19" s="12"/>
      <c r="S19" s="12"/>
      <c r="T19" s="20"/>
      <c r="U19" s="20"/>
      <c r="V19" s="12"/>
      <c r="W19" s="12"/>
      <c r="X19" s="20"/>
      <c r="Y19" s="12"/>
      <c r="Z19" s="12"/>
      <c r="AA19" s="20"/>
      <c r="AB19" s="20"/>
      <c r="AC19" s="12"/>
      <c r="AD19" s="12"/>
      <c r="AE19" s="20"/>
      <c r="AF19" s="12"/>
      <c r="AG19" s="12"/>
      <c r="AH19" s="20"/>
      <c r="AI19" s="20"/>
      <c r="AJ19" s="12"/>
      <c r="AK19" s="10"/>
      <c r="AL19" s="14"/>
      <c r="AM19" s="12"/>
      <c r="AN19" s="12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2"/>
      <c r="BF19" s="460"/>
    </row>
    <row r="20" spans="1:58" s="381" customFormat="1" ht="42" customHeight="1" x14ac:dyDescent="0.25">
      <c r="A20" s="442">
        <v>730007</v>
      </c>
      <c r="B20" s="12" t="s">
        <v>5</v>
      </c>
      <c r="C20" s="13" t="s">
        <v>588</v>
      </c>
      <c r="D20" s="12" t="s">
        <v>3700</v>
      </c>
      <c r="E20" s="12" t="s">
        <v>3701</v>
      </c>
      <c r="F20" s="10" t="s">
        <v>3702</v>
      </c>
      <c r="G20" s="10" t="s">
        <v>172</v>
      </c>
      <c r="H20" s="10" t="s">
        <v>132</v>
      </c>
      <c r="I20" s="10" t="s">
        <v>18</v>
      </c>
      <c r="J20" s="14">
        <v>45857</v>
      </c>
      <c r="K20" s="12" t="s">
        <v>3703</v>
      </c>
      <c r="L20" s="20">
        <f t="shared" si="2"/>
        <v>45864</v>
      </c>
      <c r="M20" s="14">
        <v>45866</v>
      </c>
      <c r="N20" s="92">
        <f t="shared" si="1"/>
        <v>2</v>
      </c>
      <c r="O20" s="12" t="s">
        <v>3723</v>
      </c>
      <c r="P20" s="10" t="s">
        <v>18</v>
      </c>
      <c r="Q20" s="20">
        <v>45973</v>
      </c>
      <c r="R20" s="12" t="s">
        <v>4869</v>
      </c>
      <c r="S20" s="14">
        <f t="shared" ref="S20:S26" si="3">Q20+7</f>
        <v>45980</v>
      </c>
      <c r="T20" s="21">
        <v>45981</v>
      </c>
      <c r="U20" s="92">
        <f t="shared" ref="U20:U27" si="4">T20-S20</f>
        <v>1</v>
      </c>
      <c r="V20" s="12" t="s">
        <v>4900</v>
      </c>
      <c r="W20" s="12" t="s">
        <v>5</v>
      </c>
      <c r="X20" s="20">
        <v>46006</v>
      </c>
      <c r="Y20" s="12" t="s">
        <v>5280</v>
      </c>
      <c r="Z20" s="14">
        <f>X20+7</f>
        <v>46013</v>
      </c>
      <c r="AA20" s="21">
        <v>46014</v>
      </c>
      <c r="AB20" s="92">
        <f>AA20-Z20</f>
        <v>1</v>
      </c>
      <c r="AC20" s="12" t="s">
        <v>5320</v>
      </c>
      <c r="AD20" s="12"/>
      <c r="AE20" s="20"/>
      <c r="AF20" s="12"/>
      <c r="AG20" s="12"/>
      <c r="AH20" s="20"/>
      <c r="AI20" s="20"/>
      <c r="AJ20" s="12"/>
      <c r="AK20" s="10"/>
      <c r="AL20" s="14"/>
      <c r="AM20" s="12"/>
      <c r="AN20" s="12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2"/>
      <c r="BF20" s="460"/>
    </row>
    <row r="21" spans="1:58" s="381" customFormat="1" ht="42" customHeight="1" x14ac:dyDescent="0.25">
      <c r="A21" s="442">
        <v>730007</v>
      </c>
      <c r="B21" s="12" t="s">
        <v>5</v>
      </c>
      <c r="C21" s="13" t="s">
        <v>588</v>
      </c>
      <c r="D21" s="12" t="s">
        <v>3704</v>
      </c>
      <c r="E21" s="12" t="s">
        <v>3705</v>
      </c>
      <c r="F21" s="10" t="s">
        <v>3706</v>
      </c>
      <c r="G21" s="10" t="s">
        <v>172</v>
      </c>
      <c r="H21" s="10" t="s">
        <v>132</v>
      </c>
      <c r="I21" s="10" t="s">
        <v>18</v>
      </c>
      <c r="J21" s="14">
        <v>45857</v>
      </c>
      <c r="K21" s="12" t="s">
        <v>3707</v>
      </c>
      <c r="L21" s="20">
        <f t="shared" si="2"/>
        <v>45864</v>
      </c>
      <c r="M21" s="14">
        <v>45866</v>
      </c>
      <c r="N21" s="92">
        <f>M21-L21</f>
        <v>2</v>
      </c>
      <c r="O21" s="12" t="s">
        <v>3724</v>
      </c>
      <c r="P21" s="10" t="s">
        <v>18</v>
      </c>
      <c r="Q21" s="20">
        <v>45973</v>
      </c>
      <c r="R21" s="12" t="s">
        <v>4870</v>
      </c>
      <c r="S21" s="14">
        <f t="shared" si="3"/>
        <v>45980</v>
      </c>
      <c r="T21" s="21">
        <v>45981</v>
      </c>
      <c r="U21" s="92">
        <f t="shared" si="4"/>
        <v>1</v>
      </c>
      <c r="V21" s="10" t="s">
        <v>4901</v>
      </c>
      <c r="W21" s="10" t="s">
        <v>5</v>
      </c>
      <c r="X21" s="21">
        <v>46006</v>
      </c>
      <c r="Y21" s="10" t="s">
        <v>5278</v>
      </c>
      <c r="Z21" s="14">
        <f>X21+7</f>
        <v>46013</v>
      </c>
      <c r="AA21" s="21">
        <v>46012</v>
      </c>
      <c r="AB21" s="92">
        <f>AA21-Z21</f>
        <v>-1</v>
      </c>
      <c r="AC21" s="10" t="s">
        <v>5318</v>
      </c>
      <c r="AD21" s="10"/>
      <c r="AE21" s="21"/>
      <c r="AF21" s="10"/>
      <c r="AG21" s="10"/>
      <c r="AH21" s="21"/>
      <c r="AI21" s="21"/>
      <c r="AJ21" s="10"/>
      <c r="AK21" s="10"/>
      <c r="AL21" s="20"/>
      <c r="AM21" s="12"/>
      <c r="AN21" s="12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12"/>
      <c r="BF21" s="460"/>
    </row>
    <row r="22" spans="1:58" s="381" customFormat="1" ht="42" customHeight="1" x14ac:dyDescent="0.25">
      <c r="A22" s="442">
        <v>730007</v>
      </c>
      <c r="B22" s="12" t="s">
        <v>5</v>
      </c>
      <c r="C22" s="13" t="s">
        <v>208</v>
      </c>
      <c r="D22" s="12" t="s">
        <v>3708</v>
      </c>
      <c r="E22" s="12" t="s">
        <v>3709</v>
      </c>
      <c r="F22" s="10" t="s">
        <v>3710</v>
      </c>
      <c r="G22" s="10" t="s">
        <v>172</v>
      </c>
      <c r="H22" s="10" t="s">
        <v>132</v>
      </c>
      <c r="I22" s="10" t="s">
        <v>18</v>
      </c>
      <c r="J22" s="14">
        <v>45857</v>
      </c>
      <c r="K22" s="12" t="s">
        <v>3711</v>
      </c>
      <c r="L22" s="20">
        <f t="shared" si="2"/>
        <v>45864</v>
      </c>
      <c r="M22" s="14">
        <v>45866</v>
      </c>
      <c r="N22" s="92">
        <f>M22-L22</f>
        <v>2</v>
      </c>
      <c r="O22" s="12" t="s">
        <v>3725</v>
      </c>
      <c r="P22" s="10" t="s">
        <v>5</v>
      </c>
      <c r="Q22" s="20">
        <v>45973</v>
      </c>
      <c r="R22" s="10" t="s">
        <v>4871</v>
      </c>
      <c r="S22" s="14">
        <f t="shared" si="3"/>
        <v>45980</v>
      </c>
      <c r="T22" s="21">
        <v>45981</v>
      </c>
      <c r="U22" s="92">
        <f t="shared" si="4"/>
        <v>1</v>
      </c>
      <c r="V22" s="10" t="s">
        <v>4902</v>
      </c>
      <c r="W22" s="10"/>
      <c r="X22" s="21"/>
      <c r="Y22" s="10"/>
      <c r="Z22" s="10"/>
      <c r="AA22" s="21"/>
      <c r="AB22" s="21"/>
      <c r="AC22" s="10"/>
      <c r="AD22" s="10"/>
      <c r="AE22" s="21"/>
      <c r="AF22" s="10"/>
      <c r="AG22" s="10"/>
      <c r="AH22" s="21"/>
      <c r="AI22" s="21"/>
      <c r="AJ22" s="10"/>
      <c r="AK22" s="10"/>
      <c r="AL22" s="20"/>
      <c r="AM22" s="12"/>
      <c r="AN22" s="12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12"/>
      <c r="BF22" s="460"/>
    </row>
    <row r="23" spans="1:58" s="381" customFormat="1" ht="42" customHeight="1" x14ac:dyDescent="0.25">
      <c r="A23" s="442">
        <v>730007</v>
      </c>
      <c r="B23" s="12" t="s">
        <v>5</v>
      </c>
      <c r="C23" s="13" t="s">
        <v>208</v>
      </c>
      <c r="D23" s="12" t="s">
        <v>3712</v>
      </c>
      <c r="E23" s="12" t="s">
        <v>3713</v>
      </c>
      <c r="F23" s="10" t="s">
        <v>3714</v>
      </c>
      <c r="G23" s="10" t="s">
        <v>172</v>
      </c>
      <c r="H23" s="10" t="s">
        <v>132</v>
      </c>
      <c r="I23" s="10" t="s">
        <v>18</v>
      </c>
      <c r="J23" s="14">
        <v>45857</v>
      </c>
      <c r="K23" s="12" t="s">
        <v>3715</v>
      </c>
      <c r="L23" s="20">
        <f t="shared" si="2"/>
        <v>45864</v>
      </c>
      <c r="M23" s="14">
        <v>45866</v>
      </c>
      <c r="N23" s="92">
        <f t="shared" ref="N23:N28" si="5">M23-L23</f>
        <v>2</v>
      </c>
      <c r="O23" s="12" t="s">
        <v>3726</v>
      </c>
      <c r="P23" s="10" t="s">
        <v>5</v>
      </c>
      <c r="Q23" s="20">
        <v>45973</v>
      </c>
      <c r="R23" s="10" t="s">
        <v>4872</v>
      </c>
      <c r="S23" s="14">
        <f t="shared" si="3"/>
        <v>45980</v>
      </c>
      <c r="T23" s="21">
        <v>45981</v>
      </c>
      <c r="U23" s="92">
        <f t="shared" si="4"/>
        <v>1</v>
      </c>
      <c r="V23" s="10" t="s">
        <v>4903</v>
      </c>
      <c r="W23" s="10"/>
      <c r="X23" s="21"/>
      <c r="Y23" s="10"/>
      <c r="Z23" s="10"/>
      <c r="AA23" s="21"/>
      <c r="AB23" s="21"/>
      <c r="AC23" s="10"/>
      <c r="AD23" s="10"/>
      <c r="AE23" s="21"/>
      <c r="AF23" s="10"/>
      <c r="AG23" s="10"/>
      <c r="AH23" s="21"/>
      <c r="AI23" s="21"/>
      <c r="AJ23" s="10"/>
      <c r="AK23" s="10"/>
      <c r="AL23" s="20"/>
      <c r="AM23" s="12"/>
      <c r="AN23" s="12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12"/>
      <c r="BF23" s="460"/>
    </row>
    <row r="24" spans="1:58" s="381" customFormat="1" ht="42" customHeight="1" x14ac:dyDescent="0.25">
      <c r="A24" s="442">
        <v>730007</v>
      </c>
      <c r="B24" s="11" t="s">
        <v>5</v>
      </c>
      <c r="C24" s="56" t="s">
        <v>208</v>
      </c>
      <c r="D24" s="12" t="s">
        <v>3876</v>
      </c>
      <c r="E24" s="12" t="s">
        <v>3877</v>
      </c>
      <c r="F24" s="16" t="s">
        <v>3878</v>
      </c>
      <c r="G24" s="10" t="s">
        <v>172</v>
      </c>
      <c r="H24" s="10" t="s">
        <v>132</v>
      </c>
      <c r="I24" s="16" t="s">
        <v>18</v>
      </c>
      <c r="J24" s="14">
        <v>45873</v>
      </c>
      <c r="K24" s="12" t="s">
        <v>3879</v>
      </c>
      <c r="L24" s="20">
        <f t="shared" si="2"/>
        <v>45880</v>
      </c>
      <c r="M24" s="14">
        <v>45881</v>
      </c>
      <c r="N24" s="92">
        <f t="shared" si="5"/>
        <v>1</v>
      </c>
      <c r="O24" s="12" t="s">
        <v>3883</v>
      </c>
      <c r="P24" s="12" t="s">
        <v>5</v>
      </c>
      <c r="Q24" s="21">
        <v>45960</v>
      </c>
      <c r="R24" s="10" t="s">
        <v>4654</v>
      </c>
      <c r="S24" s="14">
        <f t="shared" si="3"/>
        <v>45967</v>
      </c>
      <c r="T24" s="21">
        <v>45970</v>
      </c>
      <c r="U24" s="92">
        <f t="shared" si="4"/>
        <v>3</v>
      </c>
      <c r="V24" s="10" t="s">
        <v>4682</v>
      </c>
      <c r="W24" s="10"/>
      <c r="X24" s="21"/>
      <c r="Y24" s="10"/>
      <c r="Z24" s="10"/>
      <c r="AA24" s="21"/>
      <c r="AB24" s="21"/>
      <c r="AC24" s="10"/>
      <c r="AD24" s="10"/>
      <c r="AE24" s="21"/>
      <c r="AF24" s="10"/>
      <c r="AG24" s="10"/>
      <c r="AH24" s="21"/>
      <c r="AI24" s="21"/>
      <c r="AJ24" s="10"/>
      <c r="AK24" s="10"/>
      <c r="AL24" s="17"/>
      <c r="AM24" s="11"/>
      <c r="AN24" s="11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1"/>
      <c r="BF24" s="460"/>
    </row>
    <row r="25" spans="1:58" s="381" customFormat="1" ht="42" customHeight="1" x14ac:dyDescent="0.25">
      <c r="A25" s="442">
        <v>730007</v>
      </c>
      <c r="B25" s="11" t="s">
        <v>5</v>
      </c>
      <c r="C25" s="56" t="s">
        <v>2384</v>
      </c>
      <c r="D25" s="12" t="s">
        <v>4061</v>
      </c>
      <c r="E25" s="12" t="s">
        <v>4335</v>
      </c>
      <c r="F25" s="16" t="s">
        <v>4062</v>
      </c>
      <c r="G25" s="10" t="s">
        <v>172</v>
      </c>
      <c r="H25" s="10" t="s">
        <v>132</v>
      </c>
      <c r="I25" s="16" t="s">
        <v>3</v>
      </c>
      <c r="J25" s="14">
        <v>45898</v>
      </c>
      <c r="K25" s="13" t="s">
        <v>4063</v>
      </c>
      <c r="L25" s="14">
        <f t="shared" ref="L25:L37" si="6">J25+7</f>
        <v>45905</v>
      </c>
      <c r="M25" s="14">
        <v>45909</v>
      </c>
      <c r="N25" s="92">
        <f t="shared" si="5"/>
        <v>4</v>
      </c>
      <c r="O25" s="12" t="s">
        <v>4076</v>
      </c>
      <c r="P25" s="16" t="s">
        <v>18</v>
      </c>
      <c r="Q25" s="21">
        <v>45917</v>
      </c>
      <c r="R25" s="10" t="s">
        <v>4201</v>
      </c>
      <c r="S25" s="14">
        <f t="shared" si="3"/>
        <v>45924</v>
      </c>
      <c r="T25" s="21">
        <v>45929</v>
      </c>
      <c r="U25" s="92">
        <f t="shared" si="4"/>
        <v>5</v>
      </c>
      <c r="V25" s="10" t="s">
        <v>4224</v>
      </c>
      <c r="W25" s="11" t="s">
        <v>18</v>
      </c>
      <c r="X25" s="21">
        <v>45981</v>
      </c>
      <c r="Y25" s="10" t="s">
        <v>4991</v>
      </c>
      <c r="Z25" s="14">
        <f>X25+7</f>
        <v>45988</v>
      </c>
      <c r="AA25" s="21">
        <v>45993</v>
      </c>
      <c r="AB25" s="92">
        <f>AA25-Z25</f>
        <v>5</v>
      </c>
      <c r="AC25" s="10" t="s">
        <v>4994</v>
      </c>
      <c r="AD25" s="10" t="s">
        <v>5</v>
      </c>
      <c r="AE25" s="21">
        <v>45997</v>
      </c>
      <c r="AF25" s="10" t="s">
        <v>5143</v>
      </c>
      <c r="AG25" s="14">
        <f>AE25+7</f>
        <v>46004</v>
      </c>
      <c r="AH25" s="21">
        <v>46004</v>
      </c>
      <c r="AI25" s="92">
        <f>AH25-AG25</f>
        <v>0</v>
      </c>
      <c r="AJ25" s="10" t="s">
        <v>5148</v>
      </c>
      <c r="AK25" s="10" t="s">
        <v>5</v>
      </c>
      <c r="AL25" s="17">
        <v>46036</v>
      </c>
      <c r="AM25" s="11" t="s">
        <v>5564</v>
      </c>
      <c r="AN25" s="14">
        <f>AL25+7</f>
        <v>46043</v>
      </c>
      <c r="AO25" s="21">
        <v>46044</v>
      </c>
      <c r="AP25" s="92">
        <f>AO25-AN25</f>
        <v>1</v>
      </c>
      <c r="AQ25" s="17" t="s">
        <v>5576</v>
      </c>
      <c r="AR25" s="10" t="s">
        <v>5</v>
      </c>
      <c r="AS25" s="17">
        <v>46240</v>
      </c>
      <c r="AT25" s="150" t="s">
        <v>7437</v>
      </c>
      <c r="AU25" s="14">
        <f>AS25+7</f>
        <v>46247</v>
      </c>
      <c r="AV25" s="21">
        <v>46243</v>
      </c>
      <c r="AW25" s="92">
        <f>AV25-AU25</f>
        <v>-4</v>
      </c>
      <c r="AX25" s="17" t="s">
        <v>7444</v>
      </c>
      <c r="AY25" s="17"/>
      <c r="AZ25" s="17"/>
      <c r="BA25" s="17"/>
      <c r="BB25" s="17"/>
      <c r="BC25" s="17"/>
      <c r="BD25" s="17"/>
      <c r="BE25" s="11"/>
      <c r="BF25" s="460"/>
    </row>
    <row r="26" spans="1:58" s="381" customFormat="1" ht="42" customHeight="1" x14ac:dyDescent="0.25">
      <c r="A26" s="442">
        <v>730007</v>
      </c>
      <c r="B26" s="16" t="s">
        <v>5</v>
      </c>
      <c r="C26" s="56" t="s">
        <v>208</v>
      </c>
      <c r="D26" s="12" t="s">
        <v>4166</v>
      </c>
      <c r="E26" s="12" t="s">
        <v>4165</v>
      </c>
      <c r="F26" s="16" t="s">
        <v>4164</v>
      </c>
      <c r="G26" s="10" t="s">
        <v>172</v>
      </c>
      <c r="H26" s="10" t="s">
        <v>132</v>
      </c>
      <c r="I26" s="16" t="s">
        <v>3</v>
      </c>
      <c r="J26" s="14">
        <v>45911</v>
      </c>
      <c r="K26" s="13" t="s">
        <v>4167</v>
      </c>
      <c r="L26" s="14">
        <f t="shared" si="6"/>
        <v>45918</v>
      </c>
      <c r="M26" s="14">
        <v>45930</v>
      </c>
      <c r="N26" s="92">
        <f t="shared" si="5"/>
        <v>12</v>
      </c>
      <c r="O26" s="10" t="s">
        <v>4226</v>
      </c>
      <c r="P26" s="10" t="s">
        <v>5</v>
      </c>
      <c r="Q26" s="21">
        <v>45935</v>
      </c>
      <c r="R26" s="10" t="s">
        <v>4395</v>
      </c>
      <c r="S26" s="14">
        <f t="shared" si="3"/>
        <v>45942</v>
      </c>
      <c r="T26" s="21">
        <v>45948</v>
      </c>
      <c r="U26" s="92">
        <f t="shared" si="4"/>
        <v>6</v>
      </c>
      <c r="V26" s="10" t="s">
        <v>4394</v>
      </c>
      <c r="W26" s="10"/>
      <c r="X26" s="21"/>
      <c r="Y26" s="10"/>
      <c r="Z26" s="10"/>
      <c r="AA26" s="21"/>
      <c r="AB26" s="21"/>
      <c r="AC26" s="10"/>
      <c r="AD26" s="10"/>
      <c r="AE26" s="21"/>
      <c r="AF26" s="10"/>
      <c r="AG26" s="10"/>
      <c r="AH26" s="21"/>
      <c r="AI26" s="21"/>
      <c r="AJ26" s="10"/>
      <c r="AK26" s="10"/>
      <c r="AL26" s="17"/>
      <c r="AM26" s="11"/>
      <c r="AN26" s="11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1"/>
      <c r="BF26" s="460"/>
    </row>
    <row r="27" spans="1:58" s="381" customFormat="1" ht="42" customHeight="1" x14ac:dyDescent="0.25">
      <c r="A27" s="442">
        <v>730007</v>
      </c>
      <c r="B27" s="11" t="s">
        <v>5</v>
      </c>
      <c r="C27" s="56" t="s">
        <v>208</v>
      </c>
      <c r="D27" s="12" t="s">
        <v>4847</v>
      </c>
      <c r="E27" s="12" t="s">
        <v>4849</v>
      </c>
      <c r="F27" s="16" t="s">
        <v>4850</v>
      </c>
      <c r="G27" s="10" t="s">
        <v>172</v>
      </c>
      <c r="H27" s="10" t="s">
        <v>132</v>
      </c>
      <c r="I27" s="16" t="s">
        <v>18</v>
      </c>
      <c r="J27" s="14">
        <v>45972</v>
      </c>
      <c r="K27" s="13" t="s">
        <v>4848</v>
      </c>
      <c r="L27" s="14">
        <f t="shared" si="6"/>
        <v>45979</v>
      </c>
      <c r="M27" s="14">
        <v>45999</v>
      </c>
      <c r="N27" s="92">
        <f t="shared" si="5"/>
        <v>20</v>
      </c>
      <c r="O27" s="10" t="s">
        <v>4875</v>
      </c>
      <c r="P27" s="16" t="s">
        <v>5</v>
      </c>
      <c r="Q27" s="21">
        <v>46004</v>
      </c>
      <c r="R27" s="10" t="s">
        <v>5185</v>
      </c>
      <c r="S27" s="14">
        <f>Q27+7</f>
        <v>46011</v>
      </c>
      <c r="T27" s="21">
        <v>46043</v>
      </c>
      <c r="U27" s="92">
        <f t="shared" si="4"/>
        <v>32</v>
      </c>
      <c r="V27" s="10" t="s">
        <v>5626</v>
      </c>
      <c r="W27" s="10"/>
      <c r="X27" s="21"/>
      <c r="Y27" s="10"/>
      <c r="Z27" s="10"/>
      <c r="AA27" s="21"/>
      <c r="AB27" s="21"/>
      <c r="AC27" s="10"/>
      <c r="AD27" s="10"/>
      <c r="AE27" s="21"/>
      <c r="AF27" s="10"/>
      <c r="AG27" s="10"/>
      <c r="AH27" s="21"/>
      <c r="AI27" s="21"/>
      <c r="AJ27" s="10"/>
      <c r="AK27" s="10"/>
      <c r="AL27" s="17"/>
      <c r="AM27" s="11"/>
      <c r="AN27" s="11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1"/>
      <c r="BF27" s="460"/>
    </row>
    <row r="28" spans="1:58" s="381" customFormat="1" ht="42" customHeight="1" x14ac:dyDescent="0.25">
      <c r="A28" s="442">
        <v>730007</v>
      </c>
      <c r="B28" s="11" t="s">
        <v>5</v>
      </c>
      <c r="C28" s="56" t="s">
        <v>54</v>
      </c>
      <c r="D28" s="12" t="s">
        <v>5600</v>
      </c>
      <c r="E28" s="12" t="s">
        <v>5602</v>
      </c>
      <c r="F28" s="16" t="s">
        <v>5601</v>
      </c>
      <c r="G28" s="10" t="s">
        <v>172</v>
      </c>
      <c r="H28" s="10" t="s">
        <v>132</v>
      </c>
      <c r="I28" s="16" t="s">
        <v>5</v>
      </c>
      <c r="J28" s="14">
        <v>46042</v>
      </c>
      <c r="K28" s="13" t="s">
        <v>5607</v>
      </c>
      <c r="L28" s="14">
        <f t="shared" si="6"/>
        <v>46049</v>
      </c>
      <c r="M28" s="14">
        <v>46067</v>
      </c>
      <c r="N28" s="92">
        <f t="shared" si="5"/>
        <v>18</v>
      </c>
      <c r="O28" s="10" t="s">
        <v>5633</v>
      </c>
      <c r="P28" s="16"/>
      <c r="Q28" s="21"/>
      <c r="R28" s="10"/>
      <c r="S28" s="14"/>
      <c r="T28" s="21"/>
      <c r="U28" s="92"/>
      <c r="V28" s="10"/>
      <c r="W28" s="10"/>
      <c r="X28" s="21"/>
      <c r="Y28" s="10"/>
      <c r="Z28" s="10"/>
      <c r="AA28" s="21"/>
      <c r="AB28" s="21"/>
      <c r="AC28" s="10"/>
      <c r="AD28" s="10"/>
      <c r="AE28" s="21"/>
      <c r="AF28" s="10"/>
      <c r="AG28" s="10"/>
      <c r="AH28" s="21"/>
      <c r="AI28" s="21"/>
      <c r="AJ28" s="10"/>
      <c r="AK28" s="10"/>
      <c r="AL28" s="17"/>
      <c r="AM28" s="11"/>
      <c r="AN28" s="11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1"/>
      <c r="BF28" s="460"/>
    </row>
    <row r="29" spans="1:58" s="381" customFormat="1" ht="42" customHeight="1" x14ac:dyDescent="0.25">
      <c r="A29" s="442">
        <v>730007</v>
      </c>
      <c r="B29" s="11" t="s">
        <v>5</v>
      </c>
      <c r="C29" s="56" t="s">
        <v>208</v>
      </c>
      <c r="D29" s="12" t="s">
        <v>5604</v>
      </c>
      <c r="E29" s="12" t="s">
        <v>5606</v>
      </c>
      <c r="F29" s="16" t="s">
        <v>5603</v>
      </c>
      <c r="G29" s="10" t="s">
        <v>172</v>
      </c>
      <c r="H29" s="10" t="s">
        <v>132</v>
      </c>
      <c r="I29" s="16" t="s">
        <v>18</v>
      </c>
      <c r="J29" s="14">
        <v>46042</v>
      </c>
      <c r="K29" s="13" t="s">
        <v>5605</v>
      </c>
      <c r="L29" s="14">
        <f t="shared" si="6"/>
        <v>46049</v>
      </c>
      <c r="M29" s="14">
        <v>46068</v>
      </c>
      <c r="N29" s="92">
        <f t="shared" ref="N29:N37" si="7">M29-L29</f>
        <v>19</v>
      </c>
      <c r="O29" s="10" t="s">
        <v>5634</v>
      </c>
      <c r="P29" s="16" t="s">
        <v>5</v>
      </c>
      <c r="Q29" s="21">
        <v>46085</v>
      </c>
      <c r="R29" s="10" t="s">
        <v>5953</v>
      </c>
      <c r="S29" s="14">
        <f t="shared" ref="S29:S34" si="8">Q29+7</f>
        <v>46092</v>
      </c>
      <c r="T29" s="21">
        <v>46095</v>
      </c>
      <c r="U29" s="92">
        <f t="shared" ref="U29:U34" si="9">T29-S29</f>
        <v>3</v>
      </c>
      <c r="V29" s="10" t="s">
        <v>5966</v>
      </c>
      <c r="W29" s="10"/>
      <c r="X29" s="21"/>
      <c r="Y29" s="10"/>
      <c r="Z29" s="10"/>
      <c r="AA29" s="21"/>
      <c r="AB29" s="21"/>
      <c r="AC29" s="10"/>
      <c r="AD29" s="10"/>
      <c r="AE29" s="21"/>
      <c r="AF29" s="10"/>
      <c r="AG29" s="10"/>
      <c r="AH29" s="21"/>
      <c r="AI29" s="21"/>
      <c r="AJ29" s="10"/>
      <c r="AK29" s="10"/>
      <c r="AL29" s="17"/>
      <c r="AM29" s="11"/>
      <c r="AN29" s="11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1"/>
      <c r="BF29" s="460"/>
    </row>
    <row r="30" spans="1:58" s="381" customFormat="1" ht="42" customHeight="1" x14ac:dyDescent="0.25">
      <c r="A30" s="442">
        <v>730007</v>
      </c>
      <c r="B30" s="11" t="s">
        <v>5</v>
      </c>
      <c r="C30" s="56" t="s">
        <v>208</v>
      </c>
      <c r="D30" s="12" t="s">
        <v>5608</v>
      </c>
      <c r="E30" s="12" t="s">
        <v>5609</v>
      </c>
      <c r="F30" s="16" t="s">
        <v>5610</v>
      </c>
      <c r="G30" s="10" t="s">
        <v>172</v>
      </c>
      <c r="H30" s="10" t="s">
        <v>132</v>
      </c>
      <c r="I30" s="11" t="s">
        <v>3</v>
      </c>
      <c r="J30" s="14">
        <v>46042</v>
      </c>
      <c r="K30" s="13" t="s">
        <v>5611</v>
      </c>
      <c r="L30" s="14">
        <f t="shared" si="6"/>
        <v>46049</v>
      </c>
      <c r="M30" s="14">
        <v>46049</v>
      </c>
      <c r="N30" s="92">
        <f t="shared" si="7"/>
        <v>0</v>
      </c>
      <c r="O30" s="10" t="s">
        <v>5635</v>
      </c>
      <c r="P30" s="16" t="s">
        <v>5</v>
      </c>
      <c r="Q30" s="21">
        <v>46051</v>
      </c>
      <c r="R30" s="10" t="s">
        <v>5694</v>
      </c>
      <c r="S30" s="14">
        <f t="shared" si="8"/>
        <v>46058</v>
      </c>
      <c r="T30" s="21">
        <v>46057</v>
      </c>
      <c r="U30" s="92">
        <f t="shared" si="9"/>
        <v>-1</v>
      </c>
      <c r="V30" s="10" t="s">
        <v>5698</v>
      </c>
      <c r="W30" s="10"/>
      <c r="X30" s="21"/>
      <c r="Y30" s="10"/>
      <c r="Z30" s="10"/>
      <c r="AA30" s="21"/>
      <c r="AB30" s="21"/>
      <c r="AC30" s="10"/>
      <c r="AD30" s="10"/>
      <c r="AE30" s="21"/>
      <c r="AF30" s="10"/>
      <c r="AG30" s="10"/>
      <c r="AH30" s="21"/>
      <c r="AI30" s="21"/>
      <c r="AJ30" s="10"/>
      <c r="AK30" s="10"/>
      <c r="AL30" s="17"/>
      <c r="AM30" s="11"/>
      <c r="AN30" s="11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1"/>
      <c r="BF30" s="460"/>
    </row>
    <row r="31" spans="1:58" s="381" customFormat="1" ht="42" customHeight="1" x14ac:dyDescent="0.25">
      <c r="A31" s="442">
        <v>730007</v>
      </c>
      <c r="B31" s="16" t="s">
        <v>5</v>
      </c>
      <c r="C31" s="56" t="s">
        <v>725</v>
      </c>
      <c r="D31" s="12" t="s">
        <v>5612</v>
      </c>
      <c r="E31" s="12" t="s">
        <v>5613</v>
      </c>
      <c r="F31" s="16" t="s">
        <v>5615</v>
      </c>
      <c r="G31" s="10" t="s">
        <v>172</v>
      </c>
      <c r="H31" s="10" t="s">
        <v>132</v>
      </c>
      <c r="I31" s="16" t="s">
        <v>18</v>
      </c>
      <c r="J31" s="14">
        <v>46042</v>
      </c>
      <c r="K31" s="13" t="s">
        <v>5614</v>
      </c>
      <c r="L31" s="14">
        <f t="shared" si="6"/>
        <v>46049</v>
      </c>
      <c r="M31" s="14">
        <v>46067</v>
      </c>
      <c r="N31" s="92">
        <f t="shared" si="7"/>
        <v>18</v>
      </c>
      <c r="O31" s="10" t="s">
        <v>5636</v>
      </c>
      <c r="P31" s="16" t="s">
        <v>5</v>
      </c>
      <c r="Q31" s="21">
        <v>46079</v>
      </c>
      <c r="R31" s="10" t="s">
        <v>5902</v>
      </c>
      <c r="S31" s="14">
        <f t="shared" si="8"/>
        <v>46086</v>
      </c>
      <c r="T31" s="21">
        <v>46089</v>
      </c>
      <c r="U31" s="92">
        <f t="shared" si="9"/>
        <v>3</v>
      </c>
      <c r="V31" s="10" t="s">
        <v>5914</v>
      </c>
      <c r="W31" s="16" t="s">
        <v>18</v>
      </c>
      <c r="X31" s="21">
        <v>46162</v>
      </c>
      <c r="Y31" s="10" t="s">
        <v>6871</v>
      </c>
      <c r="Z31" s="14">
        <f t="shared" ref="Z31:Z37" si="10">X31+7</f>
        <v>46169</v>
      </c>
      <c r="AA31" s="21">
        <v>46178</v>
      </c>
      <c r="AB31" s="92">
        <f t="shared" ref="AB31:AB37" si="11">AA31-Z31</f>
        <v>9</v>
      </c>
      <c r="AC31" s="10" t="s">
        <v>6888</v>
      </c>
      <c r="AD31" s="10" t="s">
        <v>5</v>
      </c>
      <c r="AE31" s="21">
        <v>46194</v>
      </c>
      <c r="AF31" s="10" t="s">
        <v>7050</v>
      </c>
      <c r="AG31" s="14">
        <f>AE31+7</f>
        <v>46201</v>
      </c>
      <c r="AH31" s="21">
        <v>46198</v>
      </c>
      <c r="AI31" s="92">
        <f>AH31-AG31</f>
        <v>-3</v>
      </c>
      <c r="AJ31" s="10" t="s">
        <v>7062</v>
      </c>
      <c r="AK31" s="10"/>
      <c r="AL31" s="17"/>
      <c r="AM31" s="11"/>
      <c r="AN31" s="11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1"/>
      <c r="BF31" s="460"/>
    </row>
    <row r="32" spans="1:58" s="381" customFormat="1" ht="42" customHeight="1" x14ac:dyDescent="0.25">
      <c r="A32" s="442">
        <v>730007</v>
      </c>
      <c r="B32" s="11" t="s">
        <v>5</v>
      </c>
      <c r="C32" s="56" t="s">
        <v>208</v>
      </c>
      <c r="D32" s="12" t="s">
        <v>6355</v>
      </c>
      <c r="E32" s="12" t="s">
        <v>6357</v>
      </c>
      <c r="F32" s="16" t="s">
        <v>6356</v>
      </c>
      <c r="G32" s="10" t="s">
        <v>172</v>
      </c>
      <c r="H32" s="10" t="s">
        <v>132</v>
      </c>
      <c r="I32" s="11" t="s">
        <v>3</v>
      </c>
      <c r="J32" s="14">
        <v>46125</v>
      </c>
      <c r="K32" s="13" t="s">
        <v>6358</v>
      </c>
      <c r="L32" s="14">
        <f t="shared" si="6"/>
        <v>46132</v>
      </c>
      <c r="M32" s="14">
        <v>46138</v>
      </c>
      <c r="N32" s="92">
        <f t="shared" si="7"/>
        <v>6</v>
      </c>
      <c r="O32" s="10" t="s">
        <v>6379</v>
      </c>
      <c r="P32" s="16" t="s">
        <v>5</v>
      </c>
      <c r="Q32" s="21">
        <v>46139</v>
      </c>
      <c r="R32" s="10" t="s">
        <v>6542</v>
      </c>
      <c r="S32" s="14">
        <f t="shared" si="8"/>
        <v>46146</v>
      </c>
      <c r="T32" s="21">
        <v>46145</v>
      </c>
      <c r="U32" s="92">
        <f t="shared" si="9"/>
        <v>-1</v>
      </c>
      <c r="V32" s="10" t="s">
        <v>6555</v>
      </c>
      <c r="W32" s="10"/>
      <c r="X32" s="21"/>
      <c r="Y32" s="10"/>
      <c r="Z32" s="14">
        <f t="shared" si="10"/>
        <v>7</v>
      </c>
      <c r="AA32" s="21"/>
      <c r="AB32" s="92">
        <f t="shared" si="11"/>
        <v>-7</v>
      </c>
      <c r="AC32" s="10"/>
      <c r="AD32" s="10"/>
      <c r="AE32" s="21"/>
      <c r="AF32" s="10"/>
      <c r="AG32" s="10"/>
      <c r="AH32" s="21"/>
      <c r="AI32" s="21"/>
      <c r="AJ32" s="10"/>
      <c r="AK32" s="10"/>
      <c r="AL32" s="17"/>
      <c r="AM32" s="11"/>
      <c r="AN32" s="11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1"/>
      <c r="BF32" s="460"/>
    </row>
    <row r="33" spans="1:58" s="381" customFormat="1" ht="42" customHeight="1" x14ac:dyDescent="0.25">
      <c r="A33" s="442">
        <v>730007</v>
      </c>
      <c r="B33" s="11" t="s">
        <v>5</v>
      </c>
      <c r="C33" s="56" t="s">
        <v>208</v>
      </c>
      <c r="D33" s="12" t="s">
        <v>6419</v>
      </c>
      <c r="E33" s="12" t="s">
        <v>6420</v>
      </c>
      <c r="F33" s="16" t="s">
        <v>6356</v>
      </c>
      <c r="G33" s="10" t="s">
        <v>172</v>
      </c>
      <c r="H33" s="10" t="s">
        <v>132</v>
      </c>
      <c r="I33" s="16" t="s">
        <v>18</v>
      </c>
      <c r="J33" s="14">
        <v>46130</v>
      </c>
      <c r="K33" s="13" t="s">
        <v>6421</v>
      </c>
      <c r="L33" s="14">
        <f>J33+7</f>
        <v>46137</v>
      </c>
      <c r="M33" s="14">
        <v>46138</v>
      </c>
      <c r="N33" s="92">
        <f t="shared" si="7"/>
        <v>1</v>
      </c>
      <c r="O33" s="10" t="s">
        <v>6436</v>
      </c>
      <c r="P33" s="16" t="s">
        <v>5</v>
      </c>
      <c r="Q33" s="21">
        <v>46139</v>
      </c>
      <c r="R33" s="10" t="s">
        <v>6548</v>
      </c>
      <c r="S33" s="14">
        <f t="shared" si="8"/>
        <v>46146</v>
      </c>
      <c r="T33" s="21">
        <v>46147</v>
      </c>
      <c r="U33" s="92">
        <f t="shared" si="9"/>
        <v>1</v>
      </c>
      <c r="V33" s="10" t="s">
        <v>6556</v>
      </c>
      <c r="W33" s="10"/>
      <c r="X33" s="21"/>
      <c r="Y33" s="10"/>
      <c r="Z33" s="14">
        <f t="shared" si="10"/>
        <v>7</v>
      </c>
      <c r="AA33" s="21"/>
      <c r="AB33" s="92">
        <f t="shared" si="11"/>
        <v>-7</v>
      </c>
      <c r="AC33" s="10"/>
      <c r="AD33" s="10"/>
      <c r="AE33" s="21"/>
      <c r="AF33" s="10"/>
      <c r="AG33" s="10"/>
      <c r="AH33" s="21"/>
      <c r="AI33" s="21"/>
      <c r="AJ33" s="10"/>
      <c r="AK33" s="10"/>
      <c r="AL33" s="17"/>
      <c r="AM33" s="11"/>
      <c r="AN33" s="11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1"/>
      <c r="BF33" s="460"/>
    </row>
    <row r="34" spans="1:58" s="381" customFormat="1" ht="42" customHeight="1" x14ac:dyDescent="0.25">
      <c r="A34" s="442">
        <v>730007</v>
      </c>
      <c r="B34" s="16" t="s">
        <v>5</v>
      </c>
      <c r="C34" s="56" t="s">
        <v>208</v>
      </c>
      <c r="D34" s="12" t="s">
        <v>6543</v>
      </c>
      <c r="E34" s="12" t="s">
        <v>6544</v>
      </c>
      <c r="F34" s="16" t="s">
        <v>6545</v>
      </c>
      <c r="G34" s="10" t="s">
        <v>172</v>
      </c>
      <c r="H34" s="10" t="s">
        <v>132</v>
      </c>
      <c r="I34" s="16" t="s">
        <v>18</v>
      </c>
      <c r="J34" s="14">
        <v>46139</v>
      </c>
      <c r="K34" s="13" t="s">
        <v>6546</v>
      </c>
      <c r="L34" s="14">
        <f>J34+7</f>
        <v>46146</v>
      </c>
      <c r="M34" s="14">
        <v>46148</v>
      </c>
      <c r="N34" s="92">
        <f t="shared" si="7"/>
        <v>2</v>
      </c>
      <c r="O34" s="10" t="s">
        <v>6560</v>
      </c>
      <c r="P34" s="16" t="s">
        <v>5</v>
      </c>
      <c r="Q34" s="21">
        <v>46153</v>
      </c>
      <c r="R34" s="10" t="s">
        <v>6719</v>
      </c>
      <c r="S34" s="14">
        <f t="shared" si="8"/>
        <v>46160</v>
      </c>
      <c r="T34" s="21">
        <v>46162</v>
      </c>
      <c r="U34" s="92">
        <f t="shared" si="9"/>
        <v>2</v>
      </c>
      <c r="V34" s="10" t="s">
        <v>6732</v>
      </c>
      <c r="W34" s="10"/>
      <c r="X34" s="21"/>
      <c r="Y34" s="10"/>
      <c r="Z34" s="14">
        <f t="shared" si="10"/>
        <v>7</v>
      </c>
      <c r="AA34" s="21"/>
      <c r="AB34" s="92">
        <f t="shared" si="11"/>
        <v>-7</v>
      </c>
      <c r="AC34" s="10"/>
      <c r="AD34" s="10"/>
      <c r="AE34" s="21"/>
      <c r="AF34" s="10"/>
      <c r="AG34" s="10"/>
      <c r="AH34" s="21"/>
      <c r="AI34" s="21"/>
      <c r="AJ34" s="10"/>
      <c r="AK34" s="10"/>
      <c r="AL34" s="17"/>
      <c r="AM34" s="11"/>
      <c r="AN34" s="11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1"/>
      <c r="BF34" s="460"/>
    </row>
    <row r="35" spans="1:58" s="381" customFormat="1" ht="42" customHeight="1" x14ac:dyDescent="0.25">
      <c r="A35" s="442">
        <v>730007</v>
      </c>
      <c r="B35" s="16" t="s">
        <v>5</v>
      </c>
      <c r="C35" s="56" t="s">
        <v>54</v>
      </c>
      <c r="D35" s="12" t="s">
        <v>6720</v>
      </c>
      <c r="E35" s="12" t="s">
        <v>6721</v>
      </c>
      <c r="F35" s="16" t="s">
        <v>6722</v>
      </c>
      <c r="G35" s="10" t="s">
        <v>172</v>
      </c>
      <c r="H35" s="10" t="s">
        <v>132</v>
      </c>
      <c r="I35" s="16" t="s">
        <v>5</v>
      </c>
      <c r="J35" s="14">
        <v>46153</v>
      </c>
      <c r="K35" s="13" t="s">
        <v>6723</v>
      </c>
      <c r="L35" s="14">
        <f>J35+7</f>
        <v>46160</v>
      </c>
      <c r="M35" s="14">
        <v>46161</v>
      </c>
      <c r="N35" s="92">
        <f t="shared" si="7"/>
        <v>1</v>
      </c>
      <c r="O35" s="10" t="s">
        <v>6733</v>
      </c>
      <c r="P35" s="16"/>
      <c r="Q35" s="21"/>
      <c r="R35" s="10"/>
      <c r="S35" s="14"/>
      <c r="T35" s="21"/>
      <c r="U35" s="92"/>
      <c r="V35" s="10"/>
      <c r="W35" s="10"/>
      <c r="X35" s="21"/>
      <c r="Y35" s="10"/>
      <c r="Z35" s="14">
        <f t="shared" si="10"/>
        <v>7</v>
      </c>
      <c r="AA35" s="21"/>
      <c r="AB35" s="92">
        <f t="shared" si="11"/>
        <v>-7</v>
      </c>
      <c r="AC35" s="10"/>
      <c r="AD35" s="10"/>
      <c r="AE35" s="21"/>
      <c r="AF35" s="10"/>
      <c r="AG35" s="10"/>
      <c r="AH35" s="21"/>
      <c r="AI35" s="21"/>
      <c r="AJ35" s="10"/>
      <c r="AK35" s="10"/>
      <c r="AL35" s="17"/>
      <c r="AM35" s="11"/>
      <c r="AN35" s="11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1"/>
      <c r="BF35" s="460"/>
    </row>
    <row r="36" spans="1:58" s="381" customFormat="1" ht="42" customHeight="1" x14ac:dyDescent="0.25">
      <c r="A36" s="442">
        <v>730007</v>
      </c>
      <c r="B36" s="16" t="s">
        <v>5</v>
      </c>
      <c r="C36" s="56" t="s">
        <v>725</v>
      </c>
      <c r="D36" s="12" t="s">
        <v>6930</v>
      </c>
      <c r="E36" s="12" t="s">
        <v>6931</v>
      </c>
      <c r="F36" s="16" t="s">
        <v>6932</v>
      </c>
      <c r="G36" s="10" t="s">
        <v>172</v>
      </c>
      <c r="H36" s="10" t="s">
        <v>132</v>
      </c>
      <c r="I36" s="11" t="s">
        <v>3</v>
      </c>
      <c r="J36" s="14">
        <v>46176</v>
      </c>
      <c r="K36" s="13" t="s">
        <v>6933</v>
      </c>
      <c r="L36" s="14">
        <f>J36+7</f>
        <v>46183</v>
      </c>
      <c r="M36" s="14">
        <v>46190</v>
      </c>
      <c r="N36" s="92">
        <f t="shared" si="7"/>
        <v>7</v>
      </c>
      <c r="O36" s="10" t="s">
        <v>6982</v>
      </c>
      <c r="P36" s="23" t="s">
        <v>3</v>
      </c>
      <c r="Q36" s="21">
        <v>46209</v>
      </c>
      <c r="R36" s="10" t="s">
        <v>7225</v>
      </c>
      <c r="S36" s="14">
        <f>Q36+7</f>
        <v>46216</v>
      </c>
      <c r="T36" s="21">
        <v>46218</v>
      </c>
      <c r="U36" s="92">
        <f>T36-S36</f>
        <v>2</v>
      </c>
      <c r="V36" s="10" t="s">
        <v>7229</v>
      </c>
      <c r="W36" s="10" t="s">
        <v>18</v>
      </c>
      <c r="X36" s="21">
        <v>46219</v>
      </c>
      <c r="Y36" s="150" t="s">
        <v>7299</v>
      </c>
      <c r="Z36" s="14">
        <f t="shared" si="10"/>
        <v>46226</v>
      </c>
      <c r="AA36" s="21">
        <v>46222</v>
      </c>
      <c r="AB36" s="92">
        <f t="shared" si="11"/>
        <v>-4</v>
      </c>
      <c r="AC36" s="157" t="s">
        <v>7318</v>
      </c>
      <c r="AD36" s="10" t="s">
        <v>5</v>
      </c>
      <c r="AE36" s="21">
        <v>46231</v>
      </c>
      <c r="AF36" s="150" t="s">
        <v>7349</v>
      </c>
      <c r="AG36" s="14">
        <f>AE36+7</f>
        <v>46238</v>
      </c>
      <c r="AH36" s="21">
        <v>46232</v>
      </c>
      <c r="AI36" s="92">
        <f>AH36-AG36</f>
        <v>-6</v>
      </c>
      <c r="AJ36" s="151" t="s">
        <v>7360</v>
      </c>
      <c r="AK36" s="10"/>
      <c r="AL36" s="17"/>
      <c r="AM36" s="11"/>
      <c r="AN36" s="11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1"/>
      <c r="BF36" s="460"/>
    </row>
    <row r="37" spans="1:58" s="408" customFormat="1" ht="42" customHeight="1" x14ac:dyDescent="0.25">
      <c r="A37" s="442">
        <v>100008</v>
      </c>
      <c r="B37" s="153" t="s">
        <v>5</v>
      </c>
      <c r="C37" s="341" t="s">
        <v>588</v>
      </c>
      <c r="D37" s="152" t="s">
        <v>5079</v>
      </c>
      <c r="E37" s="152" t="s">
        <v>5080</v>
      </c>
      <c r="F37" s="153" t="s">
        <v>5078</v>
      </c>
      <c r="G37" s="157" t="s">
        <v>172</v>
      </c>
      <c r="H37" s="157" t="s">
        <v>132</v>
      </c>
      <c r="I37" s="153" t="s">
        <v>3</v>
      </c>
      <c r="J37" s="342">
        <v>45991</v>
      </c>
      <c r="K37" s="155" t="s">
        <v>5081</v>
      </c>
      <c r="L37" s="342">
        <f t="shared" si="6"/>
        <v>45998</v>
      </c>
      <c r="M37" s="342">
        <v>46006</v>
      </c>
      <c r="N37" s="156">
        <f t="shared" si="7"/>
        <v>8</v>
      </c>
      <c r="O37" s="157" t="s">
        <v>5175</v>
      </c>
      <c r="P37" s="23" t="s">
        <v>18</v>
      </c>
      <c r="Q37" s="158">
        <v>46229</v>
      </c>
      <c r="R37" s="164" t="s">
        <v>7328</v>
      </c>
      <c r="S37" s="342">
        <f>Q37+7</f>
        <v>46236</v>
      </c>
      <c r="T37" s="158">
        <v>46236</v>
      </c>
      <c r="U37" s="156">
        <f>T37-S37</f>
        <v>0</v>
      </c>
      <c r="V37" s="10" t="s">
        <v>7332</v>
      </c>
      <c r="W37" s="153" t="s">
        <v>5</v>
      </c>
      <c r="X37" s="158">
        <v>46250</v>
      </c>
      <c r="Y37" s="157" t="s">
        <v>7472</v>
      </c>
      <c r="Z37" s="14">
        <f t="shared" si="10"/>
        <v>46257</v>
      </c>
      <c r="AA37" s="21">
        <v>46259</v>
      </c>
      <c r="AB37" s="92">
        <f t="shared" si="11"/>
        <v>2</v>
      </c>
      <c r="AC37" s="157" t="s">
        <v>7480</v>
      </c>
      <c r="AD37" s="157"/>
      <c r="AE37" s="158"/>
      <c r="AF37" s="157"/>
      <c r="AG37" s="157"/>
      <c r="AH37" s="158"/>
      <c r="AI37" s="158"/>
      <c r="AJ37" s="157"/>
      <c r="AK37" s="157"/>
      <c r="AL37" s="160"/>
      <c r="AM37" s="161"/>
      <c r="AN37" s="161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60"/>
      <c r="BC37" s="160"/>
      <c r="BD37" s="160"/>
      <c r="BE37" s="161"/>
      <c r="BF37" s="489"/>
    </row>
    <row r="38" spans="1:58" s="381" customFormat="1" ht="42" customHeight="1" thickBot="1" x14ac:dyDescent="0.3">
      <c r="A38" s="443"/>
      <c r="B38" s="446"/>
      <c r="C38" s="446"/>
      <c r="D38" s="370"/>
      <c r="E38" s="370"/>
      <c r="F38" s="262"/>
      <c r="G38" s="263"/>
      <c r="H38" s="263"/>
      <c r="I38" s="262"/>
      <c r="J38" s="474"/>
      <c r="K38" s="373"/>
      <c r="L38" s="373"/>
      <c r="M38" s="474"/>
      <c r="N38" s="425"/>
      <c r="O38" s="263"/>
      <c r="P38" s="470"/>
      <c r="Q38" s="374"/>
      <c r="R38" s="263"/>
      <c r="S38" s="263"/>
      <c r="T38" s="374"/>
      <c r="U38" s="374"/>
      <c r="V38" s="263"/>
      <c r="W38" s="263"/>
      <c r="X38" s="374"/>
      <c r="Y38" s="263"/>
      <c r="Z38" s="263"/>
      <c r="AA38" s="374"/>
      <c r="AB38" s="374"/>
      <c r="AC38" s="263"/>
      <c r="AD38" s="263"/>
      <c r="AE38" s="374"/>
      <c r="AF38" s="263"/>
      <c r="AG38" s="263"/>
      <c r="AH38" s="374"/>
      <c r="AI38" s="374"/>
      <c r="AJ38" s="263"/>
      <c r="AK38" s="263"/>
      <c r="AL38" s="376"/>
      <c r="AM38" s="371"/>
      <c r="AN38" s="371"/>
      <c r="AO38" s="376"/>
      <c r="AP38" s="376"/>
      <c r="AQ38" s="376"/>
      <c r="AR38" s="376"/>
      <c r="AS38" s="376"/>
      <c r="AT38" s="376"/>
      <c r="AU38" s="376"/>
      <c r="AV38" s="376"/>
      <c r="AW38" s="376"/>
      <c r="AX38" s="376"/>
      <c r="AY38" s="376"/>
      <c r="AZ38" s="376"/>
      <c r="BA38" s="376"/>
      <c r="BB38" s="376"/>
      <c r="BC38" s="376"/>
      <c r="BD38" s="376"/>
      <c r="BE38" s="371"/>
      <c r="BF38" s="490"/>
    </row>
    <row r="39" spans="1:58" x14ac:dyDescent="0.25">
      <c r="BF39" s="488"/>
    </row>
  </sheetData>
  <autoFilter ref="A11:BF11" xr:uid="{00000000-0001-0000-2100-000000000000}"/>
  <mergeCells count="18">
    <mergeCell ref="A10:A11"/>
    <mergeCell ref="H1:H2"/>
    <mergeCell ref="I1:I2"/>
    <mergeCell ref="G10:G11"/>
    <mergeCell ref="B10:B11"/>
    <mergeCell ref="C10:C11"/>
    <mergeCell ref="D10:D11"/>
    <mergeCell ref="E10:E11"/>
    <mergeCell ref="F10:F11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0:A38">
    <cfRule type="cellIs" dxfId="439" priority="1" operator="equal">
      <formula>"E - Review not Required - Proceed"</formula>
    </cfRule>
    <cfRule type="cellIs" dxfId="438" priority="2" operator="equal">
      <formula>"D - Rejected"</formula>
    </cfRule>
    <cfRule type="cellIs" dxfId="437" priority="3" operator="equal">
      <formula>"B- Incorporate Comments - Proceed"</formula>
    </cfRule>
    <cfRule type="cellIs" dxfId="436" priority="4" operator="equal">
      <formula>"C - Revise and Resubmit - Do Not Proceed"</formula>
    </cfRule>
    <cfRule type="cellIs" dxfId="435" priority="5" operator="equal">
      <formula>"A - Work May Proceed"</formula>
    </cfRule>
  </conditionalFormatting>
  <conditionalFormatting sqref="B36">
    <cfRule type="cellIs" dxfId="434" priority="29" stopIfTrue="1" operator="equal">
      <formula>"A - Work May Proceed"</formula>
    </cfRule>
  </conditionalFormatting>
  <conditionalFormatting sqref="B37">
    <cfRule type="cellIs" dxfId="433" priority="19" stopIfTrue="1" operator="equal">
      <formula>"A - Work May Proceed"</formula>
    </cfRule>
  </conditionalFormatting>
  <conditionalFormatting sqref="B36:O37 B12:XFD24 B25:AS25 AU25:XFD25 B26:XFD35 Q36:X36 Z36:AE36 AG36:AI36 AK36:XFD36 Q37 S37:XFD37 B38:XFD38">
    <cfRule type="cellIs" dxfId="432" priority="34" operator="equal">
      <formula>"A - Work May Proceed"</formula>
    </cfRule>
  </conditionalFormatting>
  <conditionalFormatting sqref="B37:Q37">
    <cfRule type="cellIs" dxfId="431" priority="10" operator="equal">
      <formula>"E - Review not Required - Proceed"</formula>
    </cfRule>
    <cfRule type="cellIs" dxfId="430" priority="11" operator="equal">
      <formula>"D - Rejected"</formula>
    </cfRule>
    <cfRule type="cellIs" dxfId="429" priority="12" operator="equal">
      <formula>"B- Incorporate Comments - Proceed"</formula>
    </cfRule>
    <cfRule type="cellIs" dxfId="428" priority="13" operator="equal">
      <formula>"C - Revise and Resubmit - Do Not Proceed"</formula>
    </cfRule>
  </conditionalFormatting>
  <conditionalFormatting sqref="B12:XFD24 B25:AS25 AU25:XFD25 B26:XFD35 B36:X36 Z36:AE36 AG36:AI36 AK36:XFD36 B38:XFD38">
    <cfRule type="cellIs" dxfId="427" priority="20" operator="equal">
      <formula>"E - Review not Required - Proceed"</formula>
    </cfRule>
    <cfRule type="cellIs" dxfId="426" priority="21" operator="equal">
      <formula>"D - Rejected"</formula>
    </cfRule>
    <cfRule type="cellIs" dxfId="425" priority="22" operator="equal">
      <formula>"B- Incorporate Comments - Proceed"</formula>
    </cfRule>
    <cfRule type="cellIs" dxfId="424" priority="23" operator="equal">
      <formula>"C - Revise and Resubmit - Do Not Proceed"</formula>
    </cfRule>
  </conditionalFormatting>
  <conditionalFormatting sqref="D11:BE11 B1:G2 X1:XFD9 B3:H4 B9:H9 B10:XFD10 B11">
    <cfRule type="cellIs" dxfId="423" priority="91" operator="equal">
      <formula>"D - Rejected"</formula>
    </cfRule>
    <cfRule type="cellIs" dxfId="422" priority="90" operator="equal">
      <formula>"E - Review not Required - Proceed"</formula>
    </cfRule>
    <cfRule type="cellIs" dxfId="421" priority="94" operator="equal">
      <formula>"A - Work May Proceed"</formula>
    </cfRule>
    <cfRule type="cellIs" dxfId="420" priority="93" operator="equal">
      <formula>"C - Revise and Resubmit - Do Not Proceed"</formula>
    </cfRule>
    <cfRule type="cellIs" dxfId="419" priority="92" operator="equal">
      <formula>"B- Incorporate Comments - Proceed"</formula>
    </cfRule>
  </conditionalFormatting>
  <conditionalFormatting sqref="I11">
    <cfRule type="cellIs" dxfId="418" priority="167" operator="between">
      <formula>"A - Work May Proceed"</formula>
      <formula>"A - Work May Proceed"</formula>
    </cfRule>
    <cfRule type="cellIs" dxfId="417" priority="166" operator="between">
      <formula>"B - Incorporate Comments - Proceed"</formula>
      <formula>"B - Incorporate Comments - Proceed"</formula>
    </cfRule>
    <cfRule type="cellIs" dxfId="416" priority="165" operator="between">
      <formula>"C - Revise and Resubmit - Do Not Proceed"</formula>
      <formula>"C - Revise and Resubmit - Do Not Proceed"</formula>
    </cfRule>
    <cfRule type="cellIs" dxfId="415" priority="164" operator="between">
      <formula>"'D - Rejected "</formula>
      <formula>"'D - Rejected "</formula>
    </cfRule>
    <cfRule type="cellIs" dxfId="414" priority="162" operator="equal">
      <formula>"E - Review Not Required - Proceed"</formula>
    </cfRule>
    <cfRule type="cellIs" dxfId="413" priority="161" operator="equal">
      <formula>"B - Incorporate Comments - Proceed "</formula>
    </cfRule>
    <cfRule type="cellIs" dxfId="412" priority="160" operator="equal">
      <formula>"For Information"</formula>
    </cfRule>
    <cfRule type="cellIs" dxfId="411" priority="159" operator="equal">
      <formula>"B - Incorporate Comments - Proceed"</formula>
    </cfRule>
    <cfRule type="cellIs" dxfId="410" priority="163" operator="between">
      <formula>"E - Review not Required - Proceed"</formula>
      <formula>"E - Review not Required - Proceed"</formula>
    </cfRule>
    <cfRule type="cellIs" dxfId="409" priority="174" stopIfTrue="1" operator="between">
      <formula>"B - Incorporate Comments - Proceed "</formula>
      <formula>"B - Incorporate Comments - Proceed "</formula>
    </cfRule>
    <cfRule type="cellIs" dxfId="408" priority="173" operator="between">
      <formula>"C - Revise and Resubmit - Do Not Proceed"</formula>
      <formula>"C - Revise and Resubmit - Do Not Proceed"</formula>
    </cfRule>
    <cfRule type="cellIs" dxfId="407" priority="172" operator="between">
      <formula>"A - Work May Proceed"</formula>
      <formula>"A - Work May Proceed"</formula>
    </cfRule>
    <cfRule type="cellIs" dxfId="406" priority="171" operator="between">
      <formula>"CANCELLED"</formula>
      <formula>"CANCELLED"</formula>
    </cfRule>
    <cfRule type="cellIs" dxfId="405" priority="170" operator="between">
      <formula>"D - Rejected "</formula>
      <formula>"D - Rejected "</formula>
    </cfRule>
    <cfRule type="cellIs" dxfId="404" priority="169" operator="between">
      <formula>"E - Review not Required - Proceed"</formula>
      <formula>"E - Review not Required - Proceed"</formula>
    </cfRule>
    <cfRule type="cellIs" dxfId="403" priority="168" operator="between">
      <formula>"B - Incorporate Comments - Proceed"</formula>
      <formula>"B - Incorporate Comments - Proceed"</formula>
    </cfRule>
  </conditionalFormatting>
  <conditionalFormatting sqref="J5:J6 B5:I7 B8:J8">
    <cfRule type="cellIs" dxfId="402" priority="40" operator="equal">
      <formula>"E - Review not Required - Proceed"</formula>
    </cfRule>
    <cfRule type="cellIs" dxfId="401" priority="41" operator="equal">
      <formula>"D - Rejected"</formula>
    </cfRule>
    <cfRule type="cellIs" dxfId="400" priority="44" stopIfTrue="1" operator="equal">
      <formula>"A - Work May Proceed"</formula>
    </cfRule>
    <cfRule type="cellIs" dxfId="399" priority="43" operator="equal">
      <formula>"C - Revise and Resubmit - Do Not Proceed"</formula>
    </cfRule>
    <cfRule type="cellIs" dxfId="398" priority="42" operator="equal">
      <formula>"B- Incorporate Comments - Proceed"</formula>
    </cfRule>
  </conditionalFormatting>
  <conditionalFormatting sqref="P11">
    <cfRule type="cellIs" dxfId="397" priority="154" operator="between">
      <formula>"D - Rejected "</formula>
      <formula>"D - Rejected "</formula>
    </cfRule>
    <cfRule type="cellIs" dxfId="396" priority="153" operator="between">
      <formula>"E - Review not Required - Proceed"</formula>
      <formula>"E - Review not Required - Proceed"</formula>
    </cfRule>
    <cfRule type="cellIs" dxfId="395" priority="151" operator="between">
      <formula>"A - Work May Proceed"</formula>
      <formula>"A - Work May Proceed"</formula>
    </cfRule>
    <cfRule type="cellIs" dxfId="394" priority="150" operator="between">
      <formula>"B - Incorporate Comments - Proceed"</formula>
      <formula>"B - Incorporate Comments - Proceed"</formula>
    </cfRule>
    <cfRule type="cellIs" dxfId="393" priority="152" operator="between">
      <formula>"B - Incorporate Comments - Proceed"</formula>
      <formula>"B - Incorporate Comments - Proceed"</formula>
    </cfRule>
    <cfRule type="cellIs" dxfId="392" priority="155" operator="between">
      <formula>"CANCELLED"</formula>
      <formula>"CANCELLED"</formula>
    </cfRule>
    <cfRule type="cellIs" dxfId="391" priority="145" operator="equal">
      <formula>"B - Incorporate Comments - Proceed "</formula>
    </cfRule>
    <cfRule type="cellIs" dxfId="390" priority="144" operator="equal">
      <formula>"For Information"</formula>
    </cfRule>
    <cfRule type="cellIs" dxfId="389" priority="143" operator="equal">
      <formula>"B - Incorporate Comments - Proceed"</formula>
    </cfRule>
    <cfRule type="cellIs" dxfId="388" priority="146" operator="equal">
      <formula>"E - Review Not Required - Proceed"</formula>
    </cfRule>
    <cfRule type="cellIs" dxfId="387" priority="148" operator="between">
      <formula>"'D - Rejected "</formula>
      <formula>"'D - Rejected "</formula>
    </cfRule>
    <cfRule type="cellIs" dxfId="386" priority="147" operator="between">
      <formula>"E - Review not Required - Proceed"</formula>
      <formula>"E - Review not Required - Proceed"</formula>
    </cfRule>
    <cfRule type="cellIs" dxfId="385" priority="149" operator="between">
      <formula>"C - Revise and Resubmit - Do Not Proceed"</formula>
      <formula>"C - Revise and Resubmit - Do Not Proceed"</formula>
    </cfRule>
    <cfRule type="cellIs" dxfId="384" priority="158" stopIfTrue="1" operator="between">
      <formula>"B - Incorporate Comments - Proceed "</formula>
      <formula>"B - Incorporate Comments - Proceed "</formula>
    </cfRule>
    <cfRule type="cellIs" dxfId="383" priority="157" operator="between">
      <formula>"C - Revise and Resubmit - Do Not Proceed"</formula>
      <formula>"C - Revise and Resubmit - Do Not Proceed"</formula>
    </cfRule>
    <cfRule type="cellIs" dxfId="382" priority="156" operator="between">
      <formula>"A - Work May Proceed"</formula>
      <formula>"A - Work May Proceed"</formula>
    </cfRule>
  </conditionalFormatting>
  <conditionalFormatting sqref="P36">
    <cfRule type="cellIs" dxfId="381" priority="24" stopIfTrue="1" operator="equal">
      <formula>"A - Work May Proceed"</formula>
    </cfRule>
  </conditionalFormatting>
  <conditionalFormatting sqref="P37">
    <cfRule type="cellIs" dxfId="380" priority="14" stopIfTrue="1" operator="equal">
      <formula>"A - Work May Proceed"</formula>
    </cfRule>
  </conditionalFormatting>
  <conditionalFormatting sqref="S37:XFD37">
    <cfRule type="cellIs" dxfId="379" priority="6" operator="equal">
      <formula>"E - Review not Required - Proceed"</formula>
    </cfRule>
    <cfRule type="cellIs" dxfId="378" priority="7" operator="equal">
      <formula>"D - Rejected"</formula>
    </cfRule>
    <cfRule type="cellIs" dxfId="377" priority="8" operator="equal">
      <formula>"B- Incorporate Comments - Proceed"</formula>
    </cfRule>
    <cfRule type="cellIs" dxfId="376" priority="9" operator="equal">
      <formula>"C - Revise and Resubmit - Do Not Proceed"</formula>
    </cfRule>
  </conditionalFormatting>
  <conditionalFormatting sqref="W11">
    <cfRule type="cellIs" dxfId="375" priority="136" operator="between">
      <formula>"B - Incorporate Comments - Proceed"</formula>
      <formula>"B - Incorporate Comments - Proceed"</formula>
    </cfRule>
    <cfRule type="cellIs" dxfId="374" priority="142" stopIfTrue="1" operator="between">
      <formula>"B - Incorporate Comments - Proceed "</formula>
      <formula>"B - Incorporate Comments - Proceed "</formula>
    </cfRule>
    <cfRule type="cellIs" dxfId="373" priority="141" operator="between">
      <formula>"C - Revise and Resubmit - Do Not Proceed"</formula>
      <formula>"C - Revise and Resubmit - Do Not Proceed"</formula>
    </cfRule>
    <cfRule type="cellIs" dxfId="372" priority="140" operator="between">
      <formula>"A - Work May Proceed"</formula>
      <formula>"A - Work May Proceed"</formula>
    </cfRule>
    <cfRule type="cellIs" dxfId="371" priority="128" operator="equal">
      <formula>"For Information"</formula>
    </cfRule>
    <cfRule type="cellIs" dxfId="370" priority="138" operator="between">
      <formula>"D - Rejected "</formula>
      <formula>"D - Rejected "</formula>
    </cfRule>
    <cfRule type="cellIs" dxfId="369" priority="139" operator="between">
      <formula>"CANCELLED"</formula>
      <formula>"CANCELLED"</formula>
    </cfRule>
    <cfRule type="cellIs" dxfId="368" priority="137" operator="between">
      <formula>"E - Review not Required - Proceed"</formula>
      <formula>"E - Review not Required - Proceed"</formula>
    </cfRule>
    <cfRule type="cellIs" dxfId="367" priority="135" operator="between">
      <formula>"A - Work May Proceed"</formula>
      <formula>"A - Work May Proceed"</formula>
    </cfRule>
    <cfRule type="cellIs" dxfId="366" priority="134" operator="between">
      <formula>"B - Incorporate Comments - Proceed"</formula>
      <formula>"B - Incorporate Comments - Proceed"</formula>
    </cfRule>
    <cfRule type="cellIs" dxfId="365" priority="133" operator="between">
      <formula>"C - Revise and Resubmit - Do Not Proceed"</formula>
      <formula>"C - Revise and Resubmit - Do Not Proceed"</formula>
    </cfRule>
    <cfRule type="cellIs" dxfId="364" priority="132" operator="between">
      <formula>"'D - Rejected "</formula>
      <formula>"'D - Rejected "</formula>
    </cfRule>
    <cfRule type="cellIs" dxfId="363" priority="131" operator="between">
      <formula>"E - Review not Required - Proceed"</formula>
      <formula>"E - Review not Required - Proceed"</formula>
    </cfRule>
    <cfRule type="cellIs" dxfId="362" priority="129" operator="equal">
      <formula>"B - Incorporate Comments - Proceed "</formula>
    </cfRule>
    <cfRule type="cellIs" dxfId="361" priority="130" operator="equal">
      <formula>"E - Review Not Required - Proceed"</formula>
    </cfRule>
    <cfRule type="cellIs" dxfId="360" priority="127" operator="equal">
      <formula>"B - Incorporate Comments - Proceed"</formula>
    </cfRule>
  </conditionalFormatting>
  <conditionalFormatting sqref="AD11">
    <cfRule type="cellIs" dxfId="359" priority="117" operator="between">
      <formula>"C - Revise and Resubmit - Do Not Proceed"</formula>
      <formula>"C - Revise and Resubmit - Do Not Proceed"</formula>
    </cfRule>
    <cfRule type="cellIs" dxfId="358" priority="119" operator="between">
      <formula>"A - Work May Proceed"</formula>
      <formula>"A - Work May Proceed"</formula>
    </cfRule>
    <cfRule type="cellIs" dxfId="357" priority="122" operator="between">
      <formula>"D - Rejected "</formula>
      <formula>"D - Rejected "</formula>
    </cfRule>
    <cfRule type="cellIs" dxfId="356" priority="123" operator="between">
      <formula>"CANCELLED"</formula>
      <formula>"CANCELLED"</formula>
    </cfRule>
    <cfRule type="cellIs" dxfId="355" priority="124" operator="between">
      <formula>"A - Work May Proceed"</formula>
      <formula>"A - Work May Proceed"</formula>
    </cfRule>
    <cfRule type="cellIs" dxfId="354" priority="125" operator="between">
      <formula>"C - Revise and Resubmit - Do Not Proceed"</formula>
      <formula>"C - Revise and Resubmit - Do Not Proceed"</formula>
    </cfRule>
    <cfRule type="cellIs" dxfId="353" priority="126" stopIfTrue="1" operator="between">
      <formula>"B - Incorporate Comments - Proceed "</formula>
      <formula>"B - Incorporate Comments - Proceed "</formula>
    </cfRule>
    <cfRule type="cellIs" dxfId="352" priority="120" operator="between">
      <formula>"B - Incorporate Comments - Proceed"</formula>
      <formula>"B - Incorporate Comments - Proceed"</formula>
    </cfRule>
    <cfRule type="cellIs" dxfId="351" priority="111" operator="equal">
      <formula>"B - Incorporate Comments - Proceed"</formula>
    </cfRule>
    <cfRule type="cellIs" dxfId="350" priority="112" operator="equal">
      <formula>"For Information"</formula>
    </cfRule>
    <cfRule type="cellIs" dxfId="349" priority="113" operator="equal">
      <formula>"B - Incorporate Comments - Proceed "</formula>
    </cfRule>
    <cfRule type="cellIs" dxfId="348" priority="114" operator="equal">
      <formula>"E - Review Not Required - Proceed"</formula>
    </cfRule>
    <cfRule type="cellIs" dxfId="347" priority="115" operator="between">
      <formula>"E - Review not Required - Proceed"</formula>
      <formula>"E - Review not Required - Proceed"</formula>
    </cfRule>
    <cfRule type="cellIs" dxfId="346" priority="116" operator="between">
      <formula>"'D - Rejected "</formula>
      <formula>"'D - Rejected "</formula>
    </cfRule>
    <cfRule type="cellIs" dxfId="345" priority="121" operator="between">
      <formula>"E - Review not Required - Proceed"</formula>
      <formula>"E - Review not Required - Proceed"</formula>
    </cfRule>
    <cfRule type="cellIs" dxfId="344" priority="118" operator="between">
      <formula>"B - Incorporate Comments - Proceed"</formula>
      <formula>"B - Incorporate Comments - Proceed"</formula>
    </cfRule>
  </conditionalFormatting>
  <conditionalFormatting sqref="AK11">
    <cfRule type="cellIs" dxfId="343" priority="101" operator="between">
      <formula>"C - Revise and Resubmit - Do Not Proceed"</formula>
      <formula>"C - Revise and Resubmit - Do Not Proceed"</formula>
    </cfRule>
    <cfRule type="cellIs" dxfId="342" priority="102" operator="between">
      <formula>"B - Incorporate Comments - Proceed"</formula>
      <formula>"B - Incorporate Comments - Proceed"</formula>
    </cfRule>
    <cfRule type="cellIs" dxfId="341" priority="103" operator="between">
      <formula>"A - Work May Proceed"</formula>
      <formula>"A - Work May Proceed"</formula>
    </cfRule>
    <cfRule type="cellIs" dxfId="340" priority="105" operator="between">
      <formula>"E - Review not Required - Proceed"</formula>
      <formula>"E - Review not Required - Proceed"</formula>
    </cfRule>
    <cfRule type="cellIs" dxfId="339" priority="106" operator="between">
      <formula>"D - Rejected "</formula>
      <formula>"D - Rejected "</formula>
    </cfRule>
    <cfRule type="cellIs" dxfId="338" priority="107" operator="between">
      <formula>"CANCELLED"</formula>
      <formula>"CANCELLED"</formula>
    </cfRule>
    <cfRule type="cellIs" dxfId="337" priority="108" operator="between">
      <formula>"A - Work May Proceed"</formula>
      <formula>"A - Work May Proceed"</formula>
    </cfRule>
    <cfRule type="cellIs" dxfId="336" priority="109" operator="between">
      <formula>"C - Revise and Resubmit - Do Not Proceed"</formula>
      <formula>"C - Revise and Resubmit - Do Not Proceed"</formula>
    </cfRule>
    <cfRule type="cellIs" dxfId="335" priority="110" stopIfTrue="1" operator="between">
      <formula>"B - Incorporate Comments - Proceed "</formula>
      <formula>"B - Incorporate Comments - Proceed "</formula>
    </cfRule>
    <cfRule type="cellIs" dxfId="334" priority="104" operator="between">
      <formula>"B - Incorporate Comments - Proceed"</formula>
      <formula>"B - Incorporate Comments - Proceed"</formula>
    </cfRule>
    <cfRule type="cellIs" dxfId="333" priority="98" operator="equal">
      <formula>"E - Review Not Required - Proceed"</formula>
    </cfRule>
    <cfRule type="cellIs" dxfId="332" priority="97" operator="equal">
      <formula>"B - Incorporate Comments - Proceed "</formula>
    </cfRule>
    <cfRule type="cellIs" dxfId="331" priority="96" operator="equal">
      <formula>"For Information"</formula>
    </cfRule>
    <cfRule type="cellIs" dxfId="330" priority="95" operator="equal">
      <formula>"B - Incorporate Comments - Proceed"</formula>
    </cfRule>
    <cfRule type="cellIs" dxfId="329" priority="99" operator="between">
      <formula>"E - Review not Required - Proceed"</formula>
      <formula>"E - Review not Required - Proceed"</formula>
    </cfRule>
    <cfRule type="cellIs" dxfId="328" priority="100" operator="between">
      <formula>"'D - Rejected "</formula>
      <formula>"'D - Rejected "</formula>
    </cfRule>
  </conditionalFormatting>
  <conditionalFormatting sqref="AR11">
    <cfRule type="cellIs" dxfId="327" priority="58" operator="between">
      <formula>"E - Review not Required - Proceed"</formula>
      <formula>"E - Review not Required - Proceed"</formula>
    </cfRule>
    <cfRule type="cellIs" dxfId="326" priority="60" operator="between">
      <formula>"C - Revise and Resubmit - Do Not Proceed"</formula>
      <formula>"C - Revise and Resubmit - Do Not Proceed"</formula>
    </cfRule>
    <cfRule type="cellIs" dxfId="325" priority="57" operator="equal">
      <formula>"E - Review Not Required - Proceed"</formula>
    </cfRule>
    <cfRule type="cellIs" dxfId="324" priority="55" operator="equal">
      <formula>"For Information"</formula>
    </cfRule>
    <cfRule type="cellIs" dxfId="323" priority="54" operator="equal">
      <formula>"A - Work May Proceed"</formula>
    </cfRule>
    <cfRule type="cellIs" dxfId="322" priority="53" operator="equal">
      <formula>"C - Revise and Resubmit - Do Not Proceed"</formula>
    </cfRule>
    <cfRule type="cellIs" dxfId="321" priority="52" operator="equal">
      <formula>"B - Incorporate Comments - Proceed"</formula>
    </cfRule>
    <cfRule type="cellIs" dxfId="320" priority="51" operator="equal">
      <formula>"D - Rejected"</formula>
    </cfRule>
    <cfRule type="cellIs" dxfId="319" priority="56" operator="equal">
      <formula>"B - Incorporate Comments - Proceed "</formula>
    </cfRule>
    <cfRule type="cellIs" dxfId="318" priority="62" operator="between">
      <formula>"A - Work May Proceed"</formula>
      <formula>"A - Work May Proceed"</formula>
    </cfRule>
    <cfRule type="cellIs" dxfId="317" priority="61" operator="between">
      <formula>"B - Incorporate Comments - Proceed"</formula>
      <formula>"B - Incorporate Comments - Proceed"</formula>
    </cfRule>
    <cfRule type="cellIs" dxfId="316" priority="59" operator="between">
      <formula>"'D - Rejected "</formula>
      <formula>"'D - Rejected "</formula>
    </cfRule>
    <cfRule type="cellIs" dxfId="315" priority="69" stopIfTrue="1" operator="between">
      <formula>"B - Incorporate Comments - Proceed "</formula>
      <formula>"B - Incorporate Comments - Proceed "</formula>
    </cfRule>
    <cfRule type="cellIs" dxfId="314" priority="68" operator="between">
      <formula>"C - Revise and Resubmit - Do Not Proceed"</formula>
      <formula>"C - Revise and Resubmit - Do Not Proceed"</formula>
    </cfRule>
    <cfRule type="cellIs" dxfId="313" priority="67" operator="between">
      <formula>"A - Work May Proceed"</formula>
      <formula>"A - Work May Proceed"</formula>
    </cfRule>
    <cfRule type="cellIs" dxfId="312" priority="66" operator="between">
      <formula>"CANCELLED"</formula>
      <formula>"CANCELLED"</formula>
    </cfRule>
    <cfRule type="cellIs" dxfId="311" priority="65" operator="between">
      <formula>"D - Rejected "</formula>
      <formula>"D - Rejected "</formula>
    </cfRule>
    <cfRule type="cellIs" dxfId="310" priority="50" operator="equal">
      <formula>"E - Review not Required - Proceed"</formula>
    </cfRule>
    <cfRule type="cellIs" dxfId="309" priority="64" operator="between">
      <formula>"E - Review not Required - Proceed"</formula>
      <formula>"E - Review not Required - Proceed"</formula>
    </cfRule>
    <cfRule type="cellIs" dxfId="308" priority="63" operator="between">
      <formula>"B - Incorporate Comments - Proceed"</formula>
      <formula>"B - Incorporate Comments - Proceed"</formula>
    </cfRule>
  </conditionalFormatting>
  <conditionalFormatting sqref="AY11">
    <cfRule type="cellIs" dxfId="307" priority="80" operator="between">
      <formula>"C - Revise and Resubmit - Do Not Proceed"</formula>
      <formula>"C - Revise and Resubmit - Do Not Proceed"</formula>
    </cfRule>
    <cfRule type="cellIs" dxfId="306" priority="89" stopIfTrue="1" operator="between">
      <formula>"B - Incorporate Comments - Proceed "</formula>
      <formula>"B - Incorporate Comments - Proceed "</formula>
    </cfRule>
    <cfRule type="cellIs" dxfId="305" priority="88" operator="between">
      <formula>"C - Revise and Resubmit - Do Not Proceed"</formula>
      <formula>"C - Revise and Resubmit - Do Not Proceed"</formula>
    </cfRule>
    <cfRule type="cellIs" dxfId="304" priority="87" operator="between">
      <formula>"A - Work May Proceed"</formula>
      <formula>"A - Work May Proceed"</formula>
    </cfRule>
    <cfRule type="cellIs" dxfId="303" priority="86" operator="between">
      <formula>"CANCELLED"</formula>
      <formula>"CANCELLED"</formula>
    </cfRule>
    <cfRule type="cellIs" dxfId="302" priority="85" operator="between">
      <formula>"D - Rejected "</formula>
      <formula>"D - Rejected "</formula>
    </cfRule>
    <cfRule type="cellIs" dxfId="301" priority="84" operator="between">
      <formula>"E - Review not Required - Proceed"</formula>
      <formula>"E - Review not Required - Proceed"</formula>
    </cfRule>
    <cfRule type="cellIs" dxfId="300" priority="82" operator="between">
      <formula>"A - Work May Proceed"</formula>
      <formula>"A - Work May Proceed"</formula>
    </cfRule>
    <cfRule type="cellIs" dxfId="299" priority="81" operator="between">
      <formula>"B - Incorporate Comments - Proceed"</formula>
      <formula>"B - Incorporate Comments - Proceed"</formula>
    </cfRule>
    <cfRule type="cellIs" dxfId="298" priority="72" operator="equal">
      <formula>"B - Incorporate Comments - Proceed"</formula>
    </cfRule>
    <cfRule type="cellIs" dxfId="297" priority="71" operator="equal">
      <formula>"D - Rejected"</formula>
    </cfRule>
    <cfRule type="cellIs" dxfId="296" priority="70" operator="equal">
      <formula>"E - Review not Required - Proceed"</formula>
    </cfRule>
    <cfRule type="cellIs" dxfId="295" priority="79" operator="between">
      <formula>"'D - Rejected "</formula>
      <formula>"'D - Rejected "</formula>
    </cfRule>
    <cfRule type="cellIs" dxfId="294" priority="78" operator="between">
      <formula>"E - Review not Required - Proceed"</formula>
      <formula>"E - Review not Required - Proceed"</formula>
    </cfRule>
    <cfRule type="cellIs" dxfId="293" priority="77" operator="equal">
      <formula>"E - Review Not Required - Proceed"</formula>
    </cfRule>
    <cfRule type="cellIs" dxfId="292" priority="76" operator="equal">
      <formula>"B - Incorporate Comments - Proceed "</formula>
    </cfRule>
    <cfRule type="cellIs" dxfId="291" priority="75" operator="equal">
      <formula>"For Information"</formula>
    </cfRule>
    <cfRule type="cellIs" dxfId="290" priority="74" operator="equal">
      <formula>"A - Work May Proceed"</formula>
    </cfRule>
    <cfRule type="cellIs" dxfId="289" priority="83" operator="between">
      <formula>"B - Incorporate Comments - Proceed"</formula>
      <formula>"B - Incorporate Comments - Proceed"</formula>
    </cfRule>
    <cfRule type="cellIs" dxfId="288" priority="73" operator="equal">
      <formula>"C - Revise and Resubmit - Do Not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F47B-5F5F-45C3-A9D4-A3E795BAB219}">
  <sheetPr codeName="Sheet38">
    <tabColor theme="7"/>
  </sheetPr>
  <dimension ref="A1:BF19"/>
  <sheetViews>
    <sheetView zoomScale="52" zoomScaleNormal="52" zoomScaleSheetLayoutView="70" workbookViewId="0">
      <pane ySplit="11" topLeftCell="A12" activePane="bottomLeft" state="frozen"/>
      <selection activeCell="A14" sqref="A14"/>
      <selection pane="bottomLeft" sqref="A1:A1048576"/>
    </sheetView>
  </sheetViews>
  <sheetFormatPr defaultColWidth="9.140625" defaultRowHeight="15" x14ac:dyDescent="0.25"/>
  <cols>
    <col min="1" max="1" width="24.57031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3" width="30.140625" style="471" customWidth="1"/>
    <col min="14" max="14" width="30.140625" style="396" customWidth="1"/>
    <col min="15" max="16" width="30.140625" style="393" customWidth="1"/>
    <col min="17" max="17" width="30.140625" style="397" customWidth="1"/>
    <col min="18" max="19" width="30.140625" style="393" customWidth="1"/>
    <col min="20" max="21" width="30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9.7109375" style="43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 s="111"/>
      <c r="O1"/>
      <c r="P1"/>
      <c r="Q1"/>
      <c r="R1"/>
      <c r="S1"/>
      <c r="T1"/>
      <c r="U1"/>
      <c r="V1"/>
      <c r="W1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195"/>
    </row>
    <row r="2" spans="1:58" s="379" customFormat="1" ht="24" customHeight="1" x14ac:dyDescent="0.35">
      <c r="A2" s="8"/>
      <c r="B2" s="25" t="s">
        <v>28</v>
      </c>
      <c r="C2" s="26" t="s">
        <v>171</v>
      </c>
      <c r="D2" s="26"/>
      <c r="E2" s="26"/>
      <c r="F2" s="27"/>
      <c r="G2" s="8"/>
      <c r="H2" s="548"/>
      <c r="I2" s="558"/>
      <c r="J2"/>
      <c r="K2"/>
      <c r="L2"/>
      <c r="M2"/>
      <c r="N2" s="111"/>
      <c r="O2"/>
      <c r="P2"/>
      <c r="Q2"/>
      <c r="R2"/>
      <c r="S2"/>
      <c r="T2"/>
      <c r="U2"/>
      <c r="V2"/>
      <c r="W2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195"/>
    </row>
    <row r="3" spans="1:58" s="379" customFormat="1" ht="24" customHeight="1" x14ac:dyDescent="0.35">
      <c r="A3" s="8"/>
      <c r="B3" s="25" t="s">
        <v>507</v>
      </c>
      <c r="C3" s="26" t="s">
        <v>1073</v>
      </c>
      <c r="D3" s="26"/>
      <c r="E3" s="26"/>
      <c r="F3" s="27"/>
      <c r="G3" s="8"/>
      <c r="H3" s="8"/>
      <c r="I3"/>
      <c r="J3"/>
      <c r="K3"/>
      <c r="L3"/>
      <c r="M3"/>
      <c r="N3" s="111"/>
      <c r="O3"/>
      <c r="P3"/>
      <c r="Q3"/>
      <c r="R3"/>
      <c r="S3"/>
      <c r="T3"/>
      <c r="U3"/>
      <c r="V3"/>
      <c r="W3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195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 s="111"/>
      <c r="O4"/>
      <c r="P4"/>
      <c r="Q4"/>
      <c r="R4"/>
      <c r="S4"/>
      <c r="T4"/>
      <c r="U4"/>
      <c r="V4"/>
      <c r="W4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195"/>
    </row>
    <row r="5" spans="1:58" s="379" customFormat="1" ht="31.5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 s="111"/>
      <c r="O5"/>
      <c r="P5"/>
      <c r="Q5"/>
      <c r="R5"/>
      <c r="S5"/>
      <c r="T5"/>
      <c r="U5"/>
      <c r="V5"/>
      <c r="W5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195"/>
    </row>
    <row r="6" spans="1:58" s="379" customFormat="1" ht="24" customHeight="1" x14ac:dyDescent="0.35">
      <c r="A6" s="8"/>
      <c r="B6" s="64">
        <f>COUNTIF(B11:B19,"A - Work May Proceed")</f>
        <v>7</v>
      </c>
      <c r="C6" s="65">
        <f>COUNTIF(B11:B19,"B- Incorporate Comments - Proceed")</f>
        <v>0</v>
      </c>
      <c r="D6" s="65">
        <f>COUNTIF(B11:B19,"C - Revise and Resubmit - Do Not Proceed")</f>
        <v>0</v>
      </c>
      <c r="E6" s="65">
        <f>COUNTIF(B11:B19,"D - Rejected")</f>
        <v>0</v>
      </c>
      <c r="F6" s="65">
        <f>COUNTIF(B11:B19,"E - Review not Required - Proceed")</f>
        <v>0</v>
      </c>
      <c r="G6" s="66">
        <f>COUNTIF(B11:B19,"UR")</f>
        <v>0</v>
      </c>
      <c r="H6" s="66">
        <f>COUNTIF(B11:B19,"FA")</f>
        <v>0</v>
      </c>
      <c r="I6" s="66">
        <f>COUNTIF(B11:B19,"Terminated")</f>
        <v>0</v>
      </c>
      <c r="J6" s="66">
        <f>COUNTIF(B11:B19,"Cancelled")</f>
        <v>0</v>
      </c>
      <c r="K6"/>
      <c r="L6"/>
      <c r="M6"/>
      <c r="N6" s="111"/>
      <c r="O6"/>
      <c r="P6"/>
      <c r="Q6"/>
      <c r="R6"/>
      <c r="S6"/>
      <c r="T6"/>
      <c r="U6"/>
      <c r="V6"/>
      <c r="W6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195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 s="111"/>
      <c r="O7"/>
      <c r="P7"/>
      <c r="Q7"/>
      <c r="R7"/>
      <c r="S7"/>
      <c r="T7"/>
      <c r="U7"/>
      <c r="V7"/>
      <c r="W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195"/>
    </row>
    <row r="8" spans="1:58" s="379" customFormat="1" ht="24" customHeight="1" x14ac:dyDescent="0.35">
      <c r="A8" s="8"/>
      <c r="B8" s="72" t="s">
        <v>509</v>
      </c>
      <c r="C8" s="73">
        <f>SUM(B6:J6)</f>
        <v>7</v>
      </c>
      <c r="D8" s="69"/>
      <c r="E8" s="70"/>
      <c r="F8" s="70"/>
      <c r="G8" s="74"/>
      <c r="H8" s="75"/>
      <c r="I8" s="76"/>
      <c r="J8" s="75"/>
      <c r="K8"/>
      <c r="L8"/>
      <c r="M8"/>
      <c r="N8" s="111"/>
      <c r="O8"/>
      <c r="P8"/>
      <c r="Q8"/>
      <c r="R8"/>
      <c r="S8"/>
      <c r="T8"/>
      <c r="U8"/>
      <c r="V8"/>
      <c r="W8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195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 s="111"/>
      <c r="O9"/>
      <c r="P9"/>
      <c r="Q9"/>
      <c r="R9"/>
      <c r="S9"/>
      <c r="T9"/>
      <c r="U9"/>
      <c r="V9"/>
      <c r="W9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195"/>
    </row>
    <row r="10" spans="1:58" s="405" customFormat="1" ht="36.75" customHeight="1" x14ac:dyDescent="0.2">
      <c r="A10" s="559" t="s">
        <v>3259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112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442">
        <v>310002</v>
      </c>
      <c r="B12" s="11" t="s">
        <v>5</v>
      </c>
      <c r="C12" s="56" t="s">
        <v>725</v>
      </c>
      <c r="D12" s="12" t="s">
        <v>5268</v>
      </c>
      <c r="E12" s="12" t="s">
        <v>5267</v>
      </c>
      <c r="F12" s="16" t="s">
        <v>4488</v>
      </c>
      <c r="G12" s="10" t="s">
        <v>172</v>
      </c>
      <c r="H12" s="10" t="s">
        <v>1073</v>
      </c>
      <c r="I12" s="16" t="s">
        <v>3</v>
      </c>
      <c r="J12" s="14">
        <v>46006</v>
      </c>
      <c r="K12" s="13" t="s">
        <v>5269</v>
      </c>
      <c r="L12" s="14">
        <f t="shared" ref="L12:L17" si="0">J12+7</f>
        <v>46013</v>
      </c>
      <c r="M12" s="14">
        <v>46015</v>
      </c>
      <c r="N12" s="92">
        <f t="shared" ref="N12:N17" si="1">M12-L12</f>
        <v>2</v>
      </c>
      <c r="O12" s="10" t="s">
        <v>5323</v>
      </c>
      <c r="P12" s="10" t="s">
        <v>18</v>
      </c>
      <c r="Q12" s="21">
        <v>46028</v>
      </c>
      <c r="R12" s="10" t="s">
        <v>5502</v>
      </c>
      <c r="S12" s="14">
        <f>Q12+7</f>
        <v>46035</v>
      </c>
      <c r="T12" s="14">
        <v>46040</v>
      </c>
      <c r="U12" s="92">
        <f>T12-S12</f>
        <v>5</v>
      </c>
      <c r="V12" s="10" t="s">
        <v>5511</v>
      </c>
      <c r="W12" s="10" t="s">
        <v>5</v>
      </c>
      <c r="X12" s="21">
        <v>46041</v>
      </c>
      <c r="Y12" s="10" t="s">
        <v>5592</v>
      </c>
      <c r="Z12" s="14">
        <f>X12+7</f>
        <v>46048</v>
      </c>
      <c r="AA12" s="14">
        <v>46043</v>
      </c>
      <c r="AB12" s="92">
        <f>AA12-Z12</f>
        <v>-5</v>
      </c>
      <c r="AC12" s="10" t="s">
        <v>5617</v>
      </c>
      <c r="AD12" s="10" t="s">
        <v>5</v>
      </c>
      <c r="AE12" s="21">
        <v>46133</v>
      </c>
      <c r="AF12" s="10" t="s">
        <v>6478</v>
      </c>
      <c r="AG12" s="14">
        <f>AE12+7</f>
        <v>46140</v>
      </c>
      <c r="AH12" s="14">
        <v>46142</v>
      </c>
      <c r="AI12" s="92">
        <f>AH12-AG12</f>
        <v>2</v>
      </c>
      <c r="AJ12" s="10" t="s">
        <v>6497</v>
      </c>
      <c r="AK12" s="10"/>
      <c r="AL12" s="17"/>
      <c r="AM12" s="11"/>
      <c r="AN12" s="11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1"/>
      <c r="BF12" s="440"/>
    </row>
    <row r="13" spans="1:58" s="381" customFormat="1" ht="42" customHeight="1" x14ac:dyDescent="0.25">
      <c r="A13" s="442">
        <v>730007</v>
      </c>
      <c r="B13" s="23" t="s">
        <v>5</v>
      </c>
      <c r="C13" s="13" t="s">
        <v>208</v>
      </c>
      <c r="D13" s="12" t="s">
        <v>5624</v>
      </c>
      <c r="E13" s="12" t="s">
        <v>5625</v>
      </c>
      <c r="F13" s="16" t="s">
        <v>5623</v>
      </c>
      <c r="G13" s="10" t="s">
        <v>172</v>
      </c>
      <c r="H13" s="10" t="s">
        <v>1073</v>
      </c>
      <c r="I13" s="23" t="s">
        <v>18</v>
      </c>
      <c r="J13" s="14">
        <v>46043</v>
      </c>
      <c r="K13" s="13" t="s">
        <v>6044</v>
      </c>
      <c r="L13" s="14">
        <f t="shared" si="0"/>
        <v>46050</v>
      </c>
      <c r="M13" s="14">
        <v>46068</v>
      </c>
      <c r="N13" s="92">
        <f t="shared" si="1"/>
        <v>18</v>
      </c>
      <c r="O13" s="10" t="s">
        <v>5637</v>
      </c>
      <c r="P13" s="12" t="s">
        <v>5</v>
      </c>
      <c r="Q13" s="21">
        <v>46094</v>
      </c>
      <c r="R13" s="10" t="s">
        <v>6043</v>
      </c>
      <c r="S13" s="14">
        <f>Q13+7</f>
        <v>46101</v>
      </c>
      <c r="T13" s="14">
        <v>46097</v>
      </c>
      <c r="U13" s="92">
        <f>T13-S13</f>
        <v>-4</v>
      </c>
      <c r="V13" s="10" t="s">
        <v>6060</v>
      </c>
      <c r="W13" s="10"/>
      <c r="X13" s="21"/>
      <c r="Y13" s="10"/>
      <c r="Z13" s="10"/>
      <c r="AA13" s="21"/>
      <c r="AB13" s="21"/>
      <c r="AC13" s="10"/>
      <c r="AD13" s="10"/>
      <c r="AE13" s="21"/>
      <c r="AF13" s="10"/>
      <c r="AG13" s="10"/>
      <c r="AH13" s="21"/>
      <c r="AI13" s="21"/>
      <c r="AJ13" s="10"/>
      <c r="AK13" s="10"/>
      <c r="AL13" s="17"/>
      <c r="AM13" s="11"/>
      <c r="AN13" s="11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1"/>
      <c r="BF13" s="440"/>
    </row>
    <row r="14" spans="1:58" s="381" customFormat="1" ht="42" customHeight="1" x14ac:dyDescent="0.25">
      <c r="A14" s="442">
        <v>730007</v>
      </c>
      <c r="B14" s="12" t="s">
        <v>5</v>
      </c>
      <c r="C14" s="13" t="s">
        <v>208</v>
      </c>
      <c r="D14" s="12" t="s">
        <v>5638</v>
      </c>
      <c r="E14" s="12" t="s">
        <v>5639</v>
      </c>
      <c r="F14" s="16" t="s">
        <v>5640</v>
      </c>
      <c r="G14" s="10" t="s">
        <v>172</v>
      </c>
      <c r="H14" s="10" t="s">
        <v>1073</v>
      </c>
      <c r="I14" s="16" t="s">
        <v>18</v>
      </c>
      <c r="J14" s="14">
        <v>46044</v>
      </c>
      <c r="K14" s="13" t="s">
        <v>5641</v>
      </c>
      <c r="L14" s="14">
        <f t="shared" si="0"/>
        <v>46051</v>
      </c>
      <c r="M14" s="14">
        <v>46068</v>
      </c>
      <c r="N14" s="92">
        <f t="shared" si="1"/>
        <v>17</v>
      </c>
      <c r="O14" s="10" t="s">
        <v>5648</v>
      </c>
      <c r="P14" s="10" t="s">
        <v>5</v>
      </c>
      <c r="Q14" s="21">
        <v>46083</v>
      </c>
      <c r="R14" s="10" t="s">
        <v>5928</v>
      </c>
      <c r="S14" s="14">
        <f>Q14+7</f>
        <v>46090</v>
      </c>
      <c r="T14" s="14">
        <v>46089</v>
      </c>
      <c r="U14" s="92">
        <f>T14-S14</f>
        <v>-1</v>
      </c>
      <c r="V14" s="10" t="s">
        <v>5936</v>
      </c>
      <c r="W14" s="10"/>
      <c r="X14" s="21"/>
      <c r="Y14" s="10"/>
      <c r="Z14" s="10"/>
      <c r="AA14" s="21"/>
      <c r="AB14" s="21"/>
      <c r="AC14" s="10"/>
      <c r="AD14" s="10"/>
      <c r="AE14" s="21"/>
      <c r="AF14" s="10"/>
      <c r="AG14" s="10"/>
      <c r="AH14" s="21"/>
      <c r="AI14" s="21"/>
      <c r="AJ14" s="10"/>
      <c r="AK14" s="10"/>
      <c r="AL14" s="17"/>
      <c r="AM14" s="11"/>
      <c r="AN14" s="11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1"/>
      <c r="BF14" s="440"/>
    </row>
    <row r="15" spans="1:58" s="381" customFormat="1" ht="42" customHeight="1" x14ac:dyDescent="0.25">
      <c r="A15" s="442">
        <v>730007</v>
      </c>
      <c r="B15" s="16" t="s">
        <v>5</v>
      </c>
      <c r="C15" s="13" t="s">
        <v>208</v>
      </c>
      <c r="D15" s="12" t="s">
        <v>5945</v>
      </c>
      <c r="E15" s="12" t="s">
        <v>5942</v>
      </c>
      <c r="F15" s="10" t="s">
        <v>5947</v>
      </c>
      <c r="G15" s="10" t="s">
        <v>172</v>
      </c>
      <c r="H15" s="10" t="s">
        <v>1073</v>
      </c>
      <c r="I15" s="16" t="s">
        <v>18</v>
      </c>
      <c r="J15" s="14">
        <v>46084</v>
      </c>
      <c r="K15" s="13" t="s">
        <v>5946</v>
      </c>
      <c r="L15" s="14">
        <f t="shared" si="0"/>
        <v>46091</v>
      </c>
      <c r="M15" s="14">
        <v>46095</v>
      </c>
      <c r="N15" s="92">
        <f t="shared" si="1"/>
        <v>4</v>
      </c>
      <c r="O15" s="10" t="s">
        <v>5951</v>
      </c>
      <c r="P15" s="12" t="s">
        <v>5</v>
      </c>
      <c r="Q15" s="21">
        <v>46106</v>
      </c>
      <c r="R15" s="10" t="s">
        <v>6134</v>
      </c>
      <c r="S15" s="14">
        <f>Q15+7</f>
        <v>46113</v>
      </c>
      <c r="T15" s="21">
        <v>46114</v>
      </c>
      <c r="U15" s="92">
        <f>T15-S15</f>
        <v>1</v>
      </c>
      <c r="V15" s="10" t="s">
        <v>6139</v>
      </c>
      <c r="W15" s="10"/>
      <c r="X15" s="21"/>
      <c r="Y15" s="10"/>
      <c r="Z15" s="10"/>
      <c r="AA15" s="21"/>
      <c r="AB15" s="21"/>
      <c r="AC15" s="10"/>
      <c r="AD15" s="10"/>
      <c r="AE15" s="21"/>
      <c r="AF15" s="10"/>
      <c r="AG15" s="10"/>
      <c r="AH15" s="21"/>
      <c r="AI15" s="21"/>
      <c r="AJ15" s="10"/>
      <c r="AK15" s="10"/>
      <c r="AL15" s="20"/>
      <c r="AM15" s="12"/>
      <c r="AN15" s="12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12"/>
      <c r="BF15" s="368"/>
    </row>
    <row r="16" spans="1:58" s="381" customFormat="1" ht="42" customHeight="1" x14ac:dyDescent="0.25">
      <c r="A16" s="442">
        <v>730007</v>
      </c>
      <c r="B16" s="11" t="s">
        <v>5</v>
      </c>
      <c r="C16" s="13" t="s">
        <v>208</v>
      </c>
      <c r="D16" s="12" t="s">
        <v>6164</v>
      </c>
      <c r="E16" s="12" t="s">
        <v>6163</v>
      </c>
      <c r="F16" s="16" t="s">
        <v>6162</v>
      </c>
      <c r="G16" s="10" t="s">
        <v>172</v>
      </c>
      <c r="H16" s="10" t="s">
        <v>1073</v>
      </c>
      <c r="I16" s="16" t="s">
        <v>18</v>
      </c>
      <c r="J16" s="14">
        <v>46109</v>
      </c>
      <c r="K16" s="13" t="s">
        <v>6165</v>
      </c>
      <c r="L16" s="14">
        <f t="shared" si="0"/>
        <v>46116</v>
      </c>
      <c r="M16" s="14">
        <v>46121</v>
      </c>
      <c r="N16" s="92">
        <f t="shared" si="1"/>
        <v>5</v>
      </c>
      <c r="O16" s="10" t="s">
        <v>6188</v>
      </c>
      <c r="P16" s="16" t="s">
        <v>5</v>
      </c>
      <c r="Q16" s="21">
        <v>46133</v>
      </c>
      <c r="R16" s="10" t="s">
        <v>6476</v>
      </c>
      <c r="S16" s="14">
        <f>Q16+7</f>
        <v>46140</v>
      </c>
      <c r="T16" s="21">
        <v>46140</v>
      </c>
      <c r="U16" s="92">
        <f>T16-S16</f>
        <v>0</v>
      </c>
      <c r="V16" s="10" t="s">
        <v>6495</v>
      </c>
      <c r="W16" s="10"/>
      <c r="X16" s="21"/>
      <c r="Y16" s="10"/>
      <c r="Z16" s="10"/>
      <c r="AA16" s="21"/>
      <c r="AB16" s="21"/>
      <c r="AC16" s="10"/>
      <c r="AD16" s="10"/>
      <c r="AE16" s="21"/>
      <c r="AF16" s="10"/>
      <c r="AG16" s="10"/>
      <c r="AH16" s="21"/>
      <c r="AI16" s="21"/>
      <c r="AJ16" s="10"/>
      <c r="AK16" s="10"/>
      <c r="AL16" s="17"/>
      <c r="AM16" s="11"/>
      <c r="AN16" s="11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1"/>
      <c r="BF16" s="440"/>
    </row>
    <row r="17" spans="1:58" s="381" customFormat="1" ht="42" customHeight="1" x14ac:dyDescent="0.25">
      <c r="A17" s="442">
        <v>730007</v>
      </c>
      <c r="B17" s="11" t="s">
        <v>5</v>
      </c>
      <c r="C17" s="56" t="s">
        <v>54</v>
      </c>
      <c r="D17" s="12" t="s">
        <v>6422</v>
      </c>
      <c r="E17" s="12" t="s">
        <v>6423</v>
      </c>
      <c r="F17" s="16" t="s">
        <v>6425</v>
      </c>
      <c r="G17" s="10" t="s">
        <v>172</v>
      </c>
      <c r="H17" s="10" t="s">
        <v>1073</v>
      </c>
      <c r="I17" s="11" t="s">
        <v>5</v>
      </c>
      <c r="J17" s="14">
        <v>46130</v>
      </c>
      <c r="K17" s="13" t="s">
        <v>6424</v>
      </c>
      <c r="L17" s="14">
        <f t="shared" si="0"/>
        <v>46137</v>
      </c>
      <c r="M17" s="14">
        <v>46140</v>
      </c>
      <c r="N17" s="92">
        <f t="shared" si="1"/>
        <v>3</v>
      </c>
      <c r="O17" s="10" t="s">
        <v>6438</v>
      </c>
      <c r="P17" s="10"/>
      <c r="Q17" s="21"/>
      <c r="R17" s="10"/>
      <c r="S17" s="10"/>
      <c r="T17" s="21"/>
      <c r="U17" s="21"/>
      <c r="V17" s="10"/>
      <c r="W17" s="10"/>
      <c r="X17" s="21"/>
      <c r="Y17" s="10"/>
      <c r="Z17" s="10"/>
      <c r="AA17" s="21"/>
      <c r="AB17" s="21"/>
      <c r="AC17" s="10"/>
      <c r="AD17" s="10"/>
      <c r="AE17" s="21"/>
      <c r="AF17" s="10"/>
      <c r="AG17" s="10"/>
      <c r="AH17" s="21"/>
      <c r="AI17" s="21"/>
      <c r="AJ17" s="10"/>
      <c r="AK17" s="10"/>
      <c r="AL17" s="17"/>
      <c r="AM17" s="11"/>
      <c r="AN17" s="11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1"/>
      <c r="BF17" s="440"/>
    </row>
    <row r="18" spans="1:58" s="381" customFormat="1" ht="42" customHeight="1" x14ac:dyDescent="0.25">
      <c r="A18" s="442">
        <v>730007</v>
      </c>
      <c r="B18" s="16" t="s">
        <v>5</v>
      </c>
      <c r="C18" s="56" t="s">
        <v>208</v>
      </c>
      <c r="D18" s="12" t="s">
        <v>6571</v>
      </c>
      <c r="E18" s="12" t="s">
        <v>6572</v>
      </c>
      <c r="F18" s="16" t="s">
        <v>6573</v>
      </c>
      <c r="G18" s="10" t="s">
        <v>172</v>
      </c>
      <c r="H18" s="10" t="s">
        <v>1073</v>
      </c>
      <c r="I18" s="16" t="s">
        <v>18</v>
      </c>
      <c r="J18" s="14">
        <v>46141</v>
      </c>
      <c r="K18" s="13" t="s">
        <v>6574</v>
      </c>
      <c r="L18" s="14">
        <f>J18+7</f>
        <v>46148</v>
      </c>
      <c r="M18" s="14">
        <v>46153</v>
      </c>
      <c r="N18" s="92">
        <f>M18-L18</f>
        <v>5</v>
      </c>
      <c r="O18" s="10" t="s">
        <v>6607</v>
      </c>
      <c r="P18" s="10" t="s">
        <v>5</v>
      </c>
      <c r="Q18" s="21">
        <v>46155</v>
      </c>
      <c r="R18" s="10" t="s">
        <v>6763</v>
      </c>
      <c r="S18" s="14">
        <f>Q18+7</f>
        <v>46162</v>
      </c>
      <c r="T18" s="21">
        <v>46155</v>
      </c>
      <c r="U18" s="92">
        <f>T18-S18</f>
        <v>-7</v>
      </c>
      <c r="V18" s="10" t="s">
        <v>6781</v>
      </c>
      <c r="W18" s="10"/>
      <c r="X18" s="21"/>
      <c r="Y18" s="10"/>
      <c r="Z18" s="10"/>
      <c r="AA18" s="21"/>
      <c r="AB18" s="21"/>
      <c r="AC18" s="10"/>
      <c r="AD18" s="10"/>
      <c r="AE18" s="21"/>
      <c r="AF18" s="10"/>
      <c r="AG18" s="10"/>
      <c r="AH18" s="21"/>
      <c r="AI18" s="21"/>
      <c r="AJ18" s="10"/>
      <c r="AK18" s="10"/>
      <c r="AL18" s="17"/>
      <c r="AM18" s="11"/>
      <c r="AN18" s="11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1"/>
      <c r="BF18" s="440"/>
    </row>
    <row r="19" spans="1:58" s="381" customFormat="1" ht="42" customHeight="1" thickBot="1" x14ac:dyDescent="0.3">
      <c r="A19" s="443"/>
      <c r="B19" s="371"/>
      <c r="C19" s="371"/>
      <c r="D19" s="370"/>
      <c r="E19" s="370"/>
      <c r="F19" s="262"/>
      <c r="G19" s="263"/>
      <c r="H19" s="263"/>
      <c r="I19" s="262"/>
      <c r="J19" s="474"/>
      <c r="K19" s="373"/>
      <c r="L19" s="373"/>
      <c r="M19" s="474"/>
      <c r="N19" s="425"/>
      <c r="O19" s="263"/>
      <c r="P19" s="262"/>
      <c r="Q19" s="374"/>
      <c r="R19" s="263"/>
      <c r="S19" s="263"/>
      <c r="T19" s="374"/>
      <c r="U19" s="374"/>
      <c r="V19" s="263"/>
      <c r="W19" s="263"/>
      <c r="X19" s="374"/>
      <c r="Y19" s="263"/>
      <c r="Z19" s="263"/>
      <c r="AA19" s="374"/>
      <c r="AB19" s="374"/>
      <c r="AC19" s="263"/>
      <c r="AD19" s="263"/>
      <c r="AE19" s="374"/>
      <c r="AF19" s="263"/>
      <c r="AG19" s="263"/>
      <c r="AH19" s="374"/>
      <c r="AI19" s="374"/>
      <c r="AJ19" s="263"/>
      <c r="AK19" s="263"/>
      <c r="AL19" s="376"/>
      <c r="AM19" s="371"/>
      <c r="AN19" s="371"/>
      <c r="AO19" s="376"/>
      <c r="AP19" s="376"/>
      <c r="AQ19" s="376"/>
      <c r="AR19" s="376"/>
      <c r="AS19" s="376"/>
      <c r="AT19" s="376"/>
      <c r="AU19" s="376"/>
      <c r="AV19" s="376"/>
      <c r="AW19" s="376"/>
      <c r="AX19" s="376"/>
      <c r="AY19" s="376"/>
      <c r="AZ19" s="376"/>
      <c r="BA19" s="376"/>
      <c r="BB19" s="376"/>
      <c r="BC19" s="376"/>
      <c r="BD19" s="376"/>
      <c r="BE19" s="371"/>
      <c r="BF19" s="445"/>
    </row>
  </sheetData>
  <autoFilter ref="A11:BF11" xr:uid="{DBCDF47B-5F5F-45C3-A9D4-A3E795BAB219}"/>
  <mergeCells count="18">
    <mergeCell ref="A10:A11"/>
    <mergeCell ref="H1:H2"/>
    <mergeCell ref="I1:I2"/>
    <mergeCell ref="G10:G11"/>
    <mergeCell ref="B10:B11"/>
    <mergeCell ref="C10:C11"/>
    <mergeCell ref="D10:D11"/>
    <mergeCell ref="E10:E11"/>
    <mergeCell ref="F10:F11"/>
    <mergeCell ref="AR10:AX10"/>
    <mergeCell ref="AY10:BE10"/>
    <mergeCell ref="BF10:BF11"/>
    <mergeCell ref="H10:H11"/>
    <mergeCell ref="I10:O10"/>
    <mergeCell ref="P10:V10"/>
    <mergeCell ref="W10:AC10"/>
    <mergeCell ref="AD10:AJ10"/>
    <mergeCell ref="AK10:AQ10"/>
  </mergeCells>
  <phoneticPr fontId="5" type="noConversion"/>
  <conditionalFormatting sqref="A10:A19">
    <cfRule type="cellIs" dxfId="287" priority="1" operator="equal">
      <formula>"E - Review not Required - Proceed"</formula>
    </cfRule>
    <cfRule type="cellIs" dxfId="286" priority="2" operator="equal">
      <formula>"D - Rejected"</formula>
    </cfRule>
    <cfRule type="cellIs" dxfId="285" priority="3" operator="equal">
      <formula>"B- Incorporate Comments - Proceed"</formula>
    </cfRule>
    <cfRule type="cellIs" dxfId="284" priority="4" operator="equal">
      <formula>"C - Revise and Resubmit - Do Not Proceed"</formula>
    </cfRule>
    <cfRule type="cellIs" dxfId="283" priority="5" operator="equal">
      <formula>"A - Work May Proceed"</formula>
    </cfRule>
  </conditionalFormatting>
  <conditionalFormatting sqref="B13">
    <cfRule type="cellIs" dxfId="282" priority="15" stopIfTrue="1" operator="equal">
      <formula>"A - Work May Proceed"</formula>
    </cfRule>
  </conditionalFormatting>
  <conditionalFormatting sqref="B12:XFD12 C13:H13 J13:XFD13 B14:XFD1048576">
    <cfRule type="cellIs" dxfId="281" priority="20" operator="equal">
      <formula>"A - Work May Proceed"</formula>
    </cfRule>
  </conditionalFormatting>
  <conditionalFormatting sqref="B12:XFD1048576">
    <cfRule type="cellIs" dxfId="280" priority="6" operator="equal">
      <formula>"E - Review not Required - Proceed"</formula>
    </cfRule>
    <cfRule type="cellIs" dxfId="279" priority="7" operator="equal">
      <formula>"D - Rejected"</formula>
    </cfRule>
    <cfRule type="cellIs" dxfId="278" priority="8" operator="equal">
      <formula>"B- Incorporate Comments - Proceed"</formula>
    </cfRule>
    <cfRule type="cellIs" dxfId="277" priority="9" operator="equal">
      <formula>"C - Revise and Resubmit - Do Not Proceed"</formula>
    </cfRule>
  </conditionalFormatting>
  <conditionalFormatting sqref="D11:BE11 B1:G2 X1:XFD9 B3:H4 B9:H9 B10:XFD10 B11">
    <cfRule type="cellIs" dxfId="276" priority="70" operator="equal">
      <formula>"A - Work May Proceed"</formula>
    </cfRule>
    <cfRule type="cellIs" dxfId="275" priority="66" operator="equal">
      <formula>"E - Review not Required - Proceed"</formula>
    </cfRule>
    <cfRule type="cellIs" dxfId="274" priority="67" operator="equal">
      <formula>"D - Rejected"</formula>
    </cfRule>
    <cfRule type="cellIs" dxfId="273" priority="68" operator="equal">
      <formula>"B- Incorporate Comments - Proceed"</formula>
    </cfRule>
    <cfRule type="cellIs" dxfId="272" priority="69" operator="equal">
      <formula>"C - Revise and Resubmit - Do Not Proceed"</formula>
    </cfRule>
  </conditionalFormatting>
  <conditionalFormatting sqref="I11">
    <cfRule type="cellIs" dxfId="271" priority="149" operator="between">
      <formula>"C - Revise and Resubmit - Do Not Proceed"</formula>
      <formula>"C - Revise and Resubmit - Do Not Proceed"</formula>
    </cfRule>
    <cfRule type="cellIs" dxfId="270" priority="136" operator="equal">
      <formula>"For Information"</formula>
    </cfRule>
    <cfRule type="cellIs" dxfId="269" priority="135" operator="equal">
      <formula>"B - Incorporate Comments - Proceed"</formula>
    </cfRule>
    <cfRule type="cellIs" dxfId="268" priority="140" operator="between">
      <formula>"'D - Rejected "</formula>
      <formula>"'D - Rejected "</formula>
    </cfRule>
    <cfRule type="cellIs" dxfId="267" priority="146" operator="between">
      <formula>"D - Rejected "</formula>
      <formula>"D - Rejected "</formula>
    </cfRule>
    <cfRule type="cellIs" dxfId="266" priority="145" operator="between">
      <formula>"E - Review not Required - Proceed"</formula>
      <formula>"E - Review not Required - Proceed"</formula>
    </cfRule>
    <cfRule type="cellIs" dxfId="265" priority="150" stopIfTrue="1" operator="between">
      <formula>"B - Incorporate Comments - Proceed "</formula>
      <formula>"B - Incorporate Comments - Proceed "</formula>
    </cfRule>
    <cfRule type="cellIs" dxfId="264" priority="144" operator="between">
      <formula>"B - Incorporate Comments - Proceed"</formula>
      <formula>"B - Incorporate Comments - Proceed"</formula>
    </cfRule>
    <cfRule type="cellIs" dxfId="263" priority="143" operator="between">
      <formula>"A - Work May Proceed"</formula>
      <formula>"A - Work May Proceed"</formula>
    </cfRule>
    <cfRule type="cellIs" dxfId="262" priority="142" operator="between">
      <formula>"B - Incorporate Comments - Proceed"</formula>
      <formula>"B - Incorporate Comments - Proceed"</formula>
    </cfRule>
    <cfRule type="cellIs" dxfId="261" priority="141" operator="between">
      <formula>"C - Revise and Resubmit - Do Not Proceed"</formula>
      <formula>"C - Revise and Resubmit - Do Not Proceed"</formula>
    </cfRule>
    <cfRule type="cellIs" dxfId="260" priority="139" operator="between">
      <formula>"E - Review not Required - Proceed"</formula>
      <formula>"E - Review not Required - Proceed"</formula>
    </cfRule>
    <cfRule type="cellIs" dxfId="259" priority="138" operator="equal">
      <formula>"E - Review Not Required - Proceed"</formula>
    </cfRule>
    <cfRule type="cellIs" dxfId="258" priority="137" operator="equal">
      <formula>"B - Incorporate Comments - Proceed "</formula>
    </cfRule>
    <cfRule type="cellIs" dxfId="257" priority="147" operator="between">
      <formula>"CANCELLED"</formula>
      <formula>"CANCELLED"</formula>
    </cfRule>
    <cfRule type="cellIs" dxfId="256" priority="148" operator="between">
      <formula>"A - Work May Proceed"</formula>
      <formula>"A - Work May Proceed"</formula>
    </cfRule>
  </conditionalFormatting>
  <conditionalFormatting sqref="I13">
    <cfRule type="cellIs" dxfId="255" priority="10" stopIfTrue="1" operator="equal">
      <formula>"A - Work May Proceed"</formula>
    </cfRule>
  </conditionalFormatting>
  <conditionalFormatting sqref="J5:J6 B5:I7 B8:J8">
    <cfRule type="cellIs" dxfId="254" priority="22" operator="equal">
      <formula>"D - Rejected"</formula>
    </cfRule>
    <cfRule type="cellIs" dxfId="253" priority="21" operator="equal">
      <formula>"E - Review not Required - Proceed"</formula>
    </cfRule>
    <cfRule type="cellIs" dxfId="252" priority="25" stopIfTrue="1" operator="equal">
      <formula>"A - Work May Proceed"</formula>
    </cfRule>
    <cfRule type="cellIs" dxfId="251" priority="24" operator="equal">
      <formula>"C - Revise and Resubmit - Do Not Proceed"</formula>
    </cfRule>
    <cfRule type="cellIs" dxfId="250" priority="23" operator="equal">
      <formula>"B- Incorporate Comments - Proceed"</formula>
    </cfRule>
  </conditionalFormatting>
  <conditionalFormatting sqref="P11">
    <cfRule type="cellIs" dxfId="249" priority="123" operator="between">
      <formula>"E - Review not Required - Proceed"</formula>
      <formula>"E - Review not Required - Proceed"</formula>
    </cfRule>
    <cfRule type="cellIs" dxfId="248" priority="122" operator="equal">
      <formula>"E - Review Not Required - Proceed"</formula>
    </cfRule>
    <cfRule type="cellIs" dxfId="247" priority="121" operator="equal">
      <formula>"B - Incorporate Comments - Proceed "</formula>
    </cfRule>
    <cfRule type="cellIs" dxfId="246" priority="120" operator="equal">
      <formula>"For Information"</formula>
    </cfRule>
    <cfRule type="cellIs" dxfId="245" priority="119" operator="equal">
      <formula>"B - Incorporate Comments - Proceed"</formula>
    </cfRule>
    <cfRule type="cellIs" dxfId="244" priority="129" operator="between">
      <formula>"E - Review not Required - Proceed"</formula>
      <formula>"E - Review not Required - Proceed"</formula>
    </cfRule>
    <cfRule type="cellIs" dxfId="243" priority="126" operator="between">
      <formula>"B - Incorporate Comments - Proceed"</formula>
      <formula>"B - Incorporate Comments - Proceed"</formula>
    </cfRule>
    <cfRule type="cellIs" dxfId="242" priority="127" operator="between">
      <formula>"A - Work May Proceed"</formula>
      <formula>"A - Work May Proceed"</formula>
    </cfRule>
    <cfRule type="cellIs" dxfId="241" priority="128" operator="between">
      <formula>"B - Incorporate Comments - Proceed"</formula>
      <formula>"B - Incorporate Comments - Proceed"</formula>
    </cfRule>
    <cfRule type="cellIs" dxfId="240" priority="130" operator="between">
      <formula>"D - Rejected "</formula>
      <formula>"D - Rejected "</formula>
    </cfRule>
    <cfRule type="cellIs" dxfId="239" priority="131" operator="between">
      <formula>"CANCELLED"</formula>
      <formula>"CANCELLED"</formula>
    </cfRule>
    <cfRule type="cellIs" dxfId="238" priority="132" operator="between">
      <formula>"A - Work May Proceed"</formula>
      <formula>"A - Work May Proceed"</formula>
    </cfRule>
    <cfRule type="cellIs" dxfId="237" priority="134" stopIfTrue="1" operator="between">
      <formula>"B - Incorporate Comments - Proceed "</formula>
      <formula>"B - Incorporate Comments - Proceed "</formula>
    </cfRule>
    <cfRule type="cellIs" dxfId="236" priority="133" operator="between">
      <formula>"C - Revise and Resubmit - Do Not Proceed"</formula>
      <formula>"C - Revise and Resubmit - Do Not Proceed"</formula>
    </cfRule>
    <cfRule type="cellIs" dxfId="235" priority="125" operator="between">
      <formula>"C - Revise and Resubmit - Do Not Proceed"</formula>
      <formula>"C - Revise and Resubmit - Do Not Proceed"</formula>
    </cfRule>
    <cfRule type="cellIs" dxfId="234" priority="124" operator="between">
      <formula>"'D - Rejected "</formula>
      <formula>"'D - Rejected "</formula>
    </cfRule>
  </conditionalFormatting>
  <conditionalFormatting sqref="W11">
    <cfRule type="cellIs" dxfId="233" priority="103" operator="equal">
      <formula>"B - Incorporate Comments - Proceed"</formula>
    </cfRule>
    <cfRule type="cellIs" dxfId="232" priority="104" operator="equal">
      <formula>"For Information"</formula>
    </cfRule>
    <cfRule type="cellIs" dxfId="231" priority="105" operator="equal">
      <formula>"B - Incorporate Comments - Proceed "</formula>
    </cfRule>
    <cfRule type="cellIs" dxfId="230" priority="106" operator="equal">
      <formula>"E - Review Not Required - Proceed"</formula>
    </cfRule>
    <cfRule type="cellIs" dxfId="229" priority="107" operator="between">
      <formula>"E - Review not Required - Proceed"</formula>
      <formula>"E - Review not Required - Proceed"</formula>
    </cfRule>
    <cfRule type="cellIs" dxfId="228" priority="108" operator="between">
      <formula>"'D - Rejected "</formula>
      <formula>"'D - Rejected "</formula>
    </cfRule>
    <cfRule type="cellIs" dxfId="227" priority="109" operator="between">
      <formula>"C - Revise and Resubmit - Do Not Proceed"</formula>
      <formula>"C - Revise and Resubmit - Do Not Proceed"</formula>
    </cfRule>
    <cfRule type="cellIs" dxfId="226" priority="110" operator="between">
      <formula>"B - Incorporate Comments - Proceed"</formula>
      <formula>"B - Incorporate Comments - Proceed"</formula>
    </cfRule>
    <cfRule type="cellIs" dxfId="225" priority="111" operator="between">
      <formula>"A - Work May Proceed"</formula>
      <formula>"A - Work May Proceed"</formula>
    </cfRule>
    <cfRule type="cellIs" dxfId="224" priority="112" operator="between">
      <formula>"B - Incorporate Comments - Proceed"</formula>
      <formula>"B - Incorporate Comments - Proceed"</formula>
    </cfRule>
    <cfRule type="cellIs" dxfId="223" priority="113" operator="between">
      <formula>"E - Review not Required - Proceed"</formula>
      <formula>"E - Review not Required - Proceed"</formula>
    </cfRule>
    <cfRule type="cellIs" dxfId="222" priority="114" operator="between">
      <formula>"D - Rejected "</formula>
      <formula>"D - Rejected "</formula>
    </cfRule>
    <cfRule type="cellIs" dxfId="221" priority="115" operator="between">
      <formula>"CANCELLED"</formula>
      <formula>"CANCELLED"</formula>
    </cfRule>
    <cfRule type="cellIs" dxfId="220" priority="117" operator="between">
      <formula>"C - Revise and Resubmit - Do Not Proceed"</formula>
      <formula>"C - Revise and Resubmit - Do Not Proceed"</formula>
    </cfRule>
    <cfRule type="cellIs" dxfId="219" priority="118" stopIfTrue="1" operator="between">
      <formula>"B - Incorporate Comments - Proceed "</formula>
      <formula>"B - Incorporate Comments - Proceed "</formula>
    </cfRule>
    <cfRule type="cellIs" dxfId="218" priority="116" operator="between">
      <formula>"A - Work May Proceed"</formula>
      <formula>"A - Work May Proceed"</formula>
    </cfRule>
  </conditionalFormatting>
  <conditionalFormatting sqref="AD11">
    <cfRule type="cellIs" dxfId="217" priority="97" operator="between">
      <formula>"E - Review not Required - Proceed"</formula>
      <formula>"E - Review not Required - Proceed"</formula>
    </cfRule>
    <cfRule type="cellIs" dxfId="216" priority="88" operator="equal">
      <formula>"For Information"</formula>
    </cfRule>
    <cfRule type="cellIs" dxfId="215" priority="87" operator="equal">
      <formula>"B - Incorporate Comments - Proceed"</formula>
    </cfRule>
    <cfRule type="cellIs" dxfId="214" priority="101" operator="between">
      <formula>"C - Revise and Resubmit - Do Not Proceed"</formula>
      <formula>"C - Revise and Resubmit - Do Not Proceed"</formula>
    </cfRule>
    <cfRule type="cellIs" dxfId="213" priority="102" stopIfTrue="1" operator="between">
      <formula>"B - Incorporate Comments - Proceed "</formula>
      <formula>"B - Incorporate Comments - Proceed "</formula>
    </cfRule>
    <cfRule type="cellIs" dxfId="212" priority="99" operator="between">
      <formula>"CANCELLED"</formula>
      <formula>"CANCELLED"</formula>
    </cfRule>
    <cfRule type="cellIs" dxfId="211" priority="98" operator="between">
      <formula>"D - Rejected "</formula>
      <formula>"D - Rejected "</formula>
    </cfRule>
    <cfRule type="cellIs" dxfId="210" priority="96" operator="between">
      <formula>"B - Incorporate Comments - Proceed"</formula>
      <formula>"B - Incorporate Comments - Proceed"</formula>
    </cfRule>
    <cfRule type="cellIs" dxfId="209" priority="95" operator="between">
      <formula>"A - Work May Proceed"</formula>
      <formula>"A - Work May Proceed"</formula>
    </cfRule>
    <cfRule type="cellIs" dxfId="208" priority="94" operator="between">
      <formula>"B - Incorporate Comments - Proceed"</formula>
      <formula>"B - Incorporate Comments - Proceed"</formula>
    </cfRule>
    <cfRule type="cellIs" dxfId="207" priority="93" operator="between">
      <formula>"C - Revise and Resubmit - Do Not Proceed"</formula>
      <formula>"C - Revise and Resubmit - Do Not Proceed"</formula>
    </cfRule>
    <cfRule type="cellIs" dxfId="206" priority="92" operator="between">
      <formula>"'D - Rejected "</formula>
      <formula>"'D - Rejected "</formula>
    </cfRule>
    <cfRule type="cellIs" dxfId="205" priority="100" operator="between">
      <formula>"A - Work May Proceed"</formula>
      <formula>"A - Work May Proceed"</formula>
    </cfRule>
    <cfRule type="cellIs" dxfId="204" priority="91" operator="between">
      <formula>"E - Review not Required - Proceed"</formula>
      <formula>"E - Review not Required - Proceed"</formula>
    </cfRule>
    <cfRule type="cellIs" dxfId="203" priority="90" operator="equal">
      <formula>"E - Review Not Required - Proceed"</formula>
    </cfRule>
    <cfRule type="cellIs" dxfId="202" priority="89" operator="equal">
      <formula>"B - Incorporate Comments - Proceed "</formula>
    </cfRule>
  </conditionalFormatting>
  <conditionalFormatting sqref="AK11">
    <cfRule type="cellIs" dxfId="201" priority="79" operator="between">
      <formula>"A - Work May Proceed"</formula>
      <formula>"A - Work May Proceed"</formula>
    </cfRule>
    <cfRule type="cellIs" dxfId="200" priority="80" operator="between">
      <formula>"B - Incorporate Comments - Proceed"</formula>
      <formula>"B - Incorporate Comments - Proceed"</formula>
    </cfRule>
    <cfRule type="cellIs" dxfId="199" priority="81" operator="between">
      <formula>"E - Review not Required - Proceed"</formula>
      <formula>"E - Review not Required - Proceed"</formula>
    </cfRule>
    <cfRule type="cellIs" dxfId="198" priority="82" operator="between">
      <formula>"D - Rejected "</formula>
      <formula>"D - Rejected "</formula>
    </cfRule>
    <cfRule type="cellIs" dxfId="197" priority="83" operator="between">
      <formula>"CANCELLED"</formula>
      <formula>"CANCELLED"</formula>
    </cfRule>
    <cfRule type="cellIs" dxfId="196" priority="84" operator="between">
      <formula>"A - Work May Proceed"</formula>
      <formula>"A - Work May Proceed"</formula>
    </cfRule>
    <cfRule type="cellIs" dxfId="195" priority="85" operator="between">
      <formula>"C - Revise and Resubmit - Do Not Proceed"</formula>
      <formula>"C - Revise and Resubmit - Do Not Proceed"</formula>
    </cfRule>
    <cfRule type="cellIs" dxfId="194" priority="86" stopIfTrue="1" operator="between">
      <formula>"B - Incorporate Comments - Proceed "</formula>
      <formula>"B - Incorporate Comments - Proceed "</formula>
    </cfRule>
    <cfRule type="cellIs" dxfId="193" priority="71" operator="equal">
      <formula>"B - Incorporate Comments - Proceed"</formula>
    </cfRule>
    <cfRule type="cellIs" dxfId="192" priority="72" operator="equal">
      <formula>"For Information"</formula>
    </cfRule>
    <cfRule type="cellIs" dxfId="191" priority="73" operator="equal">
      <formula>"B - Incorporate Comments - Proceed "</formula>
    </cfRule>
    <cfRule type="cellIs" dxfId="190" priority="74" operator="equal">
      <formula>"E - Review Not Required - Proceed"</formula>
    </cfRule>
    <cfRule type="cellIs" dxfId="189" priority="75" operator="between">
      <formula>"E - Review not Required - Proceed"</formula>
      <formula>"E - Review not Required - Proceed"</formula>
    </cfRule>
    <cfRule type="cellIs" dxfId="188" priority="76" operator="between">
      <formula>"'D - Rejected "</formula>
      <formula>"'D - Rejected "</formula>
    </cfRule>
    <cfRule type="cellIs" dxfId="187" priority="77" operator="between">
      <formula>"C - Revise and Resubmit - Do Not Proceed"</formula>
      <formula>"C - Revise and Resubmit - Do Not Proceed"</formula>
    </cfRule>
    <cfRule type="cellIs" dxfId="186" priority="78" operator="between">
      <formula>"B - Incorporate Comments - Proceed"</formula>
      <formula>"B - Incorporate Comments - Proceed"</formula>
    </cfRule>
  </conditionalFormatting>
  <conditionalFormatting sqref="AR11">
    <cfRule type="cellIs" dxfId="185" priority="41" operator="between">
      <formula>"D - Rejected "</formula>
      <formula>"D - Rejected "</formula>
    </cfRule>
    <cfRule type="cellIs" dxfId="184" priority="40" operator="between">
      <formula>"E - Review not Required - Proceed"</formula>
      <formula>"E - Review not Required - Proceed"</formula>
    </cfRule>
    <cfRule type="cellIs" dxfId="183" priority="39" operator="between">
      <formula>"B - Incorporate Comments - Proceed"</formula>
      <formula>"B - Incorporate Comments - Proceed"</formula>
    </cfRule>
    <cfRule type="cellIs" dxfId="182" priority="38" operator="between">
      <formula>"A - Work May Proceed"</formula>
      <formula>"A - Work May Proceed"</formula>
    </cfRule>
    <cfRule type="cellIs" dxfId="181" priority="37" operator="between">
      <formula>"B - Incorporate Comments - Proceed"</formula>
      <formula>"B - Incorporate Comments - Proceed"</formula>
    </cfRule>
    <cfRule type="cellIs" dxfId="180" priority="36" operator="between">
      <formula>"C - Revise and Resubmit - Do Not Proceed"</formula>
      <formula>"C - Revise and Resubmit - Do Not Proceed"</formula>
    </cfRule>
    <cfRule type="cellIs" dxfId="179" priority="35" operator="between">
      <formula>"'D - Rejected "</formula>
      <formula>"'D - Rejected "</formula>
    </cfRule>
    <cfRule type="cellIs" dxfId="178" priority="34" operator="between">
      <formula>"E - Review not Required - Proceed"</formula>
      <formula>"E - Review not Required - Proceed"</formula>
    </cfRule>
    <cfRule type="cellIs" dxfId="177" priority="33" operator="equal">
      <formula>"E - Review Not Required - Proceed"</formula>
    </cfRule>
    <cfRule type="cellIs" dxfId="176" priority="32" operator="equal">
      <formula>"B - Incorporate Comments - Proceed "</formula>
    </cfRule>
    <cfRule type="cellIs" dxfId="175" priority="31" operator="equal">
      <formula>"For Information"</formula>
    </cfRule>
    <cfRule type="cellIs" dxfId="174" priority="30" operator="equal">
      <formula>"A - Work May Proceed"</formula>
    </cfRule>
    <cfRule type="cellIs" dxfId="173" priority="29" operator="equal">
      <formula>"C - Revise and Resubmit - Do Not Proceed"</formula>
    </cfRule>
    <cfRule type="cellIs" dxfId="172" priority="28" operator="equal">
      <formula>"B - Incorporate Comments - Proceed"</formula>
    </cfRule>
    <cfRule type="cellIs" dxfId="171" priority="27" operator="equal">
      <formula>"D - Rejected"</formula>
    </cfRule>
    <cfRule type="cellIs" dxfId="170" priority="42" operator="between">
      <formula>"CANCELLED"</formula>
      <formula>"CANCELLED"</formula>
    </cfRule>
    <cfRule type="cellIs" dxfId="169" priority="26" operator="equal">
      <formula>"E - Review not Required - Proceed"</formula>
    </cfRule>
    <cfRule type="cellIs" dxfId="168" priority="45" stopIfTrue="1" operator="between">
      <formula>"B - Incorporate Comments - Proceed "</formula>
      <formula>"B - Incorporate Comments - Proceed "</formula>
    </cfRule>
    <cfRule type="cellIs" dxfId="167" priority="44" operator="between">
      <formula>"C - Revise and Resubmit - Do Not Proceed"</formula>
      <formula>"C - Revise and Resubmit - Do Not Proceed"</formula>
    </cfRule>
    <cfRule type="cellIs" dxfId="166" priority="43" operator="between">
      <formula>"A - Work May Proceed"</formula>
      <formula>"A - Work May Proceed"</formula>
    </cfRule>
  </conditionalFormatting>
  <conditionalFormatting sqref="AY11">
    <cfRule type="cellIs" dxfId="165" priority="65" stopIfTrue="1" operator="between">
      <formula>"B - Incorporate Comments - Proceed "</formula>
      <formula>"B - Incorporate Comments - Proceed "</formula>
    </cfRule>
    <cfRule type="cellIs" dxfId="164" priority="64" operator="between">
      <formula>"C - Revise and Resubmit - Do Not Proceed"</formula>
      <formula>"C - Revise and Resubmit - Do Not Proceed"</formula>
    </cfRule>
    <cfRule type="cellIs" dxfId="163" priority="62" operator="between">
      <formula>"CANCELLED"</formula>
      <formula>"CANCELLED"</formula>
    </cfRule>
    <cfRule type="cellIs" dxfId="162" priority="61" operator="between">
      <formula>"D - Rejected "</formula>
      <formula>"D - Rejected "</formula>
    </cfRule>
    <cfRule type="cellIs" dxfId="161" priority="60" operator="between">
      <formula>"E - Review not Required - Proceed"</formula>
      <formula>"E - Review not Required - Proceed"</formula>
    </cfRule>
    <cfRule type="cellIs" dxfId="160" priority="55" operator="between">
      <formula>"'D - Rejected "</formula>
      <formula>"'D - Rejected "</formula>
    </cfRule>
    <cfRule type="cellIs" dxfId="159" priority="63" operator="between">
      <formula>"A - Work May Proceed"</formula>
      <formula>"A - Work May Proceed"</formula>
    </cfRule>
    <cfRule type="cellIs" dxfId="158" priority="54" operator="between">
      <formula>"E - Review not Required - Proceed"</formula>
      <formula>"E - Review not Required - Proceed"</formula>
    </cfRule>
    <cfRule type="cellIs" dxfId="157" priority="53" operator="equal">
      <formula>"E - Review Not Required - Proceed"</formula>
    </cfRule>
    <cfRule type="cellIs" dxfId="156" priority="52" operator="equal">
      <formula>"B - Incorporate Comments - Proceed "</formula>
    </cfRule>
    <cfRule type="cellIs" dxfId="155" priority="51" operator="equal">
      <formula>"For Information"</formula>
    </cfRule>
    <cfRule type="cellIs" dxfId="154" priority="50" operator="equal">
      <formula>"A - Work May Proceed"</formula>
    </cfRule>
    <cfRule type="cellIs" dxfId="153" priority="49" operator="equal">
      <formula>"C - Revise and Resubmit - Do Not Proceed"</formula>
    </cfRule>
    <cfRule type="cellIs" dxfId="152" priority="48" operator="equal">
      <formula>"B - Incorporate Comments - Proceed"</formula>
    </cfRule>
    <cfRule type="cellIs" dxfId="151" priority="47" operator="equal">
      <formula>"D - Rejected"</formula>
    </cfRule>
    <cfRule type="cellIs" dxfId="150" priority="46" operator="equal">
      <formula>"E - Review not Required - Proceed"</formula>
    </cfRule>
    <cfRule type="cellIs" dxfId="149" priority="58" operator="between">
      <formula>"A - Work May Proceed"</formula>
      <formula>"A - Work May Proceed"</formula>
    </cfRule>
    <cfRule type="cellIs" dxfId="148" priority="57" operator="between">
      <formula>"B - Incorporate Comments - Proceed"</formula>
      <formula>"B - Incorporate Comments - Proceed"</formula>
    </cfRule>
    <cfRule type="cellIs" dxfId="147" priority="56" operator="between">
      <formula>"C - Revise and Resubmit - Do Not Proceed"</formula>
      <formula>"C - Revise and Resubmit - Do Not Proceed"</formula>
    </cfRule>
    <cfRule type="cellIs" dxfId="146" priority="59" operator="between">
      <formula>"B - Incorporate Comments - Proceed"</formula>
      <formula>"B - Incorporate Comments -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7D7A-9BB1-4D71-8A76-44CB0BDC7BB5}">
  <sheetPr codeName="Sheet39">
    <tabColor theme="7"/>
  </sheetPr>
  <dimension ref="A1:BF13"/>
  <sheetViews>
    <sheetView zoomScale="55" zoomScaleNormal="55" zoomScaleSheetLayoutView="71" workbookViewId="0">
      <pane ySplit="11" topLeftCell="A12" activePane="bottomLeft" state="frozen"/>
      <selection activeCell="A14" sqref="A14"/>
      <selection pane="bottomLeft" sqref="A1:A1048576"/>
    </sheetView>
  </sheetViews>
  <sheetFormatPr defaultColWidth="9.140625" defaultRowHeight="15" x14ac:dyDescent="0.25"/>
  <cols>
    <col min="1" max="1" width="24.5703125" style="393" customWidth="1"/>
    <col min="2" max="3" width="32" style="393" customWidth="1"/>
    <col min="4" max="5" width="57.85546875" style="393" customWidth="1"/>
    <col min="6" max="6" width="77.7109375" style="394" bestFit="1" customWidth="1"/>
    <col min="7" max="7" width="29.28515625" style="393" customWidth="1"/>
    <col min="8" max="8" width="30.140625" style="393" customWidth="1"/>
    <col min="9" max="9" width="33.7109375" style="394" customWidth="1"/>
    <col min="10" max="10" width="30.140625" style="471" customWidth="1"/>
    <col min="11" max="12" width="30.140625" style="394" customWidth="1"/>
    <col min="13" max="14" width="30.140625" style="471" customWidth="1"/>
    <col min="15" max="16" width="30.140625" style="393" customWidth="1"/>
    <col min="17" max="17" width="30.140625" style="397" customWidth="1"/>
    <col min="18" max="19" width="30.140625" style="393" customWidth="1"/>
    <col min="20" max="20" width="30.140625" style="397" customWidth="1"/>
    <col min="21" max="21" width="37.140625" style="397" customWidth="1"/>
    <col min="22" max="23" width="30.140625" style="393" customWidth="1"/>
    <col min="24" max="24" width="30.140625" style="397" customWidth="1"/>
    <col min="25" max="26" width="30.140625" style="393" customWidth="1"/>
    <col min="27" max="28" width="30.140625" style="397" customWidth="1"/>
    <col min="29" max="30" width="30.140625" style="393" customWidth="1"/>
    <col min="31" max="31" width="30.140625" style="397" customWidth="1"/>
    <col min="32" max="33" width="30.140625" style="393" customWidth="1"/>
    <col min="34" max="35" width="30.140625" style="397" customWidth="1"/>
    <col min="36" max="37" width="30.140625" style="393" customWidth="1"/>
    <col min="38" max="38" width="30.140625" style="397" customWidth="1"/>
    <col min="39" max="40" width="36.85546875" style="399" customWidth="1"/>
    <col min="41" max="56" width="30.140625" style="397" customWidth="1"/>
    <col min="57" max="57" width="32.85546875" style="393" customWidth="1"/>
    <col min="58" max="58" width="46.5703125" style="438" customWidth="1"/>
    <col min="59" max="16384" width="9.140625" style="393"/>
  </cols>
  <sheetData>
    <row r="1" spans="1:58" s="379" customFormat="1" ht="24" customHeight="1" x14ac:dyDescent="0.35">
      <c r="A1" s="8"/>
      <c r="B1" s="48" t="s">
        <v>27</v>
      </c>
      <c r="C1" s="26" t="s">
        <v>26</v>
      </c>
      <c r="D1" s="26"/>
      <c r="E1" s="26"/>
      <c r="F1" s="27"/>
      <c r="G1" s="8"/>
      <c r="H1" s="548" t="s">
        <v>5496</v>
      </c>
      <c r="I1" s="549">
        <f ca="1">TODAY()</f>
        <v>46266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 s="18"/>
      <c r="Y1" s="7"/>
      <c r="Z1" s="7"/>
      <c r="AA1" s="18"/>
      <c r="AB1" s="18"/>
      <c r="AC1" s="7"/>
      <c r="AD1" s="7"/>
      <c r="AE1" s="18"/>
      <c r="AF1" s="7"/>
      <c r="AG1" s="7"/>
      <c r="AH1" s="18"/>
      <c r="AI1" s="18"/>
      <c r="AJ1" s="7"/>
      <c r="AK1" s="7"/>
      <c r="AL1" s="18"/>
      <c r="AM1" s="7"/>
      <c r="AN1" s="7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7"/>
      <c r="BF1" s="195"/>
    </row>
    <row r="2" spans="1:58" s="379" customFormat="1" ht="24" customHeight="1" x14ac:dyDescent="0.35">
      <c r="A2" s="8"/>
      <c r="B2" s="25" t="s">
        <v>28</v>
      </c>
      <c r="C2" s="26" t="s">
        <v>171</v>
      </c>
      <c r="D2" s="26"/>
      <c r="E2" s="26"/>
      <c r="F2" s="27"/>
      <c r="G2" s="8"/>
      <c r="H2" s="548"/>
      <c r="I2" s="558"/>
      <c r="J2"/>
      <c r="K2"/>
      <c r="L2"/>
      <c r="M2"/>
      <c r="N2"/>
      <c r="O2"/>
      <c r="P2"/>
      <c r="Q2"/>
      <c r="R2"/>
      <c r="S2"/>
      <c r="T2"/>
      <c r="U2"/>
      <c r="V2"/>
      <c r="W2"/>
      <c r="X2" s="18"/>
      <c r="Y2" s="7"/>
      <c r="Z2" s="7"/>
      <c r="AA2" s="18"/>
      <c r="AB2" s="18"/>
      <c r="AC2" s="7"/>
      <c r="AD2" s="7"/>
      <c r="AE2" s="18"/>
      <c r="AF2" s="7"/>
      <c r="AG2" s="7"/>
      <c r="AH2" s="18"/>
      <c r="AI2" s="18"/>
      <c r="AJ2" s="7"/>
      <c r="AK2" s="7"/>
      <c r="AL2" s="18"/>
      <c r="AM2" s="7"/>
      <c r="AN2" s="7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7"/>
      <c r="BF2" s="195"/>
    </row>
    <row r="3" spans="1:58" s="379" customFormat="1" ht="24" customHeight="1" x14ac:dyDescent="0.35">
      <c r="A3" s="8"/>
      <c r="B3" s="25" t="s">
        <v>507</v>
      </c>
      <c r="C3" s="49" t="s">
        <v>4489</v>
      </c>
      <c r="D3" s="26"/>
      <c r="E3" s="26"/>
      <c r="F3" s="27"/>
      <c r="G3" s="8"/>
      <c r="H3" s="8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 s="18"/>
      <c r="Y3" s="7"/>
      <c r="Z3" s="7"/>
      <c r="AA3" s="18"/>
      <c r="AB3" s="18"/>
      <c r="AC3" s="7"/>
      <c r="AD3" s="7"/>
      <c r="AE3" s="18"/>
      <c r="AF3" s="7"/>
      <c r="AG3" s="7"/>
      <c r="AH3" s="18"/>
      <c r="AI3" s="18"/>
      <c r="AJ3" s="7"/>
      <c r="AK3" s="7"/>
      <c r="AL3" s="18"/>
      <c r="AM3" s="7"/>
      <c r="AN3" s="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7"/>
      <c r="BF3" s="195"/>
    </row>
    <row r="4" spans="1:58" s="379" customFormat="1" ht="24" customHeight="1" x14ac:dyDescent="0.35">
      <c r="A4" s="8"/>
      <c r="B4" s="49"/>
      <c r="C4" s="50"/>
      <c r="D4" s="50"/>
      <c r="E4" s="50"/>
      <c r="F4" s="51"/>
      <c r="G4" s="8"/>
      <c r="H4" s="8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s="18"/>
      <c r="Y4" s="7"/>
      <c r="Z4" s="7"/>
      <c r="AA4" s="18"/>
      <c r="AB4" s="18"/>
      <c r="AC4" s="7"/>
      <c r="AD4" s="7"/>
      <c r="AE4" s="18"/>
      <c r="AF4" s="7"/>
      <c r="AG4" s="7"/>
      <c r="AH4" s="18"/>
      <c r="AI4" s="18"/>
      <c r="AJ4" s="7"/>
      <c r="AK4" s="7"/>
      <c r="AL4" s="18"/>
      <c r="AM4" s="7"/>
      <c r="AN4" s="7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7"/>
      <c r="BF4" s="195"/>
    </row>
    <row r="5" spans="1:58" s="379" customFormat="1" ht="24" customHeight="1" x14ac:dyDescent="0.35">
      <c r="A5" s="8"/>
      <c r="B5" s="22" t="s">
        <v>5</v>
      </c>
      <c r="C5" s="23" t="s">
        <v>18</v>
      </c>
      <c r="D5" s="23" t="s">
        <v>3</v>
      </c>
      <c r="E5" s="24" t="s">
        <v>14</v>
      </c>
      <c r="F5" s="23" t="s">
        <v>13</v>
      </c>
      <c r="G5" s="62" t="s">
        <v>4</v>
      </c>
      <c r="H5" s="62" t="s">
        <v>53</v>
      </c>
      <c r="I5" s="63" t="s">
        <v>331</v>
      </c>
      <c r="J5" s="63" t="s">
        <v>508</v>
      </c>
      <c r="K5"/>
      <c r="L5"/>
      <c r="M5"/>
      <c r="N5"/>
      <c r="O5"/>
      <c r="P5"/>
      <c r="Q5"/>
      <c r="R5"/>
      <c r="S5"/>
      <c r="T5"/>
      <c r="U5"/>
      <c r="V5"/>
      <c r="W5"/>
      <c r="X5" s="18"/>
      <c r="Y5" s="7"/>
      <c r="Z5" s="7"/>
      <c r="AA5" s="18"/>
      <c r="AB5" s="18"/>
      <c r="AC5" s="7"/>
      <c r="AD5" s="7"/>
      <c r="AE5" s="18"/>
      <c r="AF5" s="7"/>
      <c r="AG5" s="7"/>
      <c r="AH5" s="18"/>
      <c r="AI5" s="18"/>
      <c r="AJ5" s="7"/>
      <c r="AK5" s="7"/>
      <c r="AL5" s="18"/>
      <c r="AM5" s="7"/>
      <c r="AN5" s="7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7"/>
      <c r="BF5" s="195"/>
    </row>
    <row r="6" spans="1:58" s="379" customFormat="1" ht="24" customHeight="1" x14ac:dyDescent="0.35">
      <c r="A6" s="8"/>
      <c r="B6" s="64">
        <f>COUNTIF(B11:B12,"A - Work May Proceed")</f>
        <v>0</v>
      </c>
      <c r="C6" s="65">
        <f>COUNTIF(B11:B12,"B- Incorporate Comments - Proceed")</f>
        <v>0</v>
      </c>
      <c r="D6" s="65">
        <f>COUNTIF(B11:B12,"C - Revise and Resubmit - Do Not Proceed")</f>
        <v>0</v>
      </c>
      <c r="E6" s="65">
        <f>COUNTIF(B11:B12,"D - Rejected")</f>
        <v>0</v>
      </c>
      <c r="F6" s="65">
        <f>COUNTIF(B11:B12,"E - Review not Required - Proceed")</f>
        <v>0</v>
      </c>
      <c r="G6" s="66">
        <f>COUNTIF(B11:B12,"UR")</f>
        <v>0</v>
      </c>
      <c r="H6" s="66">
        <f>COUNTIF(B11:B12,"FA")</f>
        <v>0</v>
      </c>
      <c r="I6" s="66">
        <f>COUNTIF(B11:B12,"Terminated")</f>
        <v>0</v>
      </c>
      <c r="J6" s="66">
        <f>COUNTIF(B11:B12,"Cancelled")</f>
        <v>1</v>
      </c>
      <c r="K6"/>
      <c r="L6"/>
      <c r="M6"/>
      <c r="N6"/>
      <c r="O6"/>
      <c r="P6"/>
      <c r="Q6"/>
      <c r="R6"/>
      <c r="S6"/>
      <c r="T6"/>
      <c r="U6"/>
      <c r="V6"/>
      <c r="W6"/>
      <c r="X6" s="18"/>
      <c r="Y6" s="7"/>
      <c r="Z6" s="7"/>
      <c r="AA6" s="18"/>
      <c r="AB6" s="18"/>
      <c r="AC6" s="7"/>
      <c r="AD6" s="7"/>
      <c r="AE6" s="18"/>
      <c r="AF6" s="7"/>
      <c r="AG6" s="7"/>
      <c r="AH6" s="18"/>
      <c r="AI6" s="18"/>
      <c r="AJ6" s="7"/>
      <c r="AK6" s="7"/>
      <c r="AL6" s="18"/>
      <c r="AM6" s="7"/>
      <c r="AN6" s="7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7"/>
      <c r="BF6" s="195"/>
    </row>
    <row r="7" spans="1:58" s="379" customFormat="1" ht="24" customHeight="1" x14ac:dyDescent="0.35">
      <c r="A7" s="8"/>
      <c r="B7" s="67"/>
      <c r="C7" s="68"/>
      <c r="D7" s="69"/>
      <c r="E7" s="70"/>
      <c r="F7" s="70"/>
      <c r="G7" s="71"/>
      <c r="H7" s="70"/>
      <c r="I7" s="7"/>
      <c r="J7"/>
      <c r="K7"/>
      <c r="L7"/>
      <c r="M7"/>
      <c r="N7"/>
      <c r="O7"/>
      <c r="P7"/>
      <c r="Q7"/>
      <c r="R7"/>
      <c r="S7"/>
      <c r="T7"/>
      <c r="U7"/>
      <c r="V7"/>
      <c r="W7"/>
      <c r="X7" s="18"/>
      <c r="Y7" s="7"/>
      <c r="Z7" s="7"/>
      <c r="AA7" s="18"/>
      <c r="AB7" s="18"/>
      <c r="AC7" s="7"/>
      <c r="AD7" s="7"/>
      <c r="AE7" s="18"/>
      <c r="AF7" s="7"/>
      <c r="AG7" s="7"/>
      <c r="AH7" s="18"/>
      <c r="AI7" s="18"/>
      <c r="AJ7" s="7"/>
      <c r="AK7" s="7"/>
      <c r="AL7" s="18"/>
      <c r="AM7" s="7"/>
      <c r="AN7" s="7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7"/>
      <c r="BF7" s="195"/>
    </row>
    <row r="8" spans="1:58" s="379" customFormat="1" ht="24" customHeight="1" x14ac:dyDescent="0.35">
      <c r="A8" s="8"/>
      <c r="B8" s="72" t="s">
        <v>509</v>
      </c>
      <c r="C8" s="73">
        <f>SUM(B6:J6)</f>
        <v>1</v>
      </c>
      <c r="D8" s="69"/>
      <c r="E8" s="70"/>
      <c r="F8" s="70"/>
      <c r="G8" s="74"/>
      <c r="H8" s="75"/>
      <c r="I8" s="76"/>
      <c r="J8" s="75"/>
      <c r="K8"/>
      <c r="L8"/>
      <c r="M8"/>
      <c r="N8"/>
      <c r="O8"/>
      <c r="P8"/>
      <c r="Q8"/>
      <c r="R8"/>
      <c r="S8"/>
      <c r="T8"/>
      <c r="U8"/>
      <c r="V8"/>
      <c r="W8"/>
      <c r="X8" s="18"/>
      <c r="Y8" s="7"/>
      <c r="Z8" s="7"/>
      <c r="AA8" s="18"/>
      <c r="AB8" s="18"/>
      <c r="AC8" s="7"/>
      <c r="AD8" s="7"/>
      <c r="AE8" s="18"/>
      <c r="AF8" s="7"/>
      <c r="AG8" s="7"/>
      <c r="AH8" s="18"/>
      <c r="AI8" s="18"/>
      <c r="AJ8" s="7"/>
      <c r="AK8" s="7"/>
      <c r="AL8" s="18"/>
      <c r="AM8" s="7"/>
      <c r="AN8" s="7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7"/>
      <c r="BF8" s="195"/>
    </row>
    <row r="9" spans="1:58" s="379" customFormat="1" ht="24" customHeight="1" thickBot="1" x14ac:dyDescent="0.4">
      <c r="A9" s="8"/>
      <c r="B9" s="49"/>
      <c r="C9" s="50"/>
      <c r="D9" s="50"/>
      <c r="E9" s="50"/>
      <c r="F9" s="51"/>
      <c r="G9" s="8"/>
      <c r="H9" s="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 s="18"/>
      <c r="Y9" s="7"/>
      <c r="Z9" s="7"/>
      <c r="AA9" s="18"/>
      <c r="AB9" s="18"/>
      <c r="AC9" s="7"/>
      <c r="AD9" s="7"/>
      <c r="AE9" s="18"/>
      <c r="AF9" s="7"/>
      <c r="AG9" s="7"/>
      <c r="AH9" s="18"/>
      <c r="AI9" s="18"/>
      <c r="AJ9" s="7"/>
      <c r="AK9" s="7"/>
      <c r="AL9" s="18"/>
      <c r="AM9" s="7"/>
      <c r="AN9" s="7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7"/>
      <c r="BF9" s="195"/>
    </row>
    <row r="10" spans="1:58" s="405" customFormat="1" ht="36.75" customHeight="1" x14ac:dyDescent="0.2">
      <c r="A10" s="559" t="s">
        <v>3259</v>
      </c>
      <c r="B10" s="554" t="s">
        <v>17</v>
      </c>
      <c r="C10" s="554" t="s">
        <v>10</v>
      </c>
      <c r="D10" s="556" t="s">
        <v>8</v>
      </c>
      <c r="E10" s="556" t="s">
        <v>12</v>
      </c>
      <c r="F10" s="556" t="s">
        <v>1</v>
      </c>
      <c r="G10" s="552" t="s">
        <v>7</v>
      </c>
      <c r="H10" s="539" t="s">
        <v>2</v>
      </c>
      <c r="I10" s="541" t="s">
        <v>19</v>
      </c>
      <c r="J10" s="541"/>
      <c r="K10" s="541"/>
      <c r="L10" s="541"/>
      <c r="M10" s="541"/>
      <c r="N10" s="541"/>
      <c r="O10" s="541"/>
      <c r="P10" s="542" t="s">
        <v>20</v>
      </c>
      <c r="Q10" s="542"/>
      <c r="R10" s="542"/>
      <c r="S10" s="542"/>
      <c r="T10" s="542"/>
      <c r="U10" s="542"/>
      <c r="V10" s="542"/>
      <c r="W10" s="543" t="s">
        <v>21</v>
      </c>
      <c r="X10" s="543"/>
      <c r="Y10" s="543"/>
      <c r="Z10" s="543"/>
      <c r="AA10" s="543"/>
      <c r="AB10" s="543"/>
      <c r="AC10" s="543"/>
      <c r="AD10" s="544" t="s">
        <v>22</v>
      </c>
      <c r="AE10" s="544"/>
      <c r="AF10" s="544"/>
      <c r="AG10" s="544"/>
      <c r="AH10" s="544"/>
      <c r="AI10" s="544"/>
      <c r="AJ10" s="544"/>
      <c r="AK10" s="545" t="s">
        <v>23</v>
      </c>
      <c r="AL10" s="545"/>
      <c r="AM10" s="545"/>
      <c r="AN10" s="545"/>
      <c r="AO10" s="545"/>
      <c r="AP10" s="545"/>
      <c r="AQ10" s="545"/>
      <c r="AR10" s="537" t="s">
        <v>24</v>
      </c>
      <c r="AS10" s="537"/>
      <c r="AT10" s="537"/>
      <c r="AU10" s="537"/>
      <c r="AV10" s="537"/>
      <c r="AW10" s="537"/>
      <c r="AX10" s="537"/>
      <c r="AY10" s="538" t="s">
        <v>25</v>
      </c>
      <c r="AZ10" s="538"/>
      <c r="BA10" s="538"/>
      <c r="BB10" s="538"/>
      <c r="BC10" s="538"/>
      <c r="BD10" s="538"/>
      <c r="BE10" s="538"/>
      <c r="BF10" s="525" t="s">
        <v>126</v>
      </c>
    </row>
    <row r="11" spans="1:58" s="406" customFormat="1" ht="36.75" customHeight="1" x14ac:dyDescent="0.25">
      <c r="A11" s="560"/>
      <c r="B11" s="555"/>
      <c r="C11" s="555"/>
      <c r="D11" s="557"/>
      <c r="E11" s="557"/>
      <c r="F11" s="557"/>
      <c r="G11" s="553"/>
      <c r="H11" s="540"/>
      <c r="I11" s="46" t="s">
        <v>0</v>
      </c>
      <c r="J11" s="47" t="s">
        <v>9</v>
      </c>
      <c r="K11" s="46" t="s">
        <v>11</v>
      </c>
      <c r="L11" s="89" t="s">
        <v>939</v>
      </c>
      <c r="M11" s="47" t="s">
        <v>6</v>
      </c>
      <c r="N11" s="90" t="s">
        <v>940</v>
      </c>
      <c r="O11" s="46" t="s">
        <v>98</v>
      </c>
      <c r="P11" s="28" t="s">
        <v>0</v>
      </c>
      <c r="Q11" s="29" t="s">
        <v>9</v>
      </c>
      <c r="R11" s="30" t="s">
        <v>11</v>
      </c>
      <c r="S11" s="93" t="s">
        <v>939</v>
      </c>
      <c r="T11" s="29" t="s">
        <v>6</v>
      </c>
      <c r="U11" s="94" t="s">
        <v>940</v>
      </c>
      <c r="V11" s="30" t="s">
        <v>98</v>
      </c>
      <c r="W11" s="31" t="s">
        <v>0</v>
      </c>
      <c r="X11" s="32" t="s">
        <v>9</v>
      </c>
      <c r="Y11" s="33" t="s">
        <v>11</v>
      </c>
      <c r="Z11" s="96" t="s">
        <v>939</v>
      </c>
      <c r="AA11" s="32" t="s">
        <v>6</v>
      </c>
      <c r="AB11" s="97" t="s">
        <v>940</v>
      </c>
      <c r="AC11" s="33" t="s">
        <v>98</v>
      </c>
      <c r="AD11" s="34" t="s">
        <v>0</v>
      </c>
      <c r="AE11" s="35" t="s">
        <v>9</v>
      </c>
      <c r="AF11" s="36" t="s">
        <v>11</v>
      </c>
      <c r="AG11" s="100" t="s">
        <v>939</v>
      </c>
      <c r="AH11" s="35" t="s">
        <v>6</v>
      </c>
      <c r="AI11" s="101" t="s">
        <v>940</v>
      </c>
      <c r="AJ11" s="36" t="s">
        <v>98</v>
      </c>
      <c r="AK11" s="37" t="s">
        <v>0</v>
      </c>
      <c r="AL11" s="38" t="s">
        <v>9</v>
      </c>
      <c r="AM11" s="39" t="s">
        <v>11</v>
      </c>
      <c r="AN11" s="99" t="s">
        <v>939</v>
      </c>
      <c r="AO11" s="38" t="s">
        <v>6</v>
      </c>
      <c r="AP11" s="98" t="s">
        <v>940</v>
      </c>
      <c r="AQ11" s="39" t="s">
        <v>98</v>
      </c>
      <c r="AR11" s="40" t="s">
        <v>0</v>
      </c>
      <c r="AS11" s="41" t="s">
        <v>9</v>
      </c>
      <c r="AT11" s="42" t="s">
        <v>11</v>
      </c>
      <c r="AU11" s="102" t="s">
        <v>939</v>
      </c>
      <c r="AV11" s="41" t="s">
        <v>6</v>
      </c>
      <c r="AW11" s="103" t="s">
        <v>940</v>
      </c>
      <c r="AX11" s="42" t="s">
        <v>98</v>
      </c>
      <c r="AY11" s="43" t="s">
        <v>0</v>
      </c>
      <c r="AZ11" s="44" t="s">
        <v>9</v>
      </c>
      <c r="BA11" s="45" t="s">
        <v>11</v>
      </c>
      <c r="BB11" s="104" t="s">
        <v>939</v>
      </c>
      <c r="BC11" s="44" t="s">
        <v>6</v>
      </c>
      <c r="BD11" s="105" t="s">
        <v>940</v>
      </c>
      <c r="BE11" s="45" t="s">
        <v>98</v>
      </c>
      <c r="BF11" s="526"/>
    </row>
    <row r="12" spans="1:58" s="381" customFormat="1" ht="42" customHeight="1" x14ac:dyDescent="0.25">
      <c r="A12" s="442">
        <v>310002</v>
      </c>
      <c r="B12" s="339" t="s">
        <v>508</v>
      </c>
      <c r="C12" s="13" t="s">
        <v>627</v>
      </c>
      <c r="D12" s="12" t="s">
        <v>4487</v>
      </c>
      <c r="E12" s="12" t="s">
        <v>4486</v>
      </c>
      <c r="F12" s="16" t="s">
        <v>4488</v>
      </c>
      <c r="G12" s="10" t="s">
        <v>172</v>
      </c>
      <c r="H12" s="10" t="s">
        <v>4489</v>
      </c>
      <c r="I12" s="197" t="s">
        <v>3</v>
      </c>
      <c r="J12" s="14">
        <v>45946</v>
      </c>
      <c r="K12" s="13" t="s">
        <v>4490</v>
      </c>
      <c r="L12" s="14">
        <f>J12+7</f>
        <v>45953</v>
      </c>
      <c r="M12" s="14">
        <v>45965</v>
      </c>
      <c r="N12" s="92">
        <f>M12-L12</f>
        <v>12</v>
      </c>
      <c r="O12" s="10" t="s">
        <v>4502</v>
      </c>
      <c r="P12" s="196" t="s">
        <v>508</v>
      </c>
      <c r="Q12" s="21">
        <v>46013</v>
      </c>
      <c r="R12" s="10" t="s">
        <v>5360</v>
      </c>
      <c r="S12" s="21" t="s">
        <v>626</v>
      </c>
      <c r="T12" s="21" t="s">
        <v>626</v>
      </c>
      <c r="U12" s="21" t="s">
        <v>626</v>
      </c>
      <c r="V12" s="21" t="s">
        <v>626</v>
      </c>
      <c r="W12" s="10"/>
      <c r="X12" s="21"/>
      <c r="Y12" s="10"/>
      <c r="Z12" s="10"/>
      <c r="AA12" s="21"/>
      <c r="AB12" s="21"/>
      <c r="AC12" s="10"/>
      <c r="AD12" s="10"/>
      <c r="AE12" s="21"/>
      <c r="AF12" s="10"/>
      <c r="AG12" s="10"/>
      <c r="AH12" s="21"/>
      <c r="AI12" s="21"/>
      <c r="AJ12" s="10"/>
      <c r="AK12" s="10"/>
      <c r="AL12" s="17"/>
      <c r="AM12" s="11"/>
      <c r="AN12" s="11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1"/>
      <c r="BF12" s="440"/>
    </row>
    <row r="13" spans="1:58" s="381" customFormat="1" ht="42" customHeight="1" thickBot="1" x14ac:dyDescent="0.3">
      <c r="A13" s="443"/>
      <c r="B13" s="484"/>
      <c r="C13" s="485"/>
      <c r="D13" s="370"/>
      <c r="E13" s="370"/>
      <c r="F13" s="262"/>
      <c r="G13" s="263"/>
      <c r="H13" s="263"/>
      <c r="I13" s="486"/>
      <c r="J13" s="474"/>
      <c r="K13" s="373"/>
      <c r="L13" s="474"/>
      <c r="M13" s="474"/>
      <c r="N13" s="425"/>
      <c r="O13" s="263"/>
      <c r="P13" s="487"/>
      <c r="Q13" s="374"/>
      <c r="R13" s="263"/>
      <c r="S13" s="374"/>
      <c r="T13" s="374"/>
      <c r="U13" s="374"/>
      <c r="V13" s="374"/>
      <c r="W13" s="263"/>
      <c r="X13" s="374"/>
      <c r="Y13" s="263"/>
      <c r="Z13" s="263"/>
      <c r="AA13" s="374"/>
      <c r="AB13" s="374"/>
      <c r="AC13" s="263"/>
      <c r="AD13" s="263"/>
      <c r="AE13" s="374"/>
      <c r="AF13" s="263"/>
      <c r="AG13" s="263"/>
      <c r="AH13" s="374"/>
      <c r="AI13" s="374"/>
      <c r="AJ13" s="263"/>
      <c r="AK13" s="263"/>
      <c r="AL13" s="376"/>
      <c r="AM13" s="371"/>
      <c r="AN13" s="371"/>
      <c r="AO13" s="376"/>
      <c r="AP13" s="376"/>
      <c r="AQ13" s="376"/>
      <c r="AR13" s="376"/>
      <c r="AS13" s="376"/>
      <c r="AT13" s="376"/>
      <c r="AU13" s="376"/>
      <c r="AV13" s="376"/>
      <c r="AW13" s="376"/>
      <c r="AX13" s="376"/>
      <c r="AY13" s="376"/>
      <c r="AZ13" s="376"/>
      <c r="BA13" s="376"/>
      <c r="BB13" s="376"/>
      <c r="BC13" s="376"/>
      <c r="BD13" s="376"/>
      <c r="BE13" s="371"/>
      <c r="BF13" s="445"/>
    </row>
  </sheetData>
  <autoFilter ref="A11:BF11" xr:uid="{4FF47D7A-9BB1-4D71-8A76-44CB0BDC7BB5}"/>
  <mergeCells count="18">
    <mergeCell ref="F10:F11"/>
    <mergeCell ref="G10:G11"/>
    <mergeCell ref="H10:H11"/>
    <mergeCell ref="I10:O10"/>
    <mergeCell ref="P10:V10"/>
    <mergeCell ref="A10:A11"/>
    <mergeCell ref="B10:B11"/>
    <mergeCell ref="C10:C11"/>
    <mergeCell ref="D10:D11"/>
    <mergeCell ref="E10:E11"/>
    <mergeCell ref="AK10:AQ10"/>
    <mergeCell ref="AR10:AX10"/>
    <mergeCell ref="AY10:BE10"/>
    <mergeCell ref="BF10:BF11"/>
    <mergeCell ref="H1:H2"/>
    <mergeCell ref="I1:I2"/>
    <mergeCell ref="AD10:AJ10"/>
    <mergeCell ref="W10:AC10"/>
  </mergeCells>
  <conditionalFormatting sqref="A10:A13 C12:H13 J12:O13 Q12:XFD13">
    <cfRule type="cellIs" dxfId="145" priority="29" operator="equal">
      <formula>"A - Work May Proceed"</formula>
    </cfRule>
  </conditionalFormatting>
  <conditionalFormatting sqref="A10:A13">
    <cfRule type="cellIs" dxfId="144" priority="26" operator="equal">
      <formula>"D - Rejected"</formula>
    </cfRule>
    <cfRule type="cellIs" dxfId="143" priority="27" operator="equal">
      <formula>"B- Incorporate Comments - Proceed"</formula>
    </cfRule>
    <cfRule type="cellIs" dxfId="142" priority="28" operator="equal">
      <formula>"C - Revise and Resubmit - Do Not Proceed"</formula>
    </cfRule>
    <cfRule type="cellIs" dxfId="141" priority="25" operator="equal">
      <formula>"E - Review not Required - Proceed"</formula>
    </cfRule>
  </conditionalFormatting>
  <conditionalFormatting sqref="B11:B13">
    <cfRule type="cellIs" dxfId="140" priority="10" operator="equal">
      <formula>"E - Review not Required - Proceed"</formula>
    </cfRule>
    <cfRule type="cellIs" dxfId="139" priority="11" operator="equal">
      <formula>"D - Rejected"</formula>
    </cfRule>
    <cfRule type="cellIs" dxfId="138" priority="12" operator="equal">
      <formula>"B- Incorporate Comments - Proceed"</formula>
    </cfRule>
    <cfRule type="cellIs" dxfId="137" priority="13" operator="equal">
      <formula>"C - Revise and Resubmit - Do Not Proceed"</formula>
    </cfRule>
  </conditionalFormatting>
  <conditionalFormatting sqref="B12:B13">
    <cfRule type="cellIs" dxfId="136" priority="14" stopIfTrue="1" operator="equal">
      <formula>"A - Work May Proceed"</formula>
    </cfRule>
  </conditionalFormatting>
  <conditionalFormatting sqref="C12:XFD13">
    <cfRule type="cellIs" dxfId="135" priority="2" operator="equal">
      <formula>"D - Rejected"</formula>
    </cfRule>
    <cfRule type="cellIs" dxfId="134" priority="3" operator="equal">
      <formula>"B- Incorporate Comments - Proceed"</formula>
    </cfRule>
    <cfRule type="cellIs" dxfId="133" priority="4" operator="equal">
      <formula>"C - Revise and Resubmit - Do Not Proceed"</formula>
    </cfRule>
    <cfRule type="cellIs" dxfId="132" priority="1" operator="equal">
      <formula>"E - Review not Required - Proceed"</formula>
    </cfRule>
  </conditionalFormatting>
  <conditionalFormatting sqref="D11:BE11 B1:G2 X1:XFD9 B3:H4 B9:H9 B10:XFD10 B11">
    <cfRule type="cellIs" dxfId="131" priority="74" operator="equal">
      <formula>"A - Work May Proceed"</formula>
    </cfRule>
  </conditionalFormatting>
  <conditionalFormatting sqref="D11:BE11 B1:G2 X1:XFD9 B3:H4 B9:H9 B10:XFD10">
    <cfRule type="cellIs" dxfId="130" priority="71" operator="equal">
      <formula>"D - Rejected"</formula>
    </cfRule>
    <cfRule type="cellIs" dxfId="129" priority="72" operator="equal">
      <formula>"B- Incorporate Comments - Proceed"</formula>
    </cfRule>
    <cfRule type="cellIs" dxfId="128" priority="73" operator="equal">
      <formula>"C - Revise and Resubmit - Do Not Proceed"</formula>
    </cfRule>
    <cfRule type="cellIs" dxfId="127" priority="70" operator="equal">
      <formula>"E - Review not Required - Proceed"</formula>
    </cfRule>
  </conditionalFormatting>
  <conditionalFormatting sqref="I11">
    <cfRule type="cellIs" dxfId="126" priority="144" operator="between">
      <formula>"'D - Rejected "</formula>
      <formula>"'D - Rejected "</formula>
    </cfRule>
    <cfRule type="cellIs" dxfId="125" priority="143" operator="between">
      <formula>"E - Review not Required - Proceed"</formula>
      <formula>"E - Review not Required - Proceed"</formula>
    </cfRule>
    <cfRule type="cellIs" dxfId="124" priority="142" operator="equal">
      <formula>"E - Review Not Required - Proceed"</formula>
    </cfRule>
    <cfRule type="cellIs" dxfId="123" priority="141" operator="equal">
      <formula>"B - Incorporate Comments - Proceed "</formula>
    </cfRule>
    <cfRule type="cellIs" dxfId="122" priority="140" operator="equal">
      <formula>"For Information"</formula>
    </cfRule>
    <cfRule type="cellIs" dxfId="121" priority="139" operator="equal">
      <formula>"B - Incorporate Comments - Proceed"</formula>
    </cfRule>
    <cfRule type="cellIs" dxfId="120" priority="154" stopIfTrue="1" operator="between">
      <formula>"B - Incorporate Comments - Proceed "</formula>
      <formula>"B - Incorporate Comments - Proceed "</formula>
    </cfRule>
    <cfRule type="cellIs" dxfId="119" priority="153" operator="between">
      <formula>"C - Revise and Resubmit - Do Not Proceed"</formula>
      <formula>"C - Revise and Resubmit - Do Not Proceed"</formula>
    </cfRule>
    <cfRule type="cellIs" dxfId="118" priority="152" operator="between">
      <formula>"A - Work May Proceed"</formula>
      <formula>"A - Work May Proceed"</formula>
    </cfRule>
    <cfRule type="cellIs" dxfId="117" priority="151" operator="between">
      <formula>"CANCELLED"</formula>
      <formula>"CANCELLED"</formula>
    </cfRule>
    <cfRule type="cellIs" dxfId="116" priority="150" operator="between">
      <formula>"D - Rejected "</formula>
      <formula>"D - Rejected "</formula>
    </cfRule>
    <cfRule type="cellIs" dxfId="115" priority="149" operator="between">
      <formula>"E - Review not Required - Proceed"</formula>
      <formula>"E - Review not Required - Proceed"</formula>
    </cfRule>
    <cfRule type="cellIs" dxfId="114" priority="148" operator="between">
      <formula>"B - Incorporate Comments - Proceed"</formula>
      <formula>"B - Incorporate Comments - Proceed"</formula>
    </cfRule>
    <cfRule type="cellIs" dxfId="113" priority="147" operator="between">
      <formula>"A - Work May Proceed"</formula>
      <formula>"A - Work May Proceed"</formula>
    </cfRule>
    <cfRule type="cellIs" dxfId="112" priority="146" operator="between">
      <formula>"B - Incorporate Comments - Proceed"</formula>
      <formula>"B - Incorporate Comments - Proceed"</formula>
    </cfRule>
    <cfRule type="cellIs" dxfId="111" priority="145" operator="between">
      <formula>"C - Revise and Resubmit - Do Not Proceed"</formula>
      <formula>"C - Revise and Resubmit - Do Not Proceed"</formula>
    </cfRule>
  </conditionalFormatting>
  <conditionalFormatting sqref="I12:I13">
    <cfRule type="cellIs" dxfId="110" priority="19" stopIfTrue="1" operator="equal">
      <formula>"A - Work May Proceed"</formula>
    </cfRule>
  </conditionalFormatting>
  <conditionalFormatting sqref="J5:J6 B5:I7 B8:J8">
    <cfRule type="cellIs" dxfId="109" priority="20" operator="equal">
      <formula>"E - Review not Required - Proceed"</formula>
    </cfRule>
    <cfRule type="cellIs" dxfId="108" priority="21" operator="equal">
      <formula>"D - Rejected"</formula>
    </cfRule>
    <cfRule type="cellIs" dxfId="107" priority="22" operator="equal">
      <formula>"B- Incorporate Comments - Proceed"</formula>
    </cfRule>
    <cfRule type="cellIs" dxfId="106" priority="23" operator="equal">
      <formula>"C - Revise and Resubmit - Do Not Proceed"</formula>
    </cfRule>
    <cfRule type="cellIs" dxfId="105" priority="24" stopIfTrue="1" operator="equal">
      <formula>"A - Work May Proceed"</formula>
    </cfRule>
  </conditionalFormatting>
  <conditionalFormatting sqref="P11">
    <cfRule type="cellIs" dxfId="104" priority="136" operator="between">
      <formula>"A - Work May Proceed"</formula>
      <formula>"A - Work May Proceed"</formula>
    </cfRule>
    <cfRule type="cellIs" dxfId="103" priority="123" operator="equal">
      <formula>"B - Incorporate Comments - Proceed"</formula>
    </cfRule>
    <cfRule type="cellIs" dxfId="102" priority="124" operator="equal">
      <formula>"For Information"</formula>
    </cfRule>
    <cfRule type="cellIs" dxfId="101" priority="125" operator="equal">
      <formula>"B - Incorporate Comments - Proceed "</formula>
    </cfRule>
    <cfRule type="cellIs" dxfId="100" priority="126" operator="equal">
      <formula>"E - Review Not Required - Proceed"</formula>
    </cfRule>
    <cfRule type="cellIs" dxfId="99" priority="127" operator="between">
      <formula>"E - Review not Required - Proceed"</formula>
      <formula>"E - Review not Required - Proceed"</formula>
    </cfRule>
    <cfRule type="cellIs" dxfId="98" priority="128" operator="between">
      <formula>"'D - Rejected "</formula>
      <formula>"'D - Rejected "</formula>
    </cfRule>
    <cfRule type="cellIs" dxfId="97" priority="129" operator="between">
      <formula>"C - Revise and Resubmit - Do Not Proceed"</formula>
      <formula>"C - Revise and Resubmit - Do Not Proceed"</formula>
    </cfRule>
    <cfRule type="cellIs" dxfId="96" priority="130" operator="between">
      <formula>"B - Incorporate Comments - Proceed"</formula>
      <formula>"B - Incorporate Comments - Proceed"</formula>
    </cfRule>
    <cfRule type="cellIs" dxfId="95" priority="131" operator="between">
      <formula>"A - Work May Proceed"</formula>
      <formula>"A - Work May Proceed"</formula>
    </cfRule>
    <cfRule type="cellIs" dxfId="94" priority="132" operator="between">
      <formula>"B - Incorporate Comments - Proceed"</formula>
      <formula>"B - Incorporate Comments - Proceed"</formula>
    </cfRule>
    <cfRule type="cellIs" dxfId="93" priority="133" operator="between">
      <formula>"E - Review not Required - Proceed"</formula>
      <formula>"E - Review not Required - Proceed"</formula>
    </cfRule>
    <cfRule type="cellIs" dxfId="92" priority="134" operator="between">
      <formula>"D - Rejected "</formula>
      <formula>"D - Rejected "</formula>
    </cfRule>
    <cfRule type="cellIs" dxfId="91" priority="135" operator="between">
      <formula>"CANCELLED"</formula>
      <formula>"CANCELLED"</formula>
    </cfRule>
    <cfRule type="cellIs" dxfId="90" priority="137" operator="between">
      <formula>"C - Revise and Resubmit - Do Not Proceed"</formula>
      <formula>"C - Revise and Resubmit - Do Not Proceed"</formula>
    </cfRule>
    <cfRule type="cellIs" dxfId="89" priority="138" stopIfTrue="1" operator="between">
      <formula>"B - Incorporate Comments - Proceed "</formula>
      <formula>"B - Incorporate Comments - Proceed "</formula>
    </cfRule>
  </conditionalFormatting>
  <conditionalFormatting sqref="P12:P13">
    <cfRule type="cellIs" dxfId="88" priority="9" stopIfTrue="1" operator="equal">
      <formula>"A - Work May Proceed"</formula>
    </cfRule>
  </conditionalFormatting>
  <conditionalFormatting sqref="W11">
    <cfRule type="cellIs" dxfId="87" priority="109" operator="equal">
      <formula>"B - Incorporate Comments - Proceed "</formula>
    </cfRule>
    <cfRule type="cellIs" dxfId="86" priority="110" operator="equal">
      <formula>"E - Review Not Required - Proceed"</formula>
    </cfRule>
    <cfRule type="cellIs" dxfId="85" priority="111" operator="between">
      <formula>"E - Review not Required - Proceed"</formula>
      <formula>"E - Review not Required - Proceed"</formula>
    </cfRule>
    <cfRule type="cellIs" dxfId="84" priority="107" operator="equal">
      <formula>"B - Incorporate Comments - Proceed"</formula>
    </cfRule>
    <cfRule type="cellIs" dxfId="83" priority="108" operator="equal">
      <formula>"For Information"</formula>
    </cfRule>
    <cfRule type="cellIs" dxfId="82" priority="118" operator="between">
      <formula>"D - Rejected "</formula>
      <formula>"D - Rejected "</formula>
    </cfRule>
    <cfRule type="cellIs" dxfId="81" priority="122" stopIfTrue="1" operator="between">
      <formula>"B - Incorporate Comments - Proceed "</formula>
      <formula>"B - Incorporate Comments - Proceed "</formula>
    </cfRule>
    <cfRule type="cellIs" dxfId="80" priority="120" operator="between">
      <formula>"A - Work May Proceed"</formula>
      <formula>"A - Work May Proceed"</formula>
    </cfRule>
    <cfRule type="cellIs" dxfId="79" priority="119" operator="between">
      <formula>"CANCELLED"</formula>
      <formula>"CANCELLED"</formula>
    </cfRule>
    <cfRule type="cellIs" dxfId="78" priority="117" operator="between">
      <formula>"E - Review not Required - Proceed"</formula>
      <formula>"E - Review not Required - Proceed"</formula>
    </cfRule>
    <cfRule type="cellIs" dxfId="77" priority="121" operator="between">
      <formula>"C - Revise and Resubmit - Do Not Proceed"</formula>
      <formula>"C - Revise and Resubmit - Do Not Proceed"</formula>
    </cfRule>
    <cfRule type="cellIs" dxfId="76" priority="116" operator="between">
      <formula>"B - Incorporate Comments - Proceed"</formula>
      <formula>"B - Incorporate Comments - Proceed"</formula>
    </cfRule>
    <cfRule type="cellIs" dxfId="75" priority="115" operator="between">
      <formula>"A - Work May Proceed"</formula>
      <formula>"A - Work May Proceed"</formula>
    </cfRule>
    <cfRule type="cellIs" dxfId="74" priority="114" operator="between">
      <formula>"B - Incorporate Comments - Proceed"</formula>
      <formula>"B - Incorporate Comments - Proceed"</formula>
    </cfRule>
    <cfRule type="cellIs" dxfId="73" priority="113" operator="between">
      <formula>"C - Revise and Resubmit - Do Not Proceed"</formula>
      <formula>"C - Revise and Resubmit - Do Not Proceed"</formula>
    </cfRule>
    <cfRule type="cellIs" dxfId="72" priority="112" operator="between">
      <formula>"'D - Rejected "</formula>
      <formula>"'D - Rejected "</formula>
    </cfRule>
  </conditionalFormatting>
  <conditionalFormatting sqref="AD11">
    <cfRule type="cellIs" dxfId="71" priority="95" operator="between">
      <formula>"E - Review not Required - Proceed"</formula>
      <formula>"E - Review not Required - Proceed"</formula>
    </cfRule>
    <cfRule type="cellIs" dxfId="70" priority="96" operator="between">
      <formula>"'D - Rejected "</formula>
      <formula>"'D - Rejected "</formula>
    </cfRule>
    <cfRule type="cellIs" dxfId="69" priority="97" operator="between">
      <formula>"C - Revise and Resubmit - Do Not Proceed"</formula>
      <formula>"C - Revise and Resubmit - Do Not Proceed"</formula>
    </cfRule>
    <cfRule type="cellIs" dxfId="68" priority="100" operator="between">
      <formula>"B - Incorporate Comments - Proceed"</formula>
      <formula>"B - Incorporate Comments - Proceed"</formula>
    </cfRule>
    <cfRule type="cellIs" dxfId="67" priority="98" operator="between">
      <formula>"B - Incorporate Comments - Proceed"</formula>
      <formula>"B - Incorporate Comments - Proceed"</formula>
    </cfRule>
    <cfRule type="cellIs" dxfId="66" priority="101" operator="between">
      <formula>"E - Review not Required - Proceed"</formula>
      <formula>"E - Review not Required - Proceed"</formula>
    </cfRule>
    <cfRule type="cellIs" dxfId="65" priority="102" operator="between">
      <formula>"D - Rejected "</formula>
      <formula>"D - Rejected "</formula>
    </cfRule>
    <cfRule type="cellIs" dxfId="64" priority="103" operator="between">
      <formula>"CANCELLED"</formula>
      <formula>"CANCELLED"</formula>
    </cfRule>
    <cfRule type="cellIs" dxfId="63" priority="104" operator="between">
      <formula>"A - Work May Proceed"</formula>
      <formula>"A - Work May Proceed"</formula>
    </cfRule>
    <cfRule type="cellIs" dxfId="62" priority="105" operator="between">
      <formula>"C - Revise and Resubmit - Do Not Proceed"</formula>
      <formula>"C - Revise and Resubmit - Do Not Proceed"</formula>
    </cfRule>
    <cfRule type="cellIs" dxfId="61" priority="106" stopIfTrue="1" operator="between">
      <formula>"B - Incorporate Comments - Proceed "</formula>
      <formula>"B - Incorporate Comments - Proceed "</formula>
    </cfRule>
    <cfRule type="cellIs" dxfId="60" priority="92" operator="equal">
      <formula>"For Information"</formula>
    </cfRule>
    <cfRule type="cellIs" dxfId="59" priority="99" operator="between">
      <formula>"A - Work May Proceed"</formula>
      <formula>"A - Work May Proceed"</formula>
    </cfRule>
    <cfRule type="cellIs" dxfId="58" priority="91" operator="equal">
      <formula>"B - Incorporate Comments - Proceed"</formula>
    </cfRule>
    <cfRule type="cellIs" dxfId="57" priority="93" operator="equal">
      <formula>"B - Incorporate Comments - Proceed "</formula>
    </cfRule>
    <cfRule type="cellIs" dxfId="56" priority="94" operator="equal">
      <formula>"E - Review Not Required - Proceed"</formula>
    </cfRule>
  </conditionalFormatting>
  <conditionalFormatting sqref="AK11">
    <cfRule type="cellIs" dxfId="55" priority="82" operator="between">
      <formula>"B - Incorporate Comments - Proceed"</formula>
      <formula>"B - Incorporate Comments - Proceed"</formula>
    </cfRule>
    <cfRule type="cellIs" dxfId="54" priority="90" stopIfTrue="1" operator="between">
      <formula>"B - Incorporate Comments - Proceed "</formula>
      <formula>"B - Incorporate Comments - Proceed "</formula>
    </cfRule>
    <cfRule type="cellIs" dxfId="53" priority="87" operator="between">
      <formula>"CANCELLED"</formula>
      <formula>"CANCELLED"</formula>
    </cfRule>
    <cfRule type="cellIs" dxfId="52" priority="89" operator="between">
      <formula>"C - Revise and Resubmit - Do Not Proceed"</formula>
      <formula>"C - Revise and Resubmit - Do Not Proceed"</formula>
    </cfRule>
    <cfRule type="cellIs" dxfId="51" priority="88" operator="between">
      <formula>"A - Work May Proceed"</formula>
      <formula>"A - Work May Proceed"</formula>
    </cfRule>
    <cfRule type="cellIs" dxfId="50" priority="83" operator="between">
      <formula>"A - Work May Proceed"</formula>
      <formula>"A - Work May Proceed"</formula>
    </cfRule>
    <cfRule type="cellIs" dxfId="49" priority="84" operator="between">
      <formula>"B - Incorporate Comments - Proceed"</formula>
      <formula>"B - Incorporate Comments - Proceed"</formula>
    </cfRule>
    <cfRule type="cellIs" dxfId="48" priority="76" operator="equal">
      <formula>"For Information"</formula>
    </cfRule>
    <cfRule type="cellIs" dxfId="47" priority="85" operator="between">
      <formula>"E - Review not Required - Proceed"</formula>
      <formula>"E - Review not Required - Proceed"</formula>
    </cfRule>
    <cfRule type="cellIs" dxfId="46" priority="86" operator="between">
      <formula>"D - Rejected "</formula>
      <formula>"D - Rejected "</formula>
    </cfRule>
    <cfRule type="cellIs" dxfId="45" priority="80" operator="between">
      <formula>"'D - Rejected "</formula>
      <formula>"'D - Rejected "</formula>
    </cfRule>
    <cfRule type="cellIs" dxfId="44" priority="79" operator="between">
      <formula>"E - Review not Required - Proceed"</formula>
      <formula>"E - Review not Required - Proceed"</formula>
    </cfRule>
    <cfRule type="cellIs" dxfId="43" priority="78" operator="equal">
      <formula>"E - Review Not Required - Proceed"</formula>
    </cfRule>
    <cfRule type="cellIs" dxfId="42" priority="77" operator="equal">
      <formula>"B - Incorporate Comments - Proceed "</formula>
    </cfRule>
    <cfRule type="cellIs" dxfId="41" priority="75" operator="equal">
      <formula>"B - Incorporate Comments - Proceed"</formula>
    </cfRule>
    <cfRule type="cellIs" dxfId="40" priority="81" operator="between">
      <formula>"C - Revise and Resubmit - Do Not Proceed"</formula>
      <formula>"C - Revise and Resubmit - Do Not Proceed"</formula>
    </cfRule>
  </conditionalFormatting>
  <conditionalFormatting sqref="AR11">
    <cfRule type="cellIs" dxfId="39" priority="36" operator="equal">
      <formula>"B - Incorporate Comments - Proceed "</formula>
    </cfRule>
    <cfRule type="cellIs" dxfId="38" priority="38" operator="between">
      <formula>"E - Review not Required - Proceed"</formula>
      <formula>"E - Review not Required - Proceed"</formula>
    </cfRule>
    <cfRule type="cellIs" dxfId="37" priority="39" operator="between">
      <formula>"'D - Rejected "</formula>
      <formula>"'D - Rejected "</formula>
    </cfRule>
    <cfRule type="cellIs" dxfId="36" priority="41" operator="between">
      <formula>"B - Incorporate Comments - Proceed"</formula>
      <formula>"B - Incorporate Comments - Proceed"</formula>
    </cfRule>
    <cfRule type="cellIs" dxfId="35" priority="42" operator="between">
      <formula>"A - Work May Proceed"</formula>
      <formula>"A - Work May Proceed"</formula>
    </cfRule>
    <cfRule type="cellIs" dxfId="34" priority="43" operator="between">
      <formula>"B - Incorporate Comments - Proceed"</formula>
      <formula>"B - Incorporate Comments - Proceed"</formula>
    </cfRule>
    <cfRule type="cellIs" dxfId="33" priority="44" operator="between">
      <formula>"E - Review not Required - Proceed"</formula>
      <formula>"E - Review not Required - Proceed"</formula>
    </cfRule>
    <cfRule type="cellIs" dxfId="32" priority="45" operator="between">
      <formula>"D - Rejected "</formula>
      <formula>"D - Rejected "</formula>
    </cfRule>
    <cfRule type="cellIs" dxfId="31" priority="46" operator="between">
      <formula>"CANCELLED"</formula>
      <formula>"CANCELLED"</formula>
    </cfRule>
    <cfRule type="cellIs" dxfId="30" priority="47" operator="between">
      <formula>"A - Work May Proceed"</formula>
      <formula>"A - Work May Proceed"</formula>
    </cfRule>
    <cfRule type="cellIs" dxfId="29" priority="48" operator="between">
      <formula>"C - Revise and Resubmit - Do Not Proceed"</formula>
      <formula>"C - Revise and Resubmit - Do Not Proceed"</formula>
    </cfRule>
    <cfRule type="cellIs" dxfId="28" priority="49" stopIfTrue="1" operator="between">
      <formula>"B - Incorporate Comments - Proceed "</formula>
      <formula>"B - Incorporate Comments - Proceed "</formula>
    </cfRule>
    <cfRule type="cellIs" dxfId="27" priority="37" operator="equal">
      <formula>"E - Review Not Required - Proceed"</formula>
    </cfRule>
    <cfRule type="cellIs" dxfId="26" priority="30" operator="equal">
      <formula>"E - Review not Required - Proceed"</formula>
    </cfRule>
    <cfRule type="cellIs" dxfId="25" priority="31" operator="equal">
      <formula>"D - Rejected"</formula>
    </cfRule>
    <cfRule type="cellIs" dxfId="24" priority="32" operator="equal">
      <formula>"B - Incorporate Comments - Proceed"</formula>
    </cfRule>
    <cfRule type="cellIs" dxfId="23" priority="33" operator="equal">
      <formula>"C - Revise and Resubmit - Do Not Proceed"</formula>
    </cfRule>
    <cfRule type="cellIs" dxfId="22" priority="40" operator="between">
      <formula>"C - Revise and Resubmit - Do Not Proceed"</formula>
      <formula>"C - Revise and Resubmit - Do Not Proceed"</formula>
    </cfRule>
    <cfRule type="cellIs" dxfId="21" priority="34" operator="equal">
      <formula>"A - Work May Proceed"</formula>
    </cfRule>
    <cfRule type="cellIs" dxfId="20" priority="35" operator="equal">
      <formula>"For Information"</formula>
    </cfRule>
  </conditionalFormatting>
  <conditionalFormatting sqref="AY11">
    <cfRule type="cellIs" dxfId="19" priority="57" operator="equal">
      <formula>"E - Review Not Required - Proceed"</formula>
    </cfRule>
    <cfRule type="cellIs" dxfId="18" priority="50" operator="equal">
      <formula>"E - Review not Required - Proceed"</formula>
    </cfRule>
    <cfRule type="cellIs" dxfId="17" priority="56" operator="equal">
      <formula>"B - Incorporate Comments - Proceed "</formula>
    </cfRule>
    <cfRule type="cellIs" dxfId="16" priority="55" operator="equal">
      <formula>"For Information"</formula>
    </cfRule>
    <cfRule type="cellIs" dxfId="15" priority="52" operator="equal">
      <formula>"B - Incorporate Comments - Proceed"</formula>
    </cfRule>
    <cfRule type="cellIs" dxfId="14" priority="64" operator="between">
      <formula>"E - Review not Required - Proceed"</formula>
      <formula>"E - Review not Required - Proceed"</formula>
    </cfRule>
    <cfRule type="cellIs" dxfId="13" priority="54" operator="equal">
      <formula>"A - Work May Proceed"</formula>
    </cfRule>
    <cfRule type="cellIs" dxfId="12" priority="60" operator="between">
      <formula>"C - Revise and Resubmit - Do Not Proceed"</formula>
      <formula>"C - Revise and Resubmit - Do Not Proceed"</formula>
    </cfRule>
    <cfRule type="cellIs" dxfId="11" priority="51" operator="equal">
      <formula>"D - Rejected"</formula>
    </cfRule>
    <cfRule type="cellIs" dxfId="10" priority="59" operator="between">
      <formula>"'D - Rejected "</formula>
      <formula>"'D - Rejected "</formula>
    </cfRule>
    <cfRule type="cellIs" dxfId="9" priority="69" stopIfTrue="1" operator="between">
      <formula>"B - Incorporate Comments - Proceed "</formula>
      <formula>"B - Incorporate Comments - Proceed "</formula>
    </cfRule>
    <cfRule type="cellIs" dxfId="8" priority="68" operator="between">
      <formula>"C - Revise and Resubmit - Do Not Proceed"</formula>
      <formula>"C - Revise and Resubmit - Do Not Proceed"</formula>
    </cfRule>
    <cfRule type="cellIs" dxfId="7" priority="53" operator="equal">
      <formula>"C - Revise and Resubmit - Do Not Proceed"</formula>
    </cfRule>
    <cfRule type="cellIs" dxfId="6" priority="66" operator="between">
      <formula>"CANCELLED"</formula>
      <formula>"CANCELLED"</formula>
    </cfRule>
    <cfRule type="cellIs" dxfId="5" priority="65" operator="between">
      <formula>"D - Rejected "</formula>
      <formula>"D - Rejected "</formula>
    </cfRule>
    <cfRule type="cellIs" dxfId="4" priority="58" operator="between">
      <formula>"E - Review not Required - Proceed"</formula>
      <formula>"E - Review not Required - Proceed"</formula>
    </cfRule>
    <cfRule type="cellIs" dxfId="3" priority="63" operator="between">
      <formula>"B - Incorporate Comments - Proceed"</formula>
      <formula>"B - Incorporate Comments - Proceed"</formula>
    </cfRule>
    <cfRule type="cellIs" dxfId="2" priority="62" operator="between">
      <formula>"A - Work May Proceed"</formula>
      <formula>"A - Work May Proceed"</formula>
    </cfRule>
    <cfRule type="cellIs" dxfId="1" priority="61" operator="between">
      <formula>"B - Incorporate Comments - Proceed"</formula>
      <formula>"B - Incorporate Comments - Proceed"</formula>
    </cfRule>
    <cfRule type="cellIs" dxfId="0" priority="67" operator="between">
      <formula>"A - Work May Proceed"</formula>
      <formula>"A - Work May Proceed"</formula>
    </cfRule>
  </conditionalFormatting>
  <pageMargins left="0.7" right="0.7" top="0.75" bottom="0.75" header="0.3" footer="0.3"/>
  <pageSetup paperSize="8" scale="10" fitToHeight="0" orientation="portrait" r:id="rId1"/>
  <colBreaks count="1" manualBreakCount="1">
    <brk id="57" max="197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EA20D86148AC46AE7E8CEAC9730225" ma:contentTypeVersion="13" ma:contentTypeDescription="Create a new document." ma:contentTypeScope="" ma:versionID="ee1ac997211a3ee63ab49388b383ca31">
  <xsd:schema xmlns:xsd="http://www.w3.org/2001/XMLSchema" xmlns:xs="http://www.w3.org/2001/XMLSchema" xmlns:p="http://schemas.microsoft.com/office/2006/metadata/properties" xmlns:ns2="fc26be8a-62f7-4eda-9629-76a7e70f8016" xmlns:ns3="3e29111a-245a-4333-8aa2-8ec87a76dad5" targetNamespace="http://schemas.microsoft.com/office/2006/metadata/properties" ma:root="true" ma:fieldsID="5f46d7a0ea8861aba5d4ca142ef93d47" ns2:_="" ns3:_="">
    <xsd:import namespace="fc26be8a-62f7-4eda-9629-76a7e70f8016"/>
    <xsd:import namespace="3e29111a-245a-4333-8aa2-8ec87a76dad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6be8a-62f7-4eda-9629-76a7e70f80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9111a-245a-4333-8aa2-8ec87a76da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FBD9D2-8228-47AD-85AF-1CC5831F9270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3e29111a-245a-4333-8aa2-8ec87a76dad5"/>
    <ds:schemaRef ds:uri="fc26be8a-62f7-4eda-9629-76a7e70f8016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3ED980B-DE72-4951-A4FF-429E7B4915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C71D27-5B43-4BFA-96D9-4C0C6F5BB378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c26be8a-62f7-4eda-9629-76a7e70f8016"/>
    <ds:schemaRef ds:uri="3e29111a-245a-4333-8aa2-8ec87a76dad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40</vt:i4>
      </vt:variant>
    </vt:vector>
  </HeadingPairs>
  <TitlesOfParts>
    <vt:vector size="80" baseType="lpstr">
      <vt:lpstr>Overall - Summary </vt:lpstr>
      <vt:lpstr>CIV - MAT</vt:lpstr>
      <vt:lpstr>STR - MAT</vt:lpstr>
      <vt:lpstr>ELE - MAT</vt:lpstr>
      <vt:lpstr>ARC - MAT</vt:lpstr>
      <vt:lpstr>MEC- MAT</vt:lpstr>
      <vt:lpstr>SEC- MAT</vt:lpstr>
      <vt:lpstr>FPR - MAT</vt:lpstr>
      <vt:lpstr>ICT - MAT</vt:lpstr>
      <vt:lpstr>LAN - MAT</vt:lpstr>
      <vt:lpstr>ELV - MAT</vt:lpstr>
      <vt:lpstr>INF - MAT</vt:lpstr>
      <vt:lpstr>CIV - PQD</vt:lpstr>
      <vt:lpstr>ELE - PQD</vt:lpstr>
      <vt:lpstr>MEC - PQD</vt:lpstr>
      <vt:lpstr>STR - PQD</vt:lpstr>
      <vt:lpstr>ARC - PQD</vt:lpstr>
      <vt:lpstr>FLS - PQD</vt:lpstr>
      <vt:lpstr>SEC - PQD</vt:lpstr>
      <vt:lpstr>SUS - PQD</vt:lpstr>
      <vt:lpstr>CIV - MST</vt:lpstr>
      <vt:lpstr>STR - MST</vt:lpstr>
      <vt:lpstr>ARC- MST</vt:lpstr>
      <vt:lpstr>SRV - MST</vt:lpstr>
      <vt:lpstr>MEC - MST</vt:lpstr>
      <vt:lpstr>ELE - MST</vt:lpstr>
      <vt:lpstr>ELV - MST</vt:lpstr>
      <vt:lpstr>INF - MST </vt:lpstr>
      <vt:lpstr>GEO - MST</vt:lpstr>
      <vt:lpstr>CON - MST</vt:lpstr>
      <vt:lpstr>HSE - MST</vt:lpstr>
      <vt:lpstr>CIV - ITP</vt:lpstr>
      <vt:lpstr>STR - ITP</vt:lpstr>
      <vt:lpstr>ARC - ITP </vt:lpstr>
      <vt:lpstr>SRV - ITP</vt:lpstr>
      <vt:lpstr>INF - ITP</vt:lpstr>
      <vt:lpstr>MEC - ITP</vt:lpstr>
      <vt:lpstr>ELE - ITP</vt:lpstr>
      <vt:lpstr>ELV - ITP</vt:lpstr>
      <vt:lpstr>FAS - ITP</vt:lpstr>
      <vt:lpstr>'ARC - ITP '!Print_Area</vt:lpstr>
      <vt:lpstr>'ARC - MAT'!Print_Area</vt:lpstr>
      <vt:lpstr>'ARC - PQD'!Print_Area</vt:lpstr>
      <vt:lpstr>'ARC- MST'!Print_Area</vt:lpstr>
      <vt:lpstr>'CIV - ITP'!Print_Area</vt:lpstr>
      <vt:lpstr>'CIV - MAT'!Print_Area</vt:lpstr>
      <vt:lpstr>'CIV - MST'!Print_Area</vt:lpstr>
      <vt:lpstr>'CIV - PQD'!Print_Area</vt:lpstr>
      <vt:lpstr>'CON - MST'!Print_Area</vt:lpstr>
      <vt:lpstr>'ELE - ITP'!Print_Area</vt:lpstr>
      <vt:lpstr>'ELE - MAT'!Print_Area</vt:lpstr>
      <vt:lpstr>'ELE - MST'!Print_Area</vt:lpstr>
      <vt:lpstr>'ELE - PQD'!Print_Area</vt:lpstr>
      <vt:lpstr>'ELV - ITP'!Print_Area</vt:lpstr>
      <vt:lpstr>'ELV - MAT'!Print_Area</vt:lpstr>
      <vt:lpstr>'ELV - MST'!Print_Area</vt:lpstr>
      <vt:lpstr>'FAS - ITP'!Print_Area</vt:lpstr>
      <vt:lpstr>'FLS - PQD'!Print_Area</vt:lpstr>
      <vt:lpstr>'FPR - MAT'!Print_Area</vt:lpstr>
      <vt:lpstr>'GEO - MST'!Print_Area</vt:lpstr>
      <vt:lpstr>'HSE - MST'!Print_Area</vt:lpstr>
      <vt:lpstr>'ICT - MAT'!Print_Area</vt:lpstr>
      <vt:lpstr>'INF - ITP'!Print_Area</vt:lpstr>
      <vt:lpstr>'INF - MAT'!Print_Area</vt:lpstr>
      <vt:lpstr>'INF - MST '!Print_Area</vt:lpstr>
      <vt:lpstr>'LAN - MAT'!Print_Area</vt:lpstr>
      <vt:lpstr>'MEC - ITP'!Print_Area</vt:lpstr>
      <vt:lpstr>'MEC - MST'!Print_Area</vt:lpstr>
      <vt:lpstr>'MEC - PQD'!Print_Area</vt:lpstr>
      <vt:lpstr>'MEC- MAT'!Print_Area</vt:lpstr>
      <vt:lpstr>'Overall - Summary '!Print_Area</vt:lpstr>
      <vt:lpstr>'SEC - PQD'!Print_Area</vt:lpstr>
      <vt:lpstr>'SEC- MAT'!Print_Area</vt:lpstr>
      <vt:lpstr>'SRV - ITP'!Print_Area</vt:lpstr>
      <vt:lpstr>'SRV - MST'!Print_Area</vt:lpstr>
      <vt:lpstr>'STR - ITP'!Print_Area</vt:lpstr>
      <vt:lpstr>'STR - MAT'!Print_Area</vt:lpstr>
      <vt:lpstr>'STR - MST'!Print_Area</vt:lpstr>
      <vt:lpstr>'STR - PQD'!Print_Area</vt:lpstr>
      <vt:lpstr>'SUS - PQD'!Print_Area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Ashraf - DC (NEOM 01 &amp; 03)</dc:creator>
  <cp:keywords/>
  <dc:description/>
  <cp:lastModifiedBy>PCD</cp:lastModifiedBy>
  <cp:revision/>
  <cp:lastPrinted>2024-10-05T07:40:37Z</cp:lastPrinted>
  <dcterms:created xsi:type="dcterms:W3CDTF">2021-10-27T06:10:58Z</dcterms:created>
  <dcterms:modified xsi:type="dcterms:W3CDTF">2026-09-01T06:23:46Z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5b8ec0-5b88-48fe-a244-1c0a4e91a8dd_Enabled">
    <vt:lpwstr>true</vt:lpwstr>
  </property>
  <property fmtid="{D5CDD505-2E9C-101B-9397-08002B2CF9AE}" pid="3" name="MSIP_Label_de5b8ec0-5b88-48fe-a244-1c0a4e91a8dd_SetDate">
    <vt:lpwstr>2021-10-27T06:30:03Z</vt:lpwstr>
  </property>
  <property fmtid="{D5CDD505-2E9C-101B-9397-08002B2CF9AE}" pid="4" name="MSIP_Label_de5b8ec0-5b88-48fe-a244-1c0a4e91a8dd_Method">
    <vt:lpwstr>Privileged</vt:lpwstr>
  </property>
  <property fmtid="{D5CDD505-2E9C-101B-9397-08002B2CF9AE}" pid="5" name="MSIP_Label_de5b8ec0-5b88-48fe-a244-1c0a4e91a8dd_Name">
    <vt:lpwstr>Show Visible Markings_0</vt:lpwstr>
  </property>
  <property fmtid="{D5CDD505-2E9C-101B-9397-08002B2CF9AE}" pid="6" name="MSIP_Label_de5b8ec0-5b88-48fe-a244-1c0a4e91a8dd_SiteId">
    <vt:lpwstr>22d635a3-3930-4779-a82d-155e2d13b75e</vt:lpwstr>
  </property>
  <property fmtid="{D5CDD505-2E9C-101B-9397-08002B2CF9AE}" pid="7" name="MSIP_Label_de5b8ec0-5b88-48fe-a244-1c0a4e91a8dd_ActionId">
    <vt:lpwstr>2228d4a4-9979-403d-a132-cf0cb9f8de57</vt:lpwstr>
  </property>
  <property fmtid="{D5CDD505-2E9C-101B-9397-08002B2CF9AE}" pid="8" name="MSIP_Label_de5b8ec0-5b88-48fe-a244-1c0a4e91a8dd_ContentBits">
    <vt:lpwstr>2</vt:lpwstr>
  </property>
  <property fmtid="{D5CDD505-2E9C-101B-9397-08002B2CF9AE}" pid="9" name="ContentTypeId">
    <vt:lpwstr>0x010100A3EA20D86148AC46AE7E8CEAC9730225</vt:lpwstr>
  </property>
</Properties>
</file>