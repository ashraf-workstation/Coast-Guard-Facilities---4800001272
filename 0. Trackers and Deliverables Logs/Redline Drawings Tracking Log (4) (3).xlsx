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pivotTables/pivotTable1.xml" ContentType="application/vnd.openxmlformats-officedocument.spreadsheetml.pivotTable+xml"/>
  <Override PartName="/xl/drawings/drawing1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1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1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1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7.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E:\4800001272 - Coast Guard Facilities\0. Deliverables Master Log\other\"/>
    </mc:Choice>
  </mc:AlternateContent>
  <xr:revisionPtr revIDLastSave="0" documentId="13_ncr:1_{6CD46859-1B82-4743-98CF-7D874923AE2A}" xr6:coauthVersionLast="47" xr6:coauthVersionMax="47" xr10:uidLastSave="{00000000-0000-0000-0000-000000000000}"/>
  <bookViews>
    <workbookView xWindow="-120" yWindow="-120" windowWidth="29040" windowHeight="15720" tabRatio="627" activeTab="1" xr2:uid="{00000000-000D-0000-FFFF-FFFF00000000}"/>
  </bookViews>
  <sheets>
    <sheet name="ELE" sheetId="25" r:id="rId1"/>
    <sheet name="ELV" sheetId="24" r:id="rId2"/>
    <sheet name="FAS" sheetId="22" r:id="rId3"/>
    <sheet name="FPR" sheetId="28" r:id="rId4"/>
    <sheet name="ICT" sheetId="23" r:id="rId5"/>
    <sheet name="MEC" sheetId="27" r:id="rId6"/>
    <sheet name="MEP" sheetId="26" r:id="rId7"/>
    <sheet name="PHE" sheetId="29" r:id="rId8"/>
    <sheet name="PLD" sheetId="14" r:id="rId9"/>
    <sheet name="SEC " sheetId="21" r:id="rId10"/>
    <sheet name="STR" sheetId="1" r:id="rId11"/>
    <sheet name="Sheet3" sheetId="12" state="hidden" r:id="rId12"/>
    <sheet name="Status" sheetId="10" state="veryHidden" r:id="rId13"/>
    <sheet name="Sheet1" sheetId="9" state="veryHidden" r:id="rId14"/>
    <sheet name="Action" sheetId="4" state="hidden" r:id="rId15"/>
    <sheet name="Ref No." sheetId="8" state="hidden" r:id="rId16"/>
    <sheet name="Dis" sheetId="6" state="hidden" r:id="rId17"/>
    <sheet name="Timeline" sheetId="5" state="hidden" r:id="rId18"/>
  </sheets>
  <definedNames>
    <definedName name="_xlnm._FilterDatabase" localSheetId="0" hidden="1">ELE!$A$2:$R$49</definedName>
    <definedName name="_xlnm._FilterDatabase" localSheetId="1" hidden="1">ELV!$A$2:$R$29</definedName>
    <definedName name="_xlnm._FilterDatabase" localSheetId="2" hidden="1">FAS!$A$2:$R$28</definedName>
    <definedName name="_xlnm._FilterDatabase" localSheetId="3" hidden="1">FPR!$A$4:$Q$11</definedName>
    <definedName name="_xlnm._FilterDatabase" localSheetId="4" hidden="1">ICT!$A$2:$R$9</definedName>
    <definedName name="_xlnm._FilterDatabase" localSheetId="5" hidden="1">MEC!$A$4:$R$17</definedName>
    <definedName name="_xlnm._FilterDatabase" localSheetId="6" hidden="1">MEP!$A$4:$P$7</definedName>
    <definedName name="_xlnm._FilterDatabase" localSheetId="7" hidden="1">PHE!$A$4:$Q$22</definedName>
    <definedName name="_xlnm._FilterDatabase" localSheetId="8" hidden="1">PLD!$A$4:$Q$8</definedName>
    <definedName name="_xlnm._FilterDatabase" localSheetId="9" hidden="1">'SEC '!$A$2:$Q$27</definedName>
    <definedName name="_xlnm._FilterDatabase" localSheetId="10" hidden="1">STR!$A$4:$R$21</definedName>
    <definedName name="_xlcn.WorksheetConnection_RFIA7Q2044" hidden="1">STR!$A$4:$N$21</definedName>
    <definedName name="ECH">Sheet1!$AB$1</definedName>
    <definedName name="OLE_LINK2" localSheetId="0">ELE!#REF!</definedName>
    <definedName name="OLE_LINK2" localSheetId="1">ELV!#REF!</definedName>
    <definedName name="OLE_LINK2" localSheetId="2">FAS!#REF!</definedName>
    <definedName name="OLE_LINK2" localSheetId="3">FPR!#REF!</definedName>
    <definedName name="OLE_LINK2" localSheetId="4">ICT!#REF!</definedName>
    <definedName name="OLE_LINK2" localSheetId="5">MEC!#REF!</definedName>
    <definedName name="OLE_LINK2" localSheetId="6">MEP!#REF!</definedName>
    <definedName name="OLE_LINK2" localSheetId="7">PHE!#REF!</definedName>
    <definedName name="OLE_LINK2" localSheetId="8">PLD!#REF!</definedName>
    <definedName name="OLE_LINK2" localSheetId="9">'SEC '!#REF!</definedName>
    <definedName name="OLE_LINK2" localSheetId="10">STR!#REF!</definedName>
    <definedName name="_xlnm.Print_Area" localSheetId="0">ELE!$A$1:$R$20</definedName>
    <definedName name="_xlnm.Print_Area" localSheetId="1">ELV!$A$1:$R$24</definedName>
    <definedName name="_xlnm.Print_Area" localSheetId="2">FAS!$A$1:$R$24</definedName>
    <definedName name="_xlnm.Print_Area" localSheetId="3">FPR!$A$1:$Q$11</definedName>
    <definedName name="_xlnm.Print_Area" localSheetId="4">ICT!$A$1:$R$9</definedName>
    <definedName name="_xlnm.Print_Area" localSheetId="5">MEC!$A$1:$R$17</definedName>
    <definedName name="_xlnm.Print_Area" localSheetId="6">MEP!$A$1:$P$7</definedName>
    <definedName name="_xlnm.Print_Area" localSheetId="7">PHE!$A$1:$Q$22</definedName>
    <definedName name="_xlnm.Print_Area" localSheetId="8">PLD!$A$1:$Q$8</definedName>
    <definedName name="_xlnm.Print_Area" localSheetId="9">'SEC '!$A$1:$Q$27</definedName>
    <definedName name="_xlnm.Print_Area" localSheetId="10">STR!$A$1:$R$21</definedName>
    <definedName name="_xlnm.Print_Titles" localSheetId="0">ELE!$1:$2</definedName>
    <definedName name="_xlnm.Print_Titles" localSheetId="1">ELV!$1:$2</definedName>
    <definedName name="_xlnm.Print_Titles" localSheetId="2">FAS!$1:$2</definedName>
    <definedName name="_xlnm.Print_Titles" localSheetId="3">FPR!$1:$4</definedName>
    <definedName name="_xlnm.Print_Titles" localSheetId="4">ICT!$1:$2</definedName>
    <definedName name="_xlnm.Print_Titles" localSheetId="5">MEC!$1:$4</definedName>
    <definedName name="_xlnm.Print_Titles" localSheetId="6">MEP!$1:$4</definedName>
    <definedName name="_xlnm.Print_Titles" localSheetId="7">PHE!$1:$4</definedName>
    <definedName name="_xlnm.Print_Titles" localSheetId="8">PLD!$1:$4</definedName>
    <definedName name="_xlnm.Print_Titles" localSheetId="9">'SEC '!$1:$2</definedName>
    <definedName name="_xlnm.Print_Titles" localSheetId="10">STR!$1:$4</definedName>
    <definedName name="SAMY">Sheet1!$AA$1</definedName>
  </definedNames>
  <calcPr calcId="191029"/>
  <pivotCaches>
    <pivotCache cacheId="0" r:id="rId19"/>
    <pivotCache cacheId="1" r:id="rId20"/>
    <pivotCache cacheId="2" r:id="rId21"/>
    <pivotCache cacheId="3" r:id="rId22"/>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RFI!$A$7:$Q$2044"/>
        </x15:modelTables>
        <x15:extLst>
          <ext xmlns:x16="http://schemas.microsoft.com/office/spreadsheetml/2014/11/main" uri="{9835A34E-60A6-4A7C-AAB8-D5F71C897F49}">
            <x16:modelTimeGroupings>
              <x16:modelTimeGrouping tableName="Range" columnName="Sent Date" columnId="Sent Date">
                <x16:calculatedTimeColumn columnName="Sent Date (Year)" columnId="Sent Date (Year)" contentType="years" isSelected="1"/>
                <x16:calculatedTimeColumn columnName="Sent Date (Quarter)" columnId="Sent Date (Quarter)" contentType="quarters" isSelected="1"/>
                <x16:calculatedTimeColumn columnName="Sent Date (Month Index)" columnId="Sent Date (Month Index)" contentType="monthsindex" isSelected="1"/>
                <x16:calculatedTimeColumn columnName="Sent Date (Month)" columnId="Sent Date (Month)" contentType="months" isSelected="1"/>
              </x16:modelTimeGrouping>
              <x16:modelTimeGrouping tableName="Range" columnName="Received Date" columnId="Received Date">
                <x16:calculatedTimeColumn columnName="Received Date (Year)" columnId="Received Date (Year)" contentType="years" isSelected="1"/>
                <x16:calculatedTimeColumn columnName="Received Date (Quarter)" columnId="Received Date (Quarter)" contentType="quarters" isSelected="1"/>
                <x16:calculatedTimeColumn columnName="Received Date (Month Index)" columnId="Received Date (Month Index)" contentType="monthsindex" isSelected="1"/>
                <x16:calculatedTimeColumn columnName="Received Date (Month)" columnId="Received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11" i="10" l="1"/>
  <c r="P10" i="10"/>
  <c r="P9" i="10"/>
  <c r="K9" i="10"/>
  <c r="M9" i="10"/>
  <c r="K10" i="10"/>
  <c r="M10" i="10"/>
  <c r="K11"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RFI!$A$7:$Q$2044" type="102" refreshedVersion="7" minRefreshableVersion="5">
    <extLst>
      <ext xmlns:x15="http://schemas.microsoft.com/office/spreadsheetml/2010/11/main" uri="{DE250136-89BD-433C-8126-D09CA5730AF9}">
        <x15:connection id="Range" autoDelete="1">
          <x15:rangePr sourceName="_xlcn.WorksheetConnection_RFIA7Q2044"/>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Range].[Last Rev.].&amp;[L]}"/>
  </metadataStrings>
  <mdxMetadata count="1">
    <mdx n="0" f="s">
      <ms ns="1" c="0"/>
    </mdx>
  </mdxMetadata>
  <valueMetadata count="1">
    <bk>
      <rc t="1" v="0"/>
    </bk>
  </valueMetadata>
</metadata>
</file>

<file path=xl/sharedStrings.xml><?xml version="1.0" encoding="utf-8"?>
<sst xmlns="http://schemas.openxmlformats.org/spreadsheetml/2006/main" count="2988" uniqueCount="523">
  <si>
    <t>Electrical</t>
  </si>
  <si>
    <t>Replied</t>
  </si>
  <si>
    <t>Piping</t>
  </si>
  <si>
    <t>Fire Alarm</t>
  </si>
  <si>
    <t>Plumbing</t>
  </si>
  <si>
    <t>HVAC</t>
  </si>
  <si>
    <t>Fire Fighting</t>
  </si>
  <si>
    <t>Row Labels</t>
  </si>
  <si>
    <t>Grand Total</t>
  </si>
  <si>
    <t>L</t>
  </si>
  <si>
    <t>Low Current</t>
  </si>
  <si>
    <t>Count of Action</t>
  </si>
  <si>
    <t>2022</t>
  </si>
  <si>
    <t>2023</t>
  </si>
  <si>
    <t>Column Labels</t>
  </si>
  <si>
    <t>Count of Discipline</t>
  </si>
  <si>
    <t>Count of Received Date (Year)</t>
  </si>
  <si>
    <t>Last Rev.</t>
  </si>
  <si>
    <t>2024</t>
  </si>
  <si>
    <t>ELE</t>
  </si>
  <si>
    <t>Remarks</t>
  </si>
  <si>
    <t>file:///\\192.168.8.44\Oxagon T1\D.C\06. RFI\RFIs To NEOM\</t>
  </si>
  <si>
    <t>*</t>
  </si>
  <si>
    <t>Click</t>
  </si>
  <si>
    <t xml:space="preserve"> Response Status</t>
  </si>
  <si>
    <t>Waiting</t>
  </si>
  <si>
    <t>Under Review</t>
  </si>
  <si>
    <t>Bounced Back</t>
  </si>
  <si>
    <t>Yes</t>
  </si>
  <si>
    <t>Pending</t>
  </si>
  <si>
    <t>Closed</t>
  </si>
  <si>
    <t xml:space="preserve">Released to NEOM </t>
  </si>
  <si>
    <t>S. No.</t>
  </si>
  <si>
    <r>
      <t xml:space="preserve">Released to </t>
    </r>
    <r>
      <rPr>
        <sz val="8"/>
        <rFont val="Arial"/>
        <family val="2"/>
      </rPr>
      <t>NEOM 
[Yes/ Pending/ Closed]</t>
    </r>
  </si>
  <si>
    <t>Orignator</t>
  </si>
  <si>
    <t>Reference Document</t>
  </si>
  <si>
    <t>Change Description</t>
  </si>
  <si>
    <t>Prepared by</t>
  </si>
  <si>
    <t>Descipline</t>
  </si>
  <si>
    <t>Approved by
(NDT)</t>
  </si>
  <si>
    <t>Date</t>
  </si>
  <si>
    <t>Redline reference number</t>
  </si>
  <si>
    <t>Ahmed Al-Ruwaili</t>
  </si>
  <si>
    <t>Peter Munoz Jr.</t>
  </si>
  <si>
    <t>ICT</t>
  </si>
  <si>
    <t>Revision</t>
  </si>
  <si>
    <t>Location</t>
  </si>
  <si>
    <t>Reviewed by
(Alfahd)</t>
  </si>
  <si>
    <t>Al Fahd</t>
  </si>
  <si>
    <t>FHD-ELE-RLD-0001</t>
  </si>
  <si>
    <t>FHD-ELE-RLD-0002</t>
  </si>
  <si>
    <t>FHD-ELE-RLD-0003</t>
  </si>
  <si>
    <t>FHD-ELE-RLD-0004</t>
  </si>
  <si>
    <t>FHD-ICT-RLD-0001</t>
  </si>
  <si>
    <t>FHD-ICT-RLD-0002</t>
  </si>
  <si>
    <t>FHD-ELE-RLD-0005</t>
  </si>
  <si>
    <t>FHD-ELE-RLD-0006</t>
  </si>
  <si>
    <t>FHD-ICT-RLD-0003</t>
  </si>
  <si>
    <t>40-310002-4800001272-FHD-ELV-SHD-100003</t>
  </si>
  <si>
    <t>40-100008-4800001272-FHD-STR-SHD-100110</t>
  </si>
  <si>
    <t>04</t>
  </si>
  <si>
    <t>Change of title as per Approved plumbing Drawings</t>
  </si>
  <si>
    <t xml:space="preserve">Ahmed hassan </t>
  </si>
  <si>
    <t>Magdy Sherif</t>
  </si>
  <si>
    <t>Rumolo Gaba</t>
  </si>
  <si>
    <t>Muhammed Adnan</t>
  </si>
  <si>
    <t>Open</t>
  </si>
  <si>
    <t>40-310002-4800001272-FHD-STR-SHD-500354</t>
  </si>
  <si>
    <t>01</t>
  </si>
  <si>
    <t>Ahmed Fatteh</t>
  </si>
  <si>
    <t xml:space="preserve">Re Arrangements Of  Stairs Step &amp; Landing </t>
  </si>
  <si>
    <t>Stair 03</t>
  </si>
  <si>
    <t xml:space="preserve">Check Valve &amp; Flow meter Valve </t>
  </si>
  <si>
    <t>RLD-MEC-00001</t>
  </si>
  <si>
    <t>RLD-MEC-00002</t>
  </si>
  <si>
    <t>MEC</t>
  </si>
  <si>
    <t>PHE</t>
  </si>
  <si>
    <t>PLD</t>
  </si>
  <si>
    <t>Abdurehman Albalawi</t>
  </si>
  <si>
    <t>Muhammad Salama</t>
  </si>
  <si>
    <t>RLD-PHE-00003</t>
  </si>
  <si>
    <t>RLD-PHE-00001</t>
  </si>
  <si>
    <t>RLD-PHE-00002</t>
  </si>
  <si>
    <t>RLD-PHE-00004</t>
  </si>
  <si>
    <t>RLD-PHE-00005</t>
  </si>
  <si>
    <t>RLD-PHE-00006</t>
  </si>
  <si>
    <t>RLD-PHE-00007</t>
  </si>
  <si>
    <t>RLD-PHE-00008</t>
  </si>
  <si>
    <t>RLD-PHE-00009</t>
  </si>
  <si>
    <t>RLD-PHE-00010</t>
  </si>
  <si>
    <t>RLD-PHE-00011</t>
  </si>
  <si>
    <t>RLD-PHE-00012</t>
  </si>
  <si>
    <t>RLD-PHE-00013</t>
  </si>
  <si>
    <t>RLD-FRP-00001</t>
  </si>
  <si>
    <t>RLD-PLD-00001</t>
  </si>
  <si>
    <t>RLD-PLD-00002</t>
  </si>
  <si>
    <t>minor modification of pipes sleeves 
1-vent size 80mm so that puddle flange used as sleeves should be 110mm 
2-level instruments, pipe sleeves 80mm   is suitable for it's size</t>
  </si>
  <si>
    <t>Fire water tank CG Main Building</t>
  </si>
  <si>
    <t xml:space="preserve">Amro Ellaithy </t>
  </si>
  <si>
    <t xml:space="preserve">1-New location of P-Trap as per Site Condition to adjust the level of Pipe to avoid any interlocking with storm pipe.
2-  Added pipe Under SOG for Vent  50mm
3- added Vent Riser Come from Floor drain main line under SOG 
</t>
  </si>
  <si>
    <t>Ground floor CG Main Building</t>
  </si>
  <si>
    <t>17-01-2026</t>
  </si>
  <si>
    <t>RLD-FRP-00002</t>
  </si>
  <si>
    <t>27-01-2026</t>
  </si>
  <si>
    <t>1-All vent pipes =  50mm
2-The new location for vent riser for FD come from below to be connected at High level.
3-as per site condition each floor drain has separated vent riser due to clash between main line for vent and SOG.
4-New location of FD vent Riser comes from below SOG as per site condition.To be connected with High level vent pipe to Above.</t>
  </si>
  <si>
    <t>Mezzanine floor CG Main Building</t>
  </si>
  <si>
    <t xml:space="preserve">1-Waste Pipe and Soil Pipe all Changes in BOP and location as per site condition.
2-All Dimention and BoP as per site Condition.All vent Pipe are slopped To High level.
</t>
  </si>
  <si>
    <t>07-01-02026</t>
  </si>
  <si>
    <t>27-10-2025</t>
  </si>
  <si>
    <t>ahmed elsaka</t>
  </si>
  <si>
    <t>minor modification: for clearing clash between fire line and Elec Cubis line in this Area
we change the location of this elbow from point ① to point ② mentioned in drawing with same level and size</t>
  </si>
  <si>
    <t>Fire water network Coast Guard Area</t>
  </si>
  <si>
    <t>1-50mm Waste Pipe Riser for water Heater drain Connected with wb drain pipe inside wall as per site condition.
2-Connection point with Trench drain.
50mm Riser for water heater drain connected to Trench drain as per site condition.</t>
  </si>
  <si>
    <t>This distance was 485 mm changed to 230 mm as per site condition because this duct is too tight to make supports with the old dimention</t>
  </si>
  <si>
    <t>New location of Vent Riser to Above
new location of vent Riser to Above</t>
  </si>
  <si>
    <t>1-distance between the WP and SP is 540mm as per site condition to match with Mezzanine Slab opens.
2-distance between WP and SP Risers is 390 mm as per Site Condition</t>
  </si>
  <si>
    <t>ground floor CG Main Building</t>
  </si>
  <si>
    <t xml:space="preserve">Added water heater drain pipe as per site condition </t>
  </si>
  <si>
    <t>New BOP and dimentions as per site Condition to avoid clashes with electrical pipes.</t>
  </si>
  <si>
    <t>Hot water Pipe New location
Cold Water Pipe New Location
This change as per site condition to avoid clash with electrical pipes in wall.</t>
  </si>
  <si>
    <t>2-as per manufacturing Condition The distance between Cold and Hot pipe should be 120mm So we make 2  elbow for each Pipe to adjust this dimention.</t>
  </si>
  <si>
    <t xml:space="preserve">For PLB PIPES inside The wall We Install 
 elbow   To adjust the dimention to be 85 mm as Per manufacturing Condition.
</t>
  </si>
  <si>
    <t>RLD-PLD-00003</t>
  </si>
  <si>
    <t>27-01-2027</t>
  </si>
  <si>
    <t>All vent pipes =  50 mm
The new location for vent Riser for FD come from below to be connected at High level.
as per site condition each floor drain has separated vent Riser due to clash between main line for vent and SOG.</t>
  </si>
  <si>
    <t>New location of AC Drain Riser T/A To Connected with High level pipes of FCU's.
This change as per site condition to match with under S.O.G pipe.</t>
  </si>
  <si>
    <t>40-310002-4800001272-FHD-PHE-SHD-1000102</t>
  </si>
  <si>
    <t>Two vent Riser Connected together at one Riser as Per site condition.</t>
  </si>
  <si>
    <t>RLD-PLD-00004</t>
  </si>
  <si>
    <t>Changed length of pipes as per site condition</t>
  </si>
  <si>
    <t>29-04-2026</t>
  </si>
  <si>
    <t>New location of Ac drain pipe Come from below SOG
Then it will be Connected with High level pipe For FCU Drain.</t>
  </si>
  <si>
    <t>Change in location of drop &amp;  Bottom of Pipe to avoid Clash with fire Pipe.</t>
  </si>
  <si>
    <t>28-04-2026</t>
  </si>
  <si>
    <t>changed SCH of pipes for chilled water system</t>
  </si>
  <si>
    <t>Chilled water network CG</t>
  </si>
  <si>
    <t>40-310002-4800001272-FHD-MEP-SHD-100030</t>
  </si>
  <si>
    <t>RLD-MEP-00001</t>
  </si>
  <si>
    <t>MEP</t>
  </si>
  <si>
    <t>28-04-2027</t>
  </si>
  <si>
    <t xml:space="preserve">Changed location of pipes due to clashing as per site condition </t>
  </si>
  <si>
    <t>RLD-FRP-00003</t>
  </si>
  <si>
    <t>RLD-PHE-00014</t>
  </si>
  <si>
    <t xml:space="preserve">New location for vent and waste pipes as per site condtion </t>
  </si>
  <si>
    <t>28-04-2028</t>
  </si>
  <si>
    <t>RLD-FRP-00004</t>
  </si>
  <si>
    <t>40-310002-4800001272-FHD-MEC-SHD-100106</t>
  </si>
  <si>
    <t>RLD-MEC-00003</t>
  </si>
  <si>
    <t>New bottom of Duct as per site Condition.</t>
  </si>
  <si>
    <t>03-310002-4200000074-CH2-MEC-DRG-600000</t>
  </si>
  <si>
    <t>40-310002-4800001272-FHD-FPR-ASB-100518</t>
  </si>
  <si>
    <t xml:space="preserve">	40-310002-4800001272-FHD-PHE-SHD-100003</t>
  </si>
  <si>
    <t>40-310002-4800001272-FHD-PHE-SHD-100002</t>
  </si>
  <si>
    <t>40-310002-4800001272-FHD-PHE-SHD-100009</t>
  </si>
  <si>
    <t>40-100008-4800001272-FHD-FPR-SHD-100001</t>
  </si>
  <si>
    <t>40-310002-4800001272-FHD-PLD-SHD-100002</t>
  </si>
  <si>
    <t>40-310002-4800001272-FHD-PHE-SHD-100008</t>
  </si>
  <si>
    <t>40-310002-4800001272-FHD-PLD-SHD-100005</t>
  </si>
  <si>
    <t>Karim Elmansouri</t>
  </si>
  <si>
    <t>FHD-SEC-RLD-0001</t>
  </si>
  <si>
    <t>40-310002-4800001272-FHD-SEC-SHD-100002</t>
  </si>
  <si>
    <t>MB</t>
  </si>
  <si>
    <t>Clarity missing dimensions, levels and match with IDN Drawing.</t>
  </si>
  <si>
    <t>SEC</t>
  </si>
  <si>
    <t xml:space="preserve">Eng. Eslam </t>
  </si>
  <si>
    <t>SHIRAZ Ahmad</t>
  </si>
  <si>
    <t>FHD-SEC-RLD-0002</t>
  </si>
  <si>
    <t>40-310002-4800001272-FHD-ELE-SEC-100101</t>
  </si>
  <si>
    <t>Due to site condition because ventilation pipe in the same place as per attached photo</t>
  </si>
  <si>
    <t>Muhammad Naeem/Eng. Kareem</t>
  </si>
  <si>
    <t>FHD-SEC-RLD-0003</t>
  </si>
  <si>
    <t>40-310002-4800001272-FHD-SEC-SHD-100101</t>
  </si>
  <si>
    <t>Mohammed Sameer</t>
  </si>
  <si>
    <t>FHD-SEC-RLD-0004</t>
  </si>
  <si>
    <t>(Facade  SEC system)
Clarity missed dimensions, levels and match with IDN</t>
  </si>
  <si>
    <t>-</t>
  </si>
  <si>
    <t>FHD-SEC-RLD-0005</t>
  </si>
  <si>
    <t>FHD-SEC-RLD-0006</t>
  </si>
  <si>
    <t>40-310002-4800001272-FHD-SEC-SHD-100003</t>
  </si>
  <si>
    <t>(Facade axe 8 AF for lighting &amp; SEC system)
Clarity missing dimensions, levels and match with IDN</t>
  </si>
  <si>
    <t>FHD-SEC-RLD-0007</t>
  </si>
  <si>
    <t>FHD-SEC-RLD-0008</t>
  </si>
  <si>
    <t>FHD-SEC-RLD-0009</t>
  </si>
  <si>
    <t>FHD-SEC-RLD-0010</t>
  </si>
  <si>
    <t>40-190019-4800001272-FHD-SEC-SHD-100000</t>
  </si>
  <si>
    <t>Security Gate 02</t>
  </si>
  <si>
    <t xml:space="preserve">
Clarity missing dimensions, levels and match with IDN</t>
  </si>
  <si>
    <t>FHD-SEC-RLD-0011</t>
  </si>
  <si>
    <t>40-100008-4800001272-FHD-ICT-SHD-100000</t>
  </si>
  <si>
    <t>INFRA</t>
  </si>
  <si>
    <t>Clarity missing dimensions, levels and match with Shop Drawing.</t>
  </si>
  <si>
    <t xml:space="preserve">Changed Area as per survey report </t>
  </si>
  <si>
    <t>FHD-FAS-RLD-0001</t>
  </si>
  <si>
    <t>40-190019-4800001272-FHD-FAS-SHD-100001-01</t>
  </si>
  <si>
    <t>FHD-FAS-RLD-0002</t>
  </si>
  <si>
    <t>FHD-FAS-RLD-0003</t>
  </si>
  <si>
    <t>40-310002-4800001272-FHD-FAS-SHD-100002-01</t>
  </si>
  <si>
    <t>FHD-FAS-RLD-0004</t>
  </si>
  <si>
    <t>40-310002-4800001272-FHD-FAS-SHD-100005</t>
  </si>
  <si>
    <t>(UPS Room M00-009 for FAS)
Clarity missing dimensions, levels and match with IDN</t>
  </si>
  <si>
    <t>FAS</t>
  </si>
  <si>
    <t>FHD-FAS-RLD-0005</t>
  </si>
  <si>
    <t>40-310002-4800001272-FHD-FAS-SHD-100003</t>
  </si>
  <si>
    <t>(Facade  FAS system)
Clarity missed dimensions, levels and match with IDN</t>
  </si>
  <si>
    <t>FHD-FAS-RLD-0006</t>
  </si>
  <si>
    <t>Pull boxes added</t>
  </si>
  <si>
    <t>FHD-FAS-RLD-0007</t>
  </si>
  <si>
    <t>40-310002-4800001272-FHD-FAS-SHD-100002</t>
  </si>
  <si>
    <t>FHD-FAS-RLD-0008</t>
  </si>
  <si>
    <t>FHD-FAS-RLD-0009</t>
  </si>
  <si>
    <t>40-190019-4800001272-FHD-FAS-SHD-100001</t>
  </si>
  <si>
    <t>FHD-ELV-RLD-0001</t>
  </si>
  <si>
    <t>ELV</t>
  </si>
  <si>
    <t>FHD-ELV-RLD-0002</t>
  </si>
  <si>
    <t>FHD-ELV-RLD-0003</t>
  </si>
  <si>
    <t>40-310002-4800001272-FHD-ELV-SHD-100005</t>
  </si>
  <si>
    <t>FHD-ELV-RLD-0004</t>
  </si>
  <si>
    <t>Clarity missing dimensions, levels and match with IDN</t>
  </si>
  <si>
    <t>FHD-ELV-RLD-0005</t>
  </si>
  <si>
    <t>40-310002-4800001272-FHD-ELV-SHD-100017</t>
  </si>
  <si>
    <t>(UPS Room M00-009 for BMS)
Clarity missing dimensions, levels and match with IDN</t>
  </si>
  <si>
    <t>FHD-ELV-RLD-0006</t>
  </si>
  <si>
    <t>FHD-ELV-RLD-0007</t>
  </si>
  <si>
    <t>(Outdoor staff toilets G00-065 BMS)
Clarity missing dimensions, levels and match with IDN</t>
  </si>
  <si>
    <t>FHD-ELV-RLD-0008</t>
  </si>
  <si>
    <t>40-190019-4800001272-FHD-ELV-SHD-100002</t>
  </si>
  <si>
    <t>40-100008-4800001272-FHD-ELE-SHD-100001</t>
  </si>
  <si>
    <t>40-310002-4800001272-FHD-ELE-SHD-100109</t>
  </si>
  <si>
    <t>40-190019-4800001272-FHD-ELE-SHD-100003</t>
  </si>
  <si>
    <t>40-310002-4800001272-FHD-ELE-SHD-100205</t>
  </si>
  <si>
    <t>FHD-ELE-RLD-0007</t>
  </si>
  <si>
    <t>FHD-ELE-RLD-0008</t>
  </si>
  <si>
    <t>FHD-ELE-RLD-0009</t>
  </si>
  <si>
    <t>FHD-ELE-RLD-0010</t>
  </si>
  <si>
    <t>FHD-ELE-RLD-0011</t>
  </si>
  <si>
    <t>FHD-ELE-RLD-0012</t>
  </si>
  <si>
    <t>40-310002-4800001272-FHD-ELE-SHD-100108</t>
  </si>
  <si>
    <t>Coordination between boxes drived to shifting the box add the distance become 93mm</t>
  </si>
  <si>
    <t>Muhammad Naeem</t>
  </si>
  <si>
    <t>FHD-ELE-RLD-0013</t>
  </si>
  <si>
    <t>(Battery Room M00-033 &amp; UPS Room M00-009 for lighting)
Clarity missing dimensions, levels and match with IDN</t>
  </si>
  <si>
    <t>FHD-ELE-RLD-0014</t>
  </si>
  <si>
    <t>FHD-ELE-RLD-0015</t>
  </si>
  <si>
    <t>40-310002-4800001272-FHD-ELE-SHD-100208</t>
  </si>
  <si>
    <t>For all 1, 2, 3, 4, 5 changed due to furniture coordination 6 added socket (outlet) for hand drier @ 1300mm from F.F.L</t>
  </si>
  <si>
    <t>FHD-ELE-RLD-0016</t>
  </si>
  <si>
    <t>(Battery Room M00-033 &amp; UPS Room M00-009 for power)
Clarity missing dimensions, levels and match with IDN</t>
  </si>
  <si>
    <t>FHD-ELE-RLD-0017</t>
  </si>
  <si>
    <t>FHD-ELE-RLD-0018</t>
  </si>
  <si>
    <t>40-310002-4800001272-FHD-ELE-SHD-100206</t>
  </si>
  <si>
    <t>(Outdoor staff toilets G00-065  G-78 POWER)
Clarity missing dimensions, levels and match with IDN</t>
  </si>
  <si>
    <t>FHD-ELE-RLD-0019</t>
  </si>
  <si>
    <t>40-310002-4800001272-FHD-ELE-SHD-100106</t>
  </si>
  <si>
    <t>(Outdoor staff toilets G00-065 LIGHTING)
Clarity missing dimensions, levels and match with IDN</t>
  </si>
  <si>
    <t>FHD-ELE-RLD-0020</t>
  </si>
  <si>
    <t>(Façade Lighting system)
Clarity missing dimensions, levels and match with IDN</t>
  </si>
  <si>
    <t>FHD-ELE-RLD-0021</t>
  </si>
  <si>
    <t>40-310002-4800001272-FHD-ELE-SHD-100105</t>
  </si>
  <si>
    <t>FHD-ELE-RLD-0022</t>
  </si>
  <si>
    <t>FHD-ELE-RLD-0023</t>
  </si>
  <si>
    <t>FHD-ELE-RLD-0024</t>
  </si>
  <si>
    <t>(Façade Power)
Clarity missing dimensions, levels and match with IDN</t>
  </si>
  <si>
    <t>FHD-ELE-RLD-0025</t>
  </si>
  <si>
    <t>40-190019-4800001272-FHD-ELE-SHD-100001</t>
  </si>
  <si>
    <t>FHD-ELE-RLD-0026</t>
  </si>
  <si>
    <t>40-190019-4800001272-FHD-ELE-SHD-100002</t>
  </si>
  <si>
    <t>40-310002-4800001272-FHD-SEC-SHD-100019</t>
  </si>
  <si>
    <t>FHD-SEC-RLD-0013</t>
  </si>
  <si>
    <t>FHD-SEC-RLD-0012</t>
  </si>
  <si>
    <t>rejected due to unapproved shd dwg</t>
  </si>
  <si>
    <t>façade area</t>
  </si>
  <si>
    <t>40-310002-4800001272-FHD-SEC-SHD-100003
40-310002-4800001272-FHD-SEC-SHD-100105</t>
  </si>
  <si>
    <t>40-310002-4800001272-FHD-SEC-SHD-100002
40-310002-4800001272-FHD-SEC-SHD-100003</t>
  </si>
  <si>
    <t>40-310002-4800001272-FHD-SEC-SHD-100002
40-310002-4800001272-FHD-SEC-SHD-100003
40-310002-4800001272-FHD-SEC-SHD-100004</t>
  </si>
  <si>
    <t>Clarity missing dimensions, levels and match with Shop Drawing. In Battery Room M00-033 &amp; UPS Room M00-009 for SEC</t>
  </si>
  <si>
    <t>40-310002-4800001272-FHD-FAS-SHD-100201</t>
  </si>
  <si>
    <t>FHD-FAS-RLD-0015</t>
  </si>
  <si>
    <t>40-310002-4800001272-FHD-FAS-SHD-100008</t>
  </si>
  <si>
    <t>FHD-FAS-RLD-0014</t>
  </si>
  <si>
    <t>FHD-FAS-RLD-0013</t>
  </si>
  <si>
    <t>FHD-FAS-RLD-0012</t>
  </si>
  <si>
    <t>FHD-FAS-RLD-0011</t>
  </si>
  <si>
    <t>FHD-FAS-RLD-0010</t>
  </si>
  <si>
    <t>40-310002-4800001272-FHD-FAS-SHD-100002
40-310002-4800001272-FHD-FAS-SHD-100003</t>
  </si>
  <si>
    <t>MB(DETENTION AREA LOBBY GREOUND FLOOR PART 01)</t>
  </si>
  <si>
    <t>Security Gate 02(PARAPET ROOF FLOOR)</t>
  </si>
  <si>
    <t>1. location of the SVD-2 side changed to prevent the clashes between ICTwater pipes</t>
  </si>
  <si>
    <t>40-190019-4800001272-FHD-ELV-SHD-100008</t>
  </si>
  <si>
    <t>FHD-ELV-RLD-0014</t>
  </si>
  <si>
    <t>40-190019-4800001272-FHD-ELV-SHD-100020</t>
  </si>
  <si>
    <t>FHD-ELV-RLD-0013</t>
  </si>
  <si>
    <t>FHD-ELV-RLD-0012</t>
  </si>
  <si>
    <t>FHD-ELV-RLD-0011</t>
  </si>
  <si>
    <t>40-190019-4800001272-FHD-ELV-SHD-100001</t>
  </si>
  <si>
    <t>FHD-ELV-RLD-0010</t>
  </si>
  <si>
    <t>FHD-ELV-RLD-0009</t>
  </si>
  <si>
    <t>(Battery Room M00-033 for BMS)
Clarity missing dimensions, levels and match with IDN</t>
  </si>
  <si>
    <t>40-310002-4800001272-FHD-ELE-SHD-100211</t>
  </si>
  <si>
    <t>FHD-ELE-RLD-0031</t>
  </si>
  <si>
    <t>40-310002-4800001272-FHD-ELE-SHD-100111</t>
  </si>
  <si>
    <t>FHD-ELE-RLD-0030</t>
  </si>
  <si>
    <t>FHD-ELE-RLD-0029</t>
  </si>
  <si>
    <t>FHD-ELE-RLD-0028</t>
  </si>
  <si>
    <t>FHD-ELE-RLD-0027</t>
  </si>
  <si>
    <t>Coordination to other trades</t>
  </si>
  <si>
    <t>40-310002-4800001272-FHD-ELE-SHD-100003
40-310002-4800001272-FHD-ELE-SHD-100105</t>
  </si>
  <si>
    <t>40-310002-4800001272-FHD-ELE-SHD-100105
40-310002-4800001272-FHD-ELE-SHD-100106</t>
  </si>
  <si>
    <t>48000001272/000_Construction of OXAGON Coast Guard Facilities
Redline Drawings Log-Electrical</t>
  </si>
  <si>
    <t>48000001272/000_Construction of OXAGON Coast Guard Facilities
Redline Drawings Log-Mechanical</t>
  </si>
  <si>
    <t>48000001272/000_Construction of OXAGON Coast Guard Facilities
Redline Drawings Log-SEC</t>
  </si>
  <si>
    <t>48000001272/000_Construction of OXAGON Coast Guard Facilities
Redline Drawings Log-FAS</t>
  </si>
  <si>
    <t>48000001272/000_Construction of OXAGON Coast Guard Facilities
Redline Drawings Log-ICT</t>
  </si>
  <si>
    <t>48000001272/000_Construction of OXAGON Coast Guard Facilities
Redline Drawings Log-ELV</t>
  </si>
  <si>
    <t>48000001272/000_Construction of OXAGON Coast Guard Facilities
Redline Drawings Log-STR</t>
  </si>
  <si>
    <t>`</t>
  </si>
  <si>
    <t>Status
 (Updated in SHD/ASB)</t>
  </si>
  <si>
    <t>FHD-FAS-RLD-0016</t>
  </si>
  <si>
    <t xml:space="preserve">
Clarity missing dimensions, levels and match with IDN or change location</t>
  </si>
  <si>
    <t>Eng. Kareem</t>
  </si>
  <si>
    <t>Eng. Abdullah</t>
  </si>
  <si>
    <t>FHD-FAS-RLD-0017</t>
  </si>
  <si>
    <t>FHD-FAS-RLD-0018</t>
  </si>
  <si>
    <t>40-310002-4800001272-FHD-FAS-SHD-100207_2</t>
  </si>
  <si>
    <t>40-310002-4800001272-FHD-ELV-SHD-100002</t>
  </si>
  <si>
    <t>FHD-ELV-RLD-0015</t>
  </si>
  <si>
    <t>40-310002-4800001272-FHD-FAS-SHD-100202</t>
  </si>
  <si>
    <t>FHD-FAS-RLD-0019</t>
  </si>
  <si>
    <t>FHD-ELE-RLD-0032</t>
  </si>
  <si>
    <t>FHD-ELE-RLD-0033</t>
  </si>
  <si>
    <t>FHD-SEC-RLD-0014</t>
  </si>
  <si>
    <t>FHD-FAS-RLD-0020</t>
  </si>
  <si>
    <t>40-310002-4800001272-FHD-FAS-SHD-100208</t>
  </si>
  <si>
    <t>40-310002-4800001272-FHD-ELV-SHD-100020</t>
  </si>
  <si>
    <t>FHD-ELV-RLD-0016</t>
  </si>
  <si>
    <t>FHD-ELE-RLD-0034</t>
  </si>
  <si>
    <t>FHD-ELV-RLD-0017</t>
  </si>
  <si>
    <t>40-310002-4800001272-FHD-ELV-SHD-100008</t>
  </si>
  <si>
    <t>FHD-ELE-RLD-0035</t>
  </si>
  <si>
    <t>FHD-ELE-RLD-0036</t>
  </si>
  <si>
    <t>FHD-ELV-RLD-0018</t>
  </si>
  <si>
    <t>40-310002-4800001272-FHD-ELV-SHD-100004</t>
  </si>
  <si>
    <t>FHD-SEC-RLD-0015</t>
  </si>
  <si>
    <t>40-310002-4800001272-FHD-SEC-SHD-100100</t>
  </si>
  <si>
    <t>FHD-FAS-RLD-0021</t>
  </si>
  <si>
    <t>FHD-SEC-RLD-0016</t>
  </si>
  <si>
    <t xml:space="preserve">NOT APPROVED DU TO SHD CANCELED </t>
  </si>
  <si>
    <t>infra</t>
  </si>
  <si>
    <t>FHD-SEC-RLD-0017</t>
  </si>
  <si>
    <t>40-310002-4800001272-FHD-SEC-SHD-100011</t>
  </si>
  <si>
    <t>FHD-ELE-RLD-0037</t>
  </si>
  <si>
    <t xml:space="preserve">
Clarity missing dimensions, levels and match with IDN or change location, Added pull boxes</t>
  </si>
  <si>
    <t>FHD-ELV-RLD-0019</t>
  </si>
  <si>
    <t>FHD-ELV-RLD-0020</t>
  </si>
  <si>
    <t>FHD-FAS-RLD-0022</t>
  </si>
  <si>
    <t>FHD-ELE-RLD-0038</t>
  </si>
  <si>
    <t xml:space="preserve">
Added pull boxes</t>
  </si>
  <si>
    <t>FHD-ELE-RLD-0040</t>
  </si>
  <si>
    <t>40-310002-4800001272-FHD-ELE-SHD-100317</t>
  </si>
  <si>
    <t xml:space="preserve">Location and rounting have been changed </t>
  </si>
  <si>
    <t>FHD-ELV-RLD-0021</t>
  </si>
  <si>
    <t>Eng. Hatim</t>
  </si>
  <si>
    <t>FHD-FAS-RLD-0023</t>
  </si>
  <si>
    <t>FHD-ELE-RLD-0041</t>
  </si>
  <si>
    <t xml:space="preserve">
Clarity missing dimensions, levels and match with IDN or change location.</t>
  </si>
  <si>
    <t>FHD-ELE-RLD-0042</t>
  </si>
  <si>
    <t>FHD-SEC-RLD-0018</t>
  </si>
  <si>
    <t>03-310002-4200000072-CH2-SEC-DRG-100011</t>
  </si>
  <si>
    <t>FHD-ELV-RLD-0022</t>
  </si>
  <si>
    <t>FHD-ELV-RLD-0023</t>
  </si>
  <si>
    <t>FHD-FAS-RLD-0024</t>
  </si>
  <si>
    <t>FHD-ELE-RLD-0043</t>
  </si>
  <si>
    <t>FHD-ELE-RLD-0039</t>
  </si>
  <si>
    <t>FHD-ELV-RLD-0024</t>
  </si>
  <si>
    <t>FHD-ELV-RLD-0025</t>
  </si>
  <si>
    <t>FHD-FAS-RLD-0025</t>
  </si>
  <si>
    <t>FHD-ELE-RLD-0044</t>
  </si>
  <si>
    <t>FHD-ELE-RLD-0045</t>
  </si>
  <si>
    <t>FHD-ELV-RLD-0026</t>
  </si>
  <si>
    <t>FHD-ELV-RLD-0027</t>
  </si>
  <si>
    <t>FHD-FAS-RLD-0026</t>
  </si>
  <si>
    <t>FHD-ELE-RLD-0046</t>
  </si>
  <si>
    <t>FHD-ELE-RLD-0047</t>
  </si>
  <si>
    <t>FHD-SEC-RLD-0019</t>
  </si>
  <si>
    <t>RLD Rev.</t>
  </si>
  <si>
    <t>40-310002-4800001272-FHD-ELV-SHD-100014</t>
  </si>
  <si>
    <t>STR</t>
  </si>
  <si>
    <t>FHD-RLD-STR-00001</t>
  </si>
  <si>
    <t>FHD-RLD-STR-00002</t>
  </si>
  <si>
    <t>40-310002-4800001272-FHD-STR-SHD-200200</t>
  </si>
  <si>
    <t>40-310002-4800001272-FHD-STR-SHD-200201</t>
  </si>
  <si>
    <t>40-310002-4800001272-FHD-STR-SHD-200208</t>
  </si>
  <si>
    <t>40-310002-4800001272-FHD-STR-SHD-200209</t>
  </si>
  <si>
    <t>40-310002-4800001272-FHD-STR-SHD-200224</t>
  </si>
  <si>
    <t>40-310002-4800001272-FHD-STR-SHD-200225</t>
  </si>
  <si>
    <t>40-310002-4800001272-FHD-STR-SHD-200220</t>
  </si>
  <si>
    <t>40-310002-4800001272-FHD-STR-SHD-200221</t>
  </si>
  <si>
    <t>40-310002-4800001272-FHD-STR-SHD-200100</t>
  </si>
  <si>
    <t>40-310002-4800001272-FHD-STR-SHD-200101</t>
  </si>
  <si>
    <t>40-310002-4800001272-FHD-STR-SHD-200212</t>
  </si>
  <si>
    <t>40-310002-4800001272-FHD-STR-SHD-200213</t>
  </si>
  <si>
    <t>40-310002-4800001272-FHD-STR-SHD-200001</t>
  </si>
  <si>
    <t>40-310002-4800001272-FHD-STR-SHD-200002</t>
  </si>
  <si>
    <t>FHD-RLD-STR-00003-1</t>
  </si>
  <si>
    <t>FHD-RLD-STR-00004-1</t>
  </si>
  <si>
    <t>FHD-RLD-STR-00005-1</t>
  </si>
  <si>
    <t>FHD-RLD-STR-00006-1</t>
  </si>
  <si>
    <t>FHD-RLD-STR-00007-1</t>
  </si>
  <si>
    <t>FHD-RLD-STR-00008-1</t>
  </si>
  <si>
    <t>FHD-RLD-STR-00009-1</t>
  </si>
  <si>
    <t>FHD-RLD-STR-00010-1</t>
  </si>
  <si>
    <t>FHD-RLD-STR-00011-1</t>
  </si>
  <si>
    <t>FHD-RLD-STR-00012-1</t>
  </si>
  <si>
    <t>FHD-RLD-STR-00013-1</t>
  </si>
  <si>
    <t>FHD-RLD-STR-00014-1</t>
  </si>
  <si>
    <t>FHD-RLD-STR-00015-1</t>
  </si>
  <si>
    <t>FHD-RLD-STR-00016-1</t>
  </si>
  <si>
    <t>Minor change in Rebar Dimension due to Revised Concrete Cover</t>
  </si>
  <si>
    <t>FHD-RLD-STR-00017-1</t>
  </si>
  <si>
    <t>FHD-RLD-PHE-00015-1</t>
  </si>
  <si>
    <t>FHD-RLD-MEC-00004-1</t>
  </si>
  <si>
    <t>40-310002-4800001272-FHD-STR-SHD-100157</t>
  </si>
  <si>
    <t>Minor changes in shifting of sleeve location for AC drain, added a new sleeve as per PHE DWG &amp; Extended mech opening by 15cm</t>
  </si>
  <si>
    <t>Eng. Karim</t>
  </si>
  <si>
    <t>Eng. Amro</t>
  </si>
  <si>
    <t>40-310002-4800001272-FHD-PHE-SHD-100011</t>
  </si>
  <si>
    <t>M.B</t>
  </si>
  <si>
    <t>Water heater drain</t>
  </si>
  <si>
    <t xml:space="preserve">Eng. Ahmed </t>
  </si>
  <si>
    <t>FHD-RLD-MEC-00005-1</t>
  </si>
  <si>
    <t>FHD-RLD-MEC-00006-1</t>
  </si>
  <si>
    <t>40-310002-4800001272-FHD-MEC-SHD-100105</t>
  </si>
  <si>
    <t>Minor changes in location of duct off-set as per site condition</t>
  </si>
  <si>
    <t>40-310002-4800001272-FHD-MEC-SHD-100102</t>
  </si>
  <si>
    <t>Minor changes in BoD of duct as per site condition</t>
  </si>
  <si>
    <t>40-100008-4800001272-FHD-MEC-SHD-100010</t>
  </si>
  <si>
    <t>Minor changes in HDPE pipe invert level by 10cm for Irrigation network (from point 1 to point 2)</t>
  </si>
  <si>
    <t>Ahmed Salama</t>
  </si>
  <si>
    <t>same changes will be applicable for shop drawings no: 40-310002-4800001272-FHD-STR-SHD-200001 TO 200088</t>
  </si>
  <si>
    <t>same changes will be applicable for shop drawings no: 40-310002-4800001272-FHD-STR-SHD-200100 TO 200163</t>
  </si>
  <si>
    <t>same changes will be applicable for shop drawings no: 40-310002-4800001272-FHD-STR-SHD-200101 TO 200163</t>
  </si>
  <si>
    <t>same changes will be applicable for shop drawings no: 40-310002-4800001272-FHD-STR-SHD-200200 TO 200205</t>
  </si>
  <si>
    <t>same changes will be applicable for shop drawings no: 40-310002-4800001272-FHD-STR-SHD-200201 TO 200205</t>
  </si>
  <si>
    <t>same changes will be applicable for shop drawings no: 40-310002-4800001272-FHD-STR-SHD-200212 TO 200217</t>
  </si>
  <si>
    <t>same changes will be applicable for shop drawings no: 40-310002-4800001272-FHD-STR-SHD-200213 TO 200217</t>
  </si>
  <si>
    <t>same changes will be applicable for shop drawings no: 40-310002-4800001272-FHD-STR-SHD-200220 TO 200223</t>
  </si>
  <si>
    <t>same changes will be applicable for shop drawings no: 40-310002-4800001272-FHD-STR-SHD-200221 TO 200223</t>
  </si>
  <si>
    <t>same changes will be applicable for shop drawings no: 40-310002-4800001272-FHD-STR-SHD-200224 TO 200241</t>
  </si>
  <si>
    <t>same changes will be applicable for shop drawings no: 40-310002-4800001272-FHD-STR-SHD-200225 TO 200241</t>
  </si>
  <si>
    <t>40-310002-4800001272-FHD-MEC-SHD-100111</t>
  </si>
  <si>
    <t>FHD-RLD-MEC-00004-2</t>
  </si>
  <si>
    <t>FHD-RLD-MEC-00007-1</t>
  </si>
  <si>
    <t>FHD-RLD-MEC-00005-2</t>
  </si>
  <si>
    <t>FHD-RLD-MEC-00008-1</t>
  </si>
  <si>
    <t>40-310002-4800001272-FHD-SEC-SHD-100103</t>
  </si>
  <si>
    <t>FHD-SEC-RLD-0020-1</t>
  </si>
  <si>
    <t>40-310002-4800001272-FHD-SEC-SHD-100001</t>
  </si>
  <si>
    <t>FHD-SEC-RLD-0021-1</t>
  </si>
  <si>
    <t>FHD-SEC-RLD-0020-2</t>
  </si>
  <si>
    <t>FHD-SEC-RLD-0020-3</t>
  </si>
  <si>
    <t>FHD-SEC-RLD-0020-4</t>
  </si>
  <si>
    <t>FHD-SEC-RLD-0020-5</t>
  </si>
  <si>
    <t>40-310002-4800001272-FHD-FPR-SHD-100205</t>
  </si>
  <si>
    <t>40-310002-4800001272-FHD-FPR-SHD-100206</t>
  </si>
  <si>
    <t>FHD-RLD-FPR-00005-1</t>
  </si>
  <si>
    <t>FHD-SEC-RLD-0021-2</t>
  </si>
  <si>
    <t>FHD-SEC-RLD-0021-3</t>
  </si>
  <si>
    <t>FHD-SEC-RLD-0022-1</t>
  </si>
  <si>
    <t>Minor changing in BOP as per site condition</t>
  </si>
  <si>
    <t>FPR</t>
  </si>
  <si>
    <t>Eng. Ahmed Elsaka</t>
  </si>
  <si>
    <t xml:space="preserve">Monor changes in BOE as per site conditions </t>
  </si>
  <si>
    <t>The submitted redline drawing is not at Code A</t>
  </si>
  <si>
    <t>FHD-ELE-RLD-0048-1</t>
  </si>
  <si>
    <t>conduit raceway routing revised due to the absence of the repuired sleeve opening at MH-L0034 and the availability of an additionl opening at MH-L0035</t>
  </si>
  <si>
    <t>The requested redline drawing for approval is not approved due to the installation height of the camera, and location shall be in accordance with the approved document no.40-190019-4800001272-FHD-SEC-RPT-000001.</t>
  </si>
  <si>
    <t>FHD-ELE-RLD-0048-2</t>
  </si>
  <si>
    <t>The raceway was shifted due to site condition and coordination requirment</t>
  </si>
  <si>
    <t>Approved</t>
  </si>
  <si>
    <t>APPROVED</t>
  </si>
  <si>
    <t>REJECTED Due to unapproved shd dwg</t>
  </si>
  <si>
    <t>RLD - STATUS</t>
  </si>
  <si>
    <t>NOT APPROVED</t>
  </si>
  <si>
    <t>The attached shop drawing has not yet been approved.</t>
  </si>
  <si>
    <t>PENDING</t>
  </si>
  <si>
    <t>RLD-STATUS</t>
  </si>
  <si>
    <t>GATE 02</t>
  </si>
  <si>
    <t>CLOSED</t>
  </si>
  <si>
    <t>FHD-ICT-RLD-0004-1</t>
  </si>
  <si>
    <t>Conduits Routing Changes as per site condition</t>
  </si>
  <si>
    <t>FHD-ELE-RLD-0048-3</t>
  </si>
  <si>
    <t>conduits routing changes as per site condition</t>
  </si>
  <si>
    <t>FHD-ELE-RLD-0049-1</t>
  </si>
  <si>
    <t>40-100008-4800001272-FHD-ELE-SHD-100002</t>
  </si>
  <si>
    <t>40-310002-4800001272-FHD-MEC-SHD-500004</t>
  </si>
  <si>
    <t>FHD-RLD-MEC-00009-1</t>
  </si>
  <si>
    <t>FHD-RLD-MEC-00010-1</t>
  </si>
  <si>
    <t>FHD-RLD-MEC-00011-1</t>
  </si>
  <si>
    <t>FHD-RLD-MEC-00012-1</t>
  </si>
  <si>
    <t>40-310002-4800001272-FHD-PHE-SHD-500001</t>
  </si>
  <si>
    <t>FHD-RLD-PHE-00016-1</t>
  </si>
  <si>
    <t>closed</t>
  </si>
  <si>
    <t>40-310002-4800001272-FHD-PLD-SHD-100001</t>
  </si>
  <si>
    <t>FHD-RLD-PLD-00005-1</t>
  </si>
  <si>
    <t>Gate 02</t>
  </si>
  <si>
    <t>FHD-FAS-RLD-0027-1</t>
  </si>
  <si>
    <t>As per site condition, added 5 Nos. 25mm to main building connections</t>
  </si>
  <si>
    <t>Eng. Islam</t>
  </si>
  <si>
    <t>40-310002-4800001272-FHD-ELE-SHD-100308</t>
  </si>
  <si>
    <t>FHD-ELE-RLD-0050-1</t>
  </si>
  <si>
    <t>Status
 (AS BUILT)</t>
  </si>
  <si>
    <t>OPEN</t>
  </si>
  <si>
    <t xml:space="preserve">Minor changes bracket support with slotted channel suppoet used at site instead of angle support </t>
  </si>
  <si>
    <t>still under review in Aconex. Redline only accepted for the code A shop drawing</t>
  </si>
  <si>
    <t>Rejected</t>
  </si>
  <si>
    <t>please confirm the conduit installation is it in embedded or exposed?</t>
  </si>
  <si>
    <t>FHD-ELE-RLD-0048-4</t>
  </si>
  <si>
    <t>As per site condition</t>
  </si>
  <si>
    <t>FHD-ICT-RLD-0004-2</t>
  </si>
  <si>
    <t>40-310002-4800001272-FHD-ELE-SHD-100411_04</t>
  </si>
  <si>
    <t>FHD-ELE-RLD-0051-1</t>
  </si>
  <si>
    <t>Due to site conditions and with reference to RFI No. FHD-RFI-000409.</t>
  </si>
  <si>
    <t>FHD-ICT-RLD-0004-3</t>
  </si>
  <si>
    <t>Changed from 2 Nos. of 2×2 ducts to 3×3 ducts as per site condition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</si>
</sst>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809]dd\ mmmm\ yyyy;@"/>
    <numFmt numFmtId="165" formatCode="[$-809]dd\ mmm\ yyyy;@"/>
  </numFmts>
  <fonts count="38" x14ac:knownFonts="1">
    <font>
      <sz val="11"/>
      <color theme="1"/>
      <name val="Calibri"/>
      <family val="2"/>
      <scheme val="minor"/>
    </font>
    <font>
      <sz val="11"/>
      <color theme="1"/>
      <name val="Arial"/>
      <family val="2"/>
    </font>
    <font>
      <sz val="10"/>
      <name val="Arial"/>
      <family val="2"/>
      <charset val="178"/>
    </font>
    <font>
      <u/>
      <sz val="11"/>
      <color theme="10"/>
      <name val="Arial"/>
      <family val="2"/>
    </font>
    <font>
      <sz val="8"/>
      <name val="Calibri"/>
      <family val="2"/>
      <scheme val="minor"/>
    </font>
    <font>
      <sz val="1"/>
      <color theme="0"/>
      <name val="Calibri"/>
      <family val="2"/>
      <scheme val="minor"/>
    </font>
    <font>
      <sz val="2"/>
      <color theme="1"/>
      <name val="Calibri"/>
      <family val="2"/>
      <scheme val="minor"/>
    </font>
    <font>
      <sz val="11"/>
      <color theme="0"/>
      <name val="Calibri"/>
      <family val="2"/>
      <scheme val="minor"/>
    </font>
    <font>
      <b/>
      <u/>
      <sz val="11"/>
      <color theme="1"/>
      <name val="Calibri"/>
      <family val="2"/>
      <scheme val="minor"/>
    </font>
    <font>
      <sz val="10"/>
      <color theme="1"/>
      <name val="Arial"/>
      <family val="2"/>
    </font>
    <font>
      <b/>
      <sz val="10"/>
      <name val="Arial"/>
      <family val="2"/>
    </font>
    <font>
      <sz val="10"/>
      <name val="Arial"/>
      <family val="2"/>
    </font>
    <font>
      <b/>
      <sz val="10"/>
      <color theme="1"/>
      <name val="Arial"/>
      <family val="2"/>
    </font>
    <font>
      <sz val="10"/>
      <color indexed="8"/>
      <name val="Arial"/>
      <family val="2"/>
    </font>
    <font>
      <b/>
      <sz val="8"/>
      <name val="Arial"/>
      <family val="2"/>
    </font>
    <font>
      <sz val="8"/>
      <name val="Arial"/>
      <family val="2"/>
    </font>
    <font>
      <u/>
      <sz val="11"/>
      <color theme="10"/>
      <name val="Calibri"/>
      <family val="2"/>
      <scheme val="minor"/>
    </font>
    <font>
      <sz val="11"/>
      <name val="Calibri"/>
      <family val="2"/>
      <scheme val="minor"/>
    </font>
    <font>
      <b/>
      <sz val="22"/>
      <name val="Arial"/>
      <family val="2"/>
    </font>
    <font>
      <b/>
      <sz val="16"/>
      <name val="Arial"/>
      <family val="2"/>
    </font>
    <font>
      <b/>
      <sz val="16"/>
      <color theme="1"/>
      <name val="Arial"/>
      <family val="2"/>
    </font>
    <font>
      <sz val="12"/>
      <color indexed="8"/>
      <name val="Arial"/>
      <family val="2"/>
    </font>
    <font>
      <sz val="12"/>
      <name val="Arial"/>
      <family val="2"/>
    </font>
    <font>
      <sz val="12"/>
      <color theme="1"/>
      <name val="Arial"/>
      <family val="2"/>
    </font>
    <font>
      <sz val="10"/>
      <name val="Calibri"/>
      <family val="2"/>
      <scheme val="minor"/>
    </font>
    <font>
      <sz val="12"/>
      <color rgb="FF000000"/>
      <name val="Aptos"/>
      <family val="2"/>
    </font>
    <font>
      <b/>
      <sz val="16"/>
      <color theme="9" tint="-0.499984740745262"/>
      <name val="Arial"/>
      <family val="2"/>
    </font>
    <font>
      <b/>
      <sz val="14"/>
      <color theme="9" tint="-0.499984740745262"/>
      <name val="Arial"/>
      <family val="2"/>
    </font>
    <font>
      <b/>
      <sz val="16"/>
      <color rgb="FFFF0000"/>
      <name val="Arial"/>
      <family val="2"/>
    </font>
    <font>
      <b/>
      <sz val="14"/>
      <color rgb="FFFF0000"/>
      <name val="Arial"/>
      <family val="2"/>
    </font>
    <font>
      <b/>
      <sz val="12"/>
      <name val="Arial"/>
      <family val="2"/>
    </font>
    <font>
      <b/>
      <sz val="16"/>
      <color rgb="FF7030A0"/>
      <name val="Arial"/>
      <family val="2"/>
    </font>
    <font>
      <b/>
      <sz val="12"/>
      <color indexed="8"/>
      <name val="Arial"/>
      <family val="2"/>
    </font>
    <font>
      <b/>
      <sz val="18"/>
      <name val="Arial"/>
      <family val="2"/>
    </font>
    <font>
      <sz val="11"/>
      <color indexed="8"/>
      <name val="Arial"/>
      <family val="2"/>
    </font>
    <font>
      <sz val="12"/>
      <color theme="0"/>
      <name val="Arial"/>
      <family val="2"/>
    </font>
    <font>
      <b/>
      <sz val="11"/>
      <color rgb="FFFF0000"/>
      <name val="Arial"/>
      <family val="2"/>
    </font>
    <font>
      <sz val="12"/>
      <color rgb="FFFF0000"/>
      <name val="Arial"/>
      <family val="2"/>
    </font>
  </fonts>
  <fills count="11">
    <fill>
      <patternFill patternType="none"/>
    </fill>
    <fill>
      <patternFill patternType="gray125"/>
    </fill>
    <fill>
      <patternFill patternType="solid">
        <fgColor theme="0"/>
        <bgColor indexed="64"/>
      </patternFill>
    </fill>
    <fill>
      <patternFill patternType="solid">
        <fgColor theme="4" tint="0.39997558519241921"/>
        <bgColor indexed="64"/>
      </patternFill>
    </fill>
    <fill>
      <patternFill patternType="solid">
        <fgColor rgb="FFFFFF00"/>
        <bgColor indexed="64"/>
      </patternFill>
    </fill>
    <fill>
      <patternFill patternType="solid">
        <fgColor rgb="FFFF0000"/>
        <bgColor indexed="64"/>
      </patternFill>
    </fill>
    <fill>
      <patternFill patternType="solid">
        <fgColor rgb="FF159B42"/>
        <bgColor indexed="64"/>
      </patternFill>
    </fill>
    <fill>
      <patternFill patternType="solid">
        <fgColor theme="0" tint="-0.249977111117893"/>
        <bgColor indexed="64"/>
      </patternFill>
    </fill>
    <fill>
      <patternFill patternType="solid">
        <fgColor rgb="FFFF66FF"/>
        <bgColor indexed="64"/>
      </patternFill>
    </fill>
    <fill>
      <patternFill patternType="solid">
        <fgColor rgb="FF92D050"/>
        <bgColor indexed="64"/>
      </patternFill>
    </fill>
    <fill>
      <patternFill patternType="solid">
        <fgColor theme="9" tint="-0.249977111117893"/>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auto="1"/>
      </left>
      <right style="thin">
        <color auto="1"/>
      </right>
      <top style="thin">
        <color auto="1"/>
      </top>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s>
  <cellStyleXfs count="5">
    <xf numFmtId="0" fontId="0" fillId="0" borderId="0"/>
    <xf numFmtId="0" fontId="1" fillId="0" borderId="0"/>
    <xf numFmtId="0" fontId="2" fillId="0" borderId="0"/>
    <xf numFmtId="0" fontId="3" fillId="0" borderId="0" applyNumberFormat="0" applyFill="0" applyBorder="0" applyAlignment="0" applyProtection="0"/>
    <xf numFmtId="0" fontId="16" fillId="0" borderId="0" applyNumberFormat="0" applyFill="0" applyBorder="0" applyAlignment="0" applyProtection="0"/>
  </cellStyleXfs>
  <cellXfs count="229">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5" fillId="0" borderId="0" xfId="0" applyFont="1"/>
    <xf numFmtId="0" fontId="6" fillId="0" borderId="0" xfId="0" applyFont="1"/>
    <xf numFmtId="0" fontId="0" fillId="0" borderId="7" xfId="0" applyBorder="1"/>
    <xf numFmtId="0" fontId="0" fillId="0" borderId="8" xfId="0" applyBorder="1"/>
    <xf numFmtId="0" fontId="0" fillId="4" borderId="11" xfId="0" applyFill="1" applyBorder="1"/>
    <xf numFmtId="0" fontId="0" fillId="4" borderId="12" xfId="0" applyFill="1" applyBorder="1"/>
    <xf numFmtId="0" fontId="0" fillId="4" borderId="9" xfId="0" applyFill="1" applyBorder="1"/>
    <xf numFmtId="0" fontId="0" fillId="4" borderId="10" xfId="0" applyFill="1" applyBorder="1"/>
    <xf numFmtId="0" fontId="0" fillId="8" borderId="11" xfId="0" applyFill="1" applyBorder="1"/>
    <xf numFmtId="0" fontId="0" fillId="8" borderId="12" xfId="0" applyFill="1" applyBorder="1"/>
    <xf numFmtId="0" fontId="7" fillId="5" borderId="9" xfId="0" applyFont="1" applyFill="1" applyBorder="1"/>
    <xf numFmtId="0" fontId="7" fillId="5" borderId="10" xfId="0" applyFont="1" applyFill="1" applyBorder="1"/>
    <xf numFmtId="0" fontId="7" fillId="6" borderId="7" xfId="0" applyFont="1" applyFill="1" applyBorder="1"/>
    <xf numFmtId="0" fontId="7" fillId="6" borderId="8" xfId="0" applyFont="1" applyFill="1" applyBorder="1"/>
    <xf numFmtId="0" fontId="0" fillId="7" borderId="7" xfId="0" applyFill="1" applyBorder="1"/>
    <xf numFmtId="0" fontId="0" fillId="7" borderId="8" xfId="0" applyFill="1" applyBorder="1"/>
    <xf numFmtId="0" fontId="7" fillId="6" borderId="11" xfId="0" applyFont="1" applyFill="1" applyBorder="1"/>
    <xf numFmtId="0" fontId="7" fillId="6" borderId="12" xfId="0" applyFont="1" applyFill="1" applyBorder="1"/>
    <xf numFmtId="0" fontId="8" fillId="0" borderId="13" xfId="0" applyFont="1" applyBorder="1" applyAlignment="1">
      <alignment vertical="center"/>
    </xf>
    <xf numFmtId="0" fontId="0" fillId="0" borderId="13" xfId="0" applyBorder="1"/>
    <xf numFmtId="0" fontId="0" fillId="0" borderId="14" xfId="0" applyBorder="1"/>
    <xf numFmtId="0" fontId="0" fillId="0" borderId="12" xfId="0" applyBorder="1"/>
    <xf numFmtId="0" fontId="8" fillId="0" borderId="7" xfId="0" applyFont="1" applyBorder="1" applyAlignment="1">
      <alignment horizontal="left" vertical="center" indent="1"/>
    </xf>
    <xf numFmtId="0" fontId="10" fillId="3" borderId="4" xfId="0" applyFont="1" applyFill="1" applyBorder="1" applyAlignment="1">
      <alignment horizontal="center" vertical="center" wrapText="1"/>
    </xf>
    <xf numFmtId="0" fontId="10" fillId="3" borderId="5" xfId="0" applyFont="1" applyFill="1" applyBorder="1" applyAlignment="1">
      <alignment horizontal="center" vertical="center" wrapText="1"/>
    </xf>
    <xf numFmtId="165" fontId="10" fillId="3" borderId="5" xfId="0" applyNumberFormat="1" applyFont="1" applyFill="1" applyBorder="1" applyAlignment="1">
      <alignment horizontal="center" vertical="center" wrapText="1"/>
    </xf>
    <xf numFmtId="0" fontId="13" fillId="2" borderId="1" xfId="2" applyFont="1" applyFill="1" applyBorder="1" applyAlignment="1">
      <alignment horizontal="center" vertical="center" wrapText="1"/>
    </xf>
    <xf numFmtId="164" fontId="11" fillId="2" borderId="1" xfId="2" applyNumberFormat="1" applyFont="1" applyFill="1" applyBorder="1" applyAlignment="1">
      <alignment horizontal="center" vertical="center"/>
    </xf>
    <xf numFmtId="0" fontId="12" fillId="2" borderId="2" xfId="0" applyFont="1" applyFill="1" applyBorder="1" applyAlignment="1">
      <alignment horizontal="center" vertical="center" wrapText="1"/>
    </xf>
    <xf numFmtId="0" fontId="9" fillId="0" borderId="0" xfId="0" applyFont="1" applyAlignment="1" applyProtection="1">
      <alignment horizontal="center" vertical="center"/>
      <protection locked="0"/>
    </xf>
    <xf numFmtId="0" fontId="14" fillId="3" borderId="5" xfId="0" applyFont="1" applyFill="1" applyBorder="1" applyAlignment="1">
      <alignment horizontal="center" vertical="center" wrapText="1"/>
    </xf>
    <xf numFmtId="0" fontId="13" fillId="2" borderId="1" xfId="0" applyFont="1" applyFill="1" applyBorder="1" applyAlignment="1">
      <alignment horizontal="center" vertical="center"/>
    </xf>
    <xf numFmtId="0" fontId="13" fillId="2" borderId="1" xfId="0" applyFont="1" applyFill="1" applyBorder="1" applyAlignment="1">
      <alignment horizontal="center" vertical="center" wrapText="1"/>
    </xf>
    <xf numFmtId="165" fontId="9" fillId="0" borderId="0" xfId="0" applyNumberFormat="1" applyFont="1" applyAlignment="1" applyProtection="1">
      <alignment horizontal="center" vertical="center"/>
      <protection locked="0"/>
    </xf>
    <xf numFmtId="0" fontId="13" fillId="0" borderId="1" xfId="0" applyFont="1" applyBorder="1" applyAlignment="1">
      <alignment horizontal="center" vertical="center" wrapText="1"/>
    </xf>
    <xf numFmtId="0" fontId="10" fillId="3" borderId="15" xfId="0" applyFont="1" applyFill="1" applyBorder="1" applyAlignment="1">
      <alignment horizontal="center" vertical="center" wrapText="1"/>
    </xf>
    <xf numFmtId="0" fontId="13" fillId="2" borderId="16" xfId="0" applyFont="1" applyFill="1" applyBorder="1" applyAlignment="1">
      <alignment horizontal="center" vertical="center" wrapText="1"/>
    </xf>
    <xf numFmtId="0" fontId="13" fillId="2" borderId="16" xfId="0" applyFont="1" applyFill="1" applyBorder="1" applyAlignment="1">
      <alignment horizontal="center" vertical="center"/>
    </xf>
    <xf numFmtId="0" fontId="13" fillId="2" borderId="18" xfId="0" applyFont="1" applyFill="1" applyBorder="1" applyAlignment="1">
      <alignment horizontal="center" vertical="center"/>
    </xf>
    <xf numFmtId="0" fontId="13" fillId="2" borderId="20" xfId="0" applyFont="1" applyFill="1" applyBorder="1" applyAlignment="1">
      <alignment horizontal="center" vertical="center"/>
    </xf>
    <xf numFmtId="0" fontId="13" fillId="2" borderId="21" xfId="0" applyFont="1" applyFill="1" applyBorder="1" applyAlignment="1">
      <alignment horizontal="center" vertical="center"/>
    </xf>
    <xf numFmtId="0" fontId="17" fillId="0" borderId="1" xfId="4" applyFont="1" applyBorder="1" applyAlignment="1">
      <alignment horizontal="center" vertical="center" wrapText="1"/>
    </xf>
    <xf numFmtId="0" fontId="0" fillId="0" borderId="1" xfId="0" applyBorder="1" applyAlignment="1">
      <alignment horizontal="center" vertical="center" wrapText="1"/>
    </xf>
    <xf numFmtId="14" fontId="13" fillId="2" borderId="1" xfId="0" applyNumberFormat="1" applyFont="1" applyFill="1" applyBorder="1" applyAlignment="1">
      <alignment horizontal="center" vertical="center" wrapText="1"/>
    </xf>
    <xf numFmtId="0" fontId="13" fillId="2" borderId="1" xfId="0" applyFont="1" applyFill="1" applyBorder="1" applyAlignment="1">
      <alignment horizontal="left" vertical="top" wrapText="1"/>
    </xf>
    <xf numFmtId="0" fontId="9" fillId="0" borderId="1" xfId="0" applyFont="1" applyBorder="1" applyAlignment="1" applyProtection="1">
      <alignment horizontal="center" vertical="center"/>
      <protection locked="0"/>
    </xf>
    <xf numFmtId="164" fontId="11" fillId="2" borderId="1" xfId="2" applyNumberFormat="1" applyFont="1" applyFill="1" applyBorder="1" applyAlignment="1">
      <alignment horizontal="center" vertical="center" wrapText="1"/>
    </xf>
    <xf numFmtId="14" fontId="13" fillId="2" borderId="1" xfId="2" applyNumberFormat="1" applyFont="1" applyFill="1" applyBorder="1" applyAlignment="1">
      <alignment horizontal="center" vertical="center" wrapText="1"/>
    </xf>
    <xf numFmtId="0" fontId="11" fillId="0" borderId="1" xfId="0" applyFont="1" applyBorder="1" applyAlignment="1">
      <alignment horizontal="center" vertical="center" wrapText="1"/>
    </xf>
    <xf numFmtId="0" fontId="19" fillId="3" borderId="4" xfId="0" applyFont="1" applyFill="1" applyBorder="1" applyAlignment="1">
      <alignment horizontal="center" vertical="center" wrapText="1"/>
    </xf>
    <xf numFmtId="0" fontId="19" fillId="3" borderId="5" xfId="0" applyFont="1" applyFill="1" applyBorder="1" applyAlignment="1">
      <alignment horizontal="center" vertical="center" wrapText="1"/>
    </xf>
    <xf numFmtId="165" fontId="19" fillId="3" borderId="5" xfId="0" applyNumberFormat="1" applyFont="1" applyFill="1" applyBorder="1" applyAlignment="1">
      <alignment horizontal="center" vertical="center" wrapText="1"/>
    </xf>
    <xf numFmtId="0" fontId="20" fillId="3" borderId="6" xfId="0" applyFont="1" applyFill="1" applyBorder="1" applyAlignment="1">
      <alignment horizontal="center" vertical="center"/>
    </xf>
    <xf numFmtId="0" fontId="21" fillId="2" borderId="1" xfId="0" applyFont="1" applyFill="1" applyBorder="1" applyAlignment="1">
      <alignment horizontal="center" vertical="center"/>
    </xf>
    <xf numFmtId="0" fontId="21" fillId="0" borderId="1" xfId="0" applyFont="1" applyBorder="1" applyAlignment="1">
      <alignment horizontal="center" vertical="center"/>
    </xf>
    <xf numFmtId="0" fontId="21" fillId="0" borderId="1" xfId="0" applyFont="1" applyBorder="1" applyAlignment="1">
      <alignment horizontal="center" vertical="center" wrapText="1"/>
    </xf>
    <xf numFmtId="0" fontId="21" fillId="2" borderId="1" xfId="0" applyFont="1" applyFill="1" applyBorder="1" applyAlignment="1">
      <alignment horizontal="center" vertical="center" wrapText="1"/>
    </xf>
    <xf numFmtId="14" fontId="21" fillId="0" borderId="1" xfId="0" applyNumberFormat="1" applyFont="1" applyBorder="1" applyAlignment="1">
      <alignment horizontal="center" vertical="center" wrapText="1"/>
    </xf>
    <xf numFmtId="0" fontId="22" fillId="0" borderId="1" xfId="0" applyFont="1" applyBorder="1" applyAlignment="1">
      <alignment horizontal="center" vertical="center" wrapText="1"/>
    </xf>
    <xf numFmtId="0" fontId="23" fillId="2" borderId="2" xfId="0" applyFont="1" applyFill="1" applyBorder="1" applyAlignment="1">
      <alignment horizontal="center" vertical="center" wrapText="1"/>
    </xf>
    <xf numFmtId="164" fontId="22" fillId="2" borderId="1" xfId="2" applyNumberFormat="1" applyFont="1" applyFill="1" applyBorder="1" applyAlignment="1">
      <alignment horizontal="center" vertical="center" wrapText="1"/>
    </xf>
    <xf numFmtId="0" fontId="21" fillId="2" borderId="1" xfId="2" applyFont="1" applyFill="1" applyBorder="1" applyAlignment="1">
      <alignment horizontal="center" vertical="center" wrapText="1"/>
    </xf>
    <xf numFmtId="14" fontId="21" fillId="2" borderId="1" xfId="2" applyNumberFormat="1" applyFont="1" applyFill="1" applyBorder="1" applyAlignment="1">
      <alignment horizontal="center" vertical="center" wrapText="1"/>
    </xf>
    <xf numFmtId="0" fontId="23" fillId="0" borderId="2" xfId="0" applyFont="1" applyBorder="1" applyAlignment="1">
      <alignment horizontal="center" vertical="center" wrapText="1"/>
    </xf>
    <xf numFmtId="0" fontId="9" fillId="0" borderId="26" xfId="0" applyFont="1" applyBorder="1" applyAlignment="1" applyProtection="1">
      <alignment horizontal="center" vertical="center"/>
      <protection locked="0"/>
    </xf>
    <xf numFmtId="0" fontId="9" fillId="2" borderId="1" xfId="0" applyFont="1" applyFill="1" applyBorder="1" applyAlignment="1">
      <alignment horizontal="center" vertical="center" wrapText="1"/>
    </xf>
    <xf numFmtId="0" fontId="9" fillId="0" borderId="24" xfId="0" applyFont="1" applyBorder="1" applyAlignment="1" applyProtection="1">
      <alignment horizontal="center" vertical="center"/>
      <protection locked="0"/>
    </xf>
    <xf numFmtId="0" fontId="13" fillId="2" borderId="27" xfId="0" applyFont="1" applyFill="1" applyBorder="1" applyAlignment="1">
      <alignment horizontal="center" vertical="center"/>
    </xf>
    <xf numFmtId="0" fontId="23" fillId="0" borderId="1" xfId="0" applyFont="1" applyBorder="1" applyAlignment="1">
      <alignment horizontal="center" vertical="center" wrapText="1"/>
    </xf>
    <xf numFmtId="0" fontId="9" fillId="0" borderId="1" xfId="0" applyFont="1" applyBorder="1" applyAlignment="1">
      <alignment horizontal="center" vertical="center" wrapText="1"/>
    </xf>
    <xf numFmtId="14" fontId="23" fillId="0" borderId="1" xfId="0" applyNumberFormat="1" applyFont="1" applyBorder="1" applyAlignment="1">
      <alignment horizontal="center" vertical="center" wrapText="1"/>
    </xf>
    <xf numFmtId="0" fontId="23" fillId="2" borderId="1" xfId="0" applyFont="1" applyFill="1" applyBorder="1" applyAlignment="1">
      <alignment horizontal="center" vertical="center" wrapText="1"/>
    </xf>
    <xf numFmtId="0" fontId="9" fillId="2" borderId="1" xfId="0" applyFont="1" applyFill="1" applyBorder="1" applyAlignment="1">
      <alignment horizontal="center" vertical="center"/>
    </xf>
    <xf numFmtId="0" fontId="23" fillId="2" borderId="1" xfId="0" applyFont="1" applyFill="1" applyBorder="1" applyAlignment="1">
      <alignment horizontal="center" vertical="center"/>
    </xf>
    <xf numFmtId="164" fontId="9" fillId="2" borderId="1" xfId="2" applyNumberFormat="1" applyFont="1" applyFill="1" applyBorder="1" applyAlignment="1">
      <alignment horizontal="center" vertical="center"/>
    </xf>
    <xf numFmtId="0" fontId="11" fillId="0" borderId="0" xfId="0" applyFont="1" applyAlignment="1" applyProtection="1">
      <alignment horizontal="center" vertical="center"/>
      <protection locked="0"/>
    </xf>
    <xf numFmtId="0" fontId="11" fillId="2" borderId="1" xfId="0" applyFont="1" applyFill="1" applyBorder="1" applyAlignment="1">
      <alignment horizontal="center" vertical="center"/>
    </xf>
    <xf numFmtId="14" fontId="22" fillId="0" borderId="1" xfId="0" applyNumberFormat="1" applyFont="1" applyBorder="1" applyAlignment="1">
      <alignment horizontal="center" vertical="center" wrapText="1"/>
    </xf>
    <xf numFmtId="0" fontId="22" fillId="2"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14" fontId="22" fillId="2" borderId="1" xfId="0" applyNumberFormat="1" applyFont="1" applyFill="1" applyBorder="1" applyAlignment="1">
      <alignment horizontal="center" vertical="center" wrapText="1"/>
    </xf>
    <xf numFmtId="0" fontId="22" fillId="2" borderId="1" xfId="0" applyFont="1" applyFill="1" applyBorder="1" applyAlignment="1">
      <alignment horizontal="center" vertical="center"/>
    </xf>
    <xf numFmtId="0" fontId="23" fillId="2" borderId="23" xfId="0" applyFont="1" applyFill="1" applyBorder="1" applyAlignment="1">
      <alignment horizontal="center" vertical="center"/>
    </xf>
    <xf numFmtId="0" fontId="23" fillId="0" borderId="24" xfId="0" applyFont="1" applyBorder="1" applyAlignment="1">
      <alignment horizontal="center" vertical="center" wrapText="1"/>
    </xf>
    <xf numFmtId="14" fontId="23" fillId="0" borderId="24" xfId="0" applyNumberFormat="1" applyFont="1" applyBorder="1" applyAlignment="1">
      <alignment horizontal="center" vertical="center" wrapText="1"/>
    </xf>
    <xf numFmtId="0" fontId="23" fillId="2" borderId="24" xfId="0" applyFont="1" applyFill="1" applyBorder="1" applyAlignment="1">
      <alignment horizontal="center" vertical="center" wrapText="1"/>
    </xf>
    <xf numFmtId="0" fontId="12" fillId="3" borderId="6" xfId="0" applyFont="1" applyFill="1" applyBorder="1" applyAlignment="1">
      <alignment horizontal="center" vertical="center"/>
    </xf>
    <xf numFmtId="0" fontId="10" fillId="3" borderId="28" xfId="0" applyFont="1" applyFill="1" applyBorder="1" applyAlignment="1">
      <alignment horizontal="center" vertical="center" wrapText="1"/>
    </xf>
    <xf numFmtId="0" fontId="9" fillId="0" borderId="27" xfId="0" applyFont="1" applyBorder="1" applyAlignment="1" applyProtection="1">
      <alignment horizontal="center" vertical="center"/>
      <protection locked="0"/>
    </xf>
    <xf numFmtId="0" fontId="12" fillId="3" borderId="29" xfId="0" applyFont="1" applyFill="1" applyBorder="1" applyAlignment="1">
      <alignment horizontal="center" vertical="center"/>
    </xf>
    <xf numFmtId="0" fontId="13" fillId="2" borderId="2"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13" fillId="4" borderId="18" xfId="0" applyFont="1" applyFill="1" applyBorder="1" applyAlignment="1">
      <alignment horizontal="center" vertical="center" wrapText="1"/>
    </xf>
    <xf numFmtId="0" fontId="19" fillId="3" borderId="15" xfId="0" applyFont="1" applyFill="1" applyBorder="1" applyAlignment="1">
      <alignment horizontal="center" vertical="center" wrapText="1"/>
    </xf>
    <xf numFmtId="0" fontId="23" fillId="0" borderId="11" xfId="0" applyFont="1" applyBorder="1" applyAlignment="1">
      <alignment horizontal="center" vertical="center" wrapText="1"/>
    </xf>
    <xf numFmtId="0" fontId="23" fillId="0" borderId="16" xfId="0" applyFont="1" applyBorder="1" applyAlignment="1">
      <alignment horizontal="center" vertical="center" wrapText="1"/>
    </xf>
    <xf numFmtId="0" fontId="21" fillId="0" borderId="16" xfId="0" applyFont="1" applyBorder="1" applyAlignment="1">
      <alignment horizontal="center" vertical="center" wrapText="1"/>
    </xf>
    <xf numFmtId="0" fontId="19" fillId="3" borderId="17" xfId="0" applyFont="1" applyFill="1" applyBorder="1" applyAlignment="1">
      <alignment horizontal="center" vertical="center" wrapText="1"/>
    </xf>
    <xf numFmtId="0" fontId="9" fillId="0" borderId="8" xfId="0" applyFont="1" applyBorder="1" applyAlignment="1" applyProtection="1">
      <alignment horizontal="center" vertical="center"/>
      <protection locked="0"/>
    </xf>
    <xf numFmtId="0" fontId="13" fillId="2" borderId="30" xfId="0" applyFont="1" applyFill="1" applyBorder="1" applyAlignment="1">
      <alignment horizontal="center" vertical="center"/>
    </xf>
    <xf numFmtId="0" fontId="13" fillId="2" borderId="31" xfId="0" applyFont="1" applyFill="1" applyBorder="1" applyAlignment="1">
      <alignment horizontal="center" vertical="center"/>
    </xf>
    <xf numFmtId="0" fontId="13" fillId="0" borderId="31" xfId="0" applyFont="1" applyBorder="1" applyAlignment="1">
      <alignment horizontal="center" vertical="center" wrapText="1"/>
    </xf>
    <xf numFmtId="0" fontId="17" fillId="0" borderId="31" xfId="4" applyFont="1" applyBorder="1" applyAlignment="1">
      <alignment horizontal="center" vertical="center" wrapText="1"/>
    </xf>
    <xf numFmtId="0" fontId="13" fillId="2" borderId="31" xfId="0" applyFont="1" applyFill="1" applyBorder="1" applyAlignment="1">
      <alignment horizontal="center" vertical="center" wrapText="1"/>
    </xf>
    <xf numFmtId="14" fontId="13" fillId="2" borderId="31" xfId="0" applyNumberFormat="1" applyFont="1" applyFill="1" applyBorder="1" applyAlignment="1">
      <alignment horizontal="center" vertical="center" wrapText="1"/>
    </xf>
    <xf numFmtId="0" fontId="11" fillId="0" borderId="31" xfId="0" applyFont="1" applyBorder="1" applyAlignment="1">
      <alignment horizontal="center" vertical="center" wrapText="1"/>
    </xf>
    <xf numFmtId="0" fontId="13" fillId="2" borderId="32" xfId="0" applyFont="1" applyFill="1" applyBorder="1" applyAlignment="1">
      <alignment horizontal="center" vertical="center" wrapText="1"/>
    </xf>
    <xf numFmtId="0" fontId="16" fillId="0" borderId="1" xfId="4" applyFill="1" applyBorder="1" applyAlignment="1">
      <alignment horizontal="center" vertical="center"/>
    </xf>
    <xf numFmtId="164" fontId="22" fillId="2" borderId="1" xfId="2" applyNumberFormat="1" applyFont="1" applyFill="1" applyBorder="1" applyAlignment="1">
      <alignment horizontal="center" vertical="top" wrapText="1"/>
    </xf>
    <xf numFmtId="0" fontId="0" fillId="0" borderId="1" xfId="0" applyBorder="1" applyAlignment="1">
      <alignment horizontal="center" vertical="center"/>
    </xf>
    <xf numFmtId="0" fontId="22" fillId="2" borderId="26" xfId="0" applyFont="1" applyFill="1" applyBorder="1" applyAlignment="1">
      <alignment horizontal="center" vertical="center" wrapText="1"/>
    </xf>
    <xf numFmtId="0" fontId="21" fillId="2" borderId="26" xfId="0" applyFont="1" applyFill="1" applyBorder="1" applyAlignment="1">
      <alignment horizontal="center" vertical="center"/>
    </xf>
    <xf numFmtId="0" fontId="13" fillId="2" borderId="26" xfId="0" applyFont="1" applyFill="1" applyBorder="1" applyAlignment="1">
      <alignment horizontal="center" vertical="center"/>
    </xf>
    <xf numFmtId="0" fontId="21" fillId="2" borderId="26" xfId="0" applyFont="1" applyFill="1" applyBorder="1" applyAlignment="1">
      <alignment horizontal="center" vertical="center" wrapText="1"/>
    </xf>
    <xf numFmtId="164" fontId="22" fillId="2" borderId="26" xfId="2" applyNumberFormat="1" applyFont="1" applyFill="1" applyBorder="1" applyAlignment="1">
      <alignment horizontal="center" vertical="top" wrapText="1"/>
    </xf>
    <xf numFmtId="0" fontId="21" fillId="2" borderId="26" xfId="2" applyFont="1" applyFill="1" applyBorder="1" applyAlignment="1">
      <alignment horizontal="center" vertical="center" wrapText="1"/>
    </xf>
    <xf numFmtId="14" fontId="21" fillId="0" borderId="26" xfId="0" applyNumberFormat="1" applyFont="1" applyBorder="1" applyAlignment="1">
      <alignment horizontal="center" vertical="center" wrapText="1"/>
    </xf>
    <xf numFmtId="0" fontId="22" fillId="0" borderId="26" xfId="0" applyFont="1" applyBorder="1" applyAlignment="1">
      <alignment horizontal="center" vertical="center" wrapText="1"/>
    </xf>
    <xf numFmtId="165" fontId="9" fillId="0" borderId="1" xfId="0" applyNumberFormat="1" applyFont="1" applyBorder="1" applyAlignment="1" applyProtection="1">
      <alignment horizontal="center" vertical="center"/>
      <protection locked="0"/>
    </xf>
    <xf numFmtId="14" fontId="9" fillId="0" borderId="1" xfId="0" applyNumberFormat="1" applyFont="1" applyBorder="1" applyAlignment="1" applyProtection="1">
      <alignment horizontal="center" vertical="center"/>
      <protection locked="0"/>
    </xf>
    <xf numFmtId="0" fontId="13" fillId="4"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0" fillId="0" borderId="26" xfId="0" applyBorder="1" applyAlignment="1">
      <alignment horizontal="center" vertical="center"/>
    </xf>
    <xf numFmtId="0" fontId="10" fillId="3" borderId="23" xfId="0" applyFont="1" applyFill="1" applyBorder="1" applyAlignment="1">
      <alignment horizontal="center" vertical="center" wrapText="1"/>
    </xf>
    <xf numFmtId="0" fontId="13" fillId="4" borderId="27" xfId="0" applyFont="1" applyFill="1" applyBorder="1" applyAlignment="1">
      <alignment horizontal="center" vertical="center" wrapText="1"/>
    </xf>
    <xf numFmtId="0" fontId="13" fillId="2" borderId="33" xfId="0" applyFont="1" applyFill="1" applyBorder="1" applyAlignment="1">
      <alignment horizontal="center" vertical="center" wrapText="1"/>
    </xf>
    <xf numFmtId="0" fontId="25" fillId="0" borderId="1" xfId="0" applyFont="1" applyBorder="1" applyAlignment="1">
      <alignment wrapText="1"/>
    </xf>
    <xf numFmtId="0" fontId="26" fillId="0" borderId="25" xfId="0" applyFont="1" applyBorder="1" applyAlignment="1">
      <alignment horizontal="center" vertical="center" wrapText="1"/>
    </xf>
    <xf numFmtId="0" fontId="26" fillId="0" borderId="2" xfId="0" applyFont="1" applyBorder="1" applyAlignment="1">
      <alignment horizontal="center" vertical="center" wrapText="1"/>
    </xf>
    <xf numFmtId="0" fontId="26" fillId="2" borderId="2" xfId="0" applyFont="1" applyFill="1" applyBorder="1" applyAlignment="1">
      <alignment horizontal="center" vertical="center" wrapText="1"/>
    </xf>
    <xf numFmtId="0" fontId="27" fillId="2" borderId="2" xfId="0" applyFont="1" applyFill="1" applyBorder="1" applyAlignment="1">
      <alignment horizontal="center" vertical="center" wrapText="1"/>
    </xf>
    <xf numFmtId="0" fontId="20" fillId="2" borderId="2" xfId="0" applyFont="1" applyFill="1" applyBorder="1" applyAlignment="1">
      <alignment horizontal="center" vertical="center" wrapText="1"/>
    </xf>
    <xf numFmtId="0" fontId="28" fillId="2" borderId="2" xfId="0" applyFont="1" applyFill="1" applyBorder="1" applyAlignment="1">
      <alignment horizontal="center" vertical="center" wrapText="1"/>
    </xf>
    <xf numFmtId="0" fontId="19" fillId="3" borderId="34" xfId="0" applyFont="1" applyFill="1" applyBorder="1" applyAlignment="1">
      <alignment horizontal="center" vertical="center" wrapText="1"/>
    </xf>
    <xf numFmtId="0" fontId="21" fillId="2" borderId="16" xfId="0" applyFont="1" applyFill="1" applyBorder="1" applyAlignment="1">
      <alignment horizontal="center" vertical="center"/>
    </xf>
    <xf numFmtId="0" fontId="20" fillId="3" borderId="29" xfId="0" applyFont="1" applyFill="1" applyBorder="1" applyAlignment="1">
      <alignment horizontal="center" vertical="center"/>
    </xf>
    <xf numFmtId="0" fontId="30" fillId="2" borderId="2" xfId="0" applyFont="1" applyFill="1" applyBorder="1" applyAlignment="1">
      <alignment horizontal="center" vertical="center" wrapText="1"/>
    </xf>
    <xf numFmtId="0" fontId="23" fillId="4" borderId="36" xfId="0" applyFont="1" applyFill="1" applyBorder="1" applyAlignment="1">
      <alignment horizontal="center" vertical="center" wrapText="1"/>
    </xf>
    <xf numFmtId="14" fontId="12" fillId="2" borderId="2" xfId="0" applyNumberFormat="1" applyFont="1" applyFill="1" applyBorder="1" applyAlignment="1">
      <alignment horizontal="center" vertical="center" wrapText="1"/>
    </xf>
    <xf numFmtId="0" fontId="13" fillId="2" borderId="24" xfId="0" applyFont="1" applyFill="1" applyBorder="1" applyAlignment="1">
      <alignment horizontal="center" vertical="center" wrapText="1"/>
    </xf>
    <xf numFmtId="0" fontId="19" fillId="3" borderId="28" xfId="0" applyFont="1" applyFill="1" applyBorder="1" applyAlignment="1">
      <alignment horizontal="center" vertical="center" wrapText="1"/>
    </xf>
    <xf numFmtId="0" fontId="12" fillId="3" borderId="28" xfId="0" applyFont="1" applyFill="1" applyBorder="1" applyAlignment="1">
      <alignment horizontal="center" vertical="center"/>
    </xf>
    <xf numFmtId="0" fontId="31" fillId="2" borderId="1" xfId="0" applyFont="1" applyFill="1" applyBorder="1" applyAlignment="1">
      <alignment horizontal="center" vertical="center"/>
    </xf>
    <xf numFmtId="0" fontId="21" fillId="0" borderId="26" xfId="0" applyFont="1" applyBorder="1" applyAlignment="1">
      <alignment horizontal="center" vertical="center"/>
    </xf>
    <xf numFmtId="0" fontId="13" fillId="0" borderId="1" xfId="0" applyFont="1" applyBorder="1" applyAlignment="1">
      <alignment horizontal="center" vertical="center"/>
    </xf>
    <xf numFmtId="0" fontId="32" fillId="2" borderId="16" xfId="0" applyFont="1" applyFill="1" applyBorder="1" applyAlignment="1">
      <alignment horizontal="center" vertical="center" wrapText="1"/>
    </xf>
    <xf numFmtId="0" fontId="27" fillId="2" borderId="1" xfId="0" applyFont="1" applyFill="1" applyBorder="1" applyAlignment="1">
      <alignment horizontal="center" vertical="center" wrapText="1"/>
    </xf>
    <xf numFmtId="0" fontId="21" fillId="4" borderId="1" xfId="0" applyFont="1" applyFill="1" applyBorder="1" applyAlignment="1">
      <alignment horizontal="center" vertical="center" wrapText="1"/>
    </xf>
    <xf numFmtId="0" fontId="23" fillId="4" borderId="1" xfId="0" applyFont="1" applyFill="1" applyBorder="1" applyAlignment="1">
      <alignment horizontal="center" vertical="center" wrapText="1"/>
    </xf>
    <xf numFmtId="0" fontId="29" fillId="0" borderId="1" xfId="0" applyFont="1" applyBorder="1" applyAlignment="1">
      <alignment horizontal="center" vertical="center" wrapText="1"/>
    </xf>
    <xf numFmtId="0" fontId="27" fillId="2" borderId="24" xfId="0" applyFont="1" applyFill="1" applyBorder="1" applyAlignment="1">
      <alignment horizontal="center" vertical="center" wrapText="1"/>
    </xf>
    <xf numFmtId="0" fontId="23" fillId="4" borderId="24" xfId="0" applyFont="1" applyFill="1" applyBorder="1" applyAlignment="1">
      <alignment horizontal="center" vertical="center" wrapText="1"/>
    </xf>
    <xf numFmtId="0" fontId="0" fillId="0" borderId="21" xfId="0" applyBorder="1" applyAlignment="1">
      <alignment horizontal="center" vertical="center"/>
    </xf>
    <xf numFmtId="0" fontId="13" fillId="2" borderId="21" xfId="0" applyFont="1" applyFill="1" applyBorder="1" applyAlignment="1">
      <alignment horizontal="center" vertical="center" wrapText="1"/>
    </xf>
    <xf numFmtId="164" fontId="11" fillId="2" borderId="21" xfId="2" applyNumberFormat="1" applyFont="1" applyFill="1" applyBorder="1" applyAlignment="1">
      <alignment horizontal="center" vertical="center" wrapText="1"/>
    </xf>
    <xf numFmtId="0" fontId="13" fillId="0" borderId="21" xfId="0" applyFont="1" applyBorder="1" applyAlignment="1">
      <alignment horizontal="center" vertical="center" wrapText="1"/>
    </xf>
    <xf numFmtId="14" fontId="13" fillId="2" borderId="21" xfId="2" applyNumberFormat="1" applyFont="1" applyFill="1" applyBorder="1" applyAlignment="1">
      <alignment horizontal="center" vertical="center" wrapText="1"/>
    </xf>
    <xf numFmtId="0" fontId="31" fillId="2" borderId="21" xfId="0" applyFont="1" applyFill="1" applyBorder="1" applyAlignment="1">
      <alignment horizontal="center" vertical="center"/>
    </xf>
    <xf numFmtId="0" fontId="13" fillId="4" borderId="37" xfId="0" applyFont="1" applyFill="1" applyBorder="1" applyAlignment="1">
      <alignment horizontal="center" vertical="center" wrapText="1"/>
    </xf>
    <xf numFmtId="0" fontId="26" fillId="2" borderId="19" xfId="0" applyFont="1" applyFill="1" applyBorder="1" applyAlignment="1">
      <alignment horizontal="center" vertical="center" wrapText="1"/>
    </xf>
    <xf numFmtId="0" fontId="13" fillId="2" borderId="38" xfId="0" applyFont="1" applyFill="1" applyBorder="1" applyAlignment="1">
      <alignment horizontal="center" vertical="center"/>
    </xf>
    <xf numFmtId="0" fontId="13" fillId="2" borderId="24" xfId="0" applyFont="1" applyFill="1" applyBorder="1" applyAlignment="1">
      <alignment horizontal="center" vertical="center"/>
    </xf>
    <xf numFmtId="0" fontId="0" fillId="0" borderId="24" xfId="0" applyBorder="1" applyAlignment="1">
      <alignment horizontal="center" vertical="center"/>
    </xf>
    <xf numFmtId="0" fontId="24" fillId="2" borderId="24" xfId="4" applyFont="1" applyFill="1" applyBorder="1" applyAlignment="1">
      <alignment horizontal="center" vertical="center"/>
    </xf>
    <xf numFmtId="0" fontId="11" fillId="0" borderId="24" xfId="0" applyFont="1" applyBorder="1" applyAlignment="1">
      <alignment horizontal="center" vertical="center" wrapText="1"/>
    </xf>
    <xf numFmtId="0" fontId="13" fillId="0" borderId="24" xfId="0" applyFont="1" applyBorder="1" applyAlignment="1">
      <alignment horizontal="center" vertical="center" wrapText="1"/>
    </xf>
    <xf numFmtId="0" fontId="17" fillId="0" borderId="24" xfId="4" applyFont="1" applyBorder="1" applyAlignment="1">
      <alignment horizontal="center" vertical="center" wrapText="1"/>
    </xf>
    <xf numFmtId="14" fontId="13" fillId="2" borderId="24" xfId="0" applyNumberFormat="1" applyFont="1" applyFill="1" applyBorder="1" applyAlignment="1">
      <alignment horizontal="center" vertical="center" wrapText="1"/>
    </xf>
    <xf numFmtId="0" fontId="13" fillId="2" borderId="11" xfId="0" applyFont="1" applyFill="1" applyBorder="1" applyAlignment="1">
      <alignment horizontal="center" vertical="center" wrapText="1"/>
    </xf>
    <xf numFmtId="0" fontId="26" fillId="2" borderId="25" xfId="0" applyFont="1" applyFill="1" applyBorder="1" applyAlignment="1">
      <alignment horizontal="center" vertical="center" wrapText="1"/>
    </xf>
    <xf numFmtId="0" fontId="26" fillId="2" borderId="11" xfId="0" applyFont="1" applyFill="1" applyBorder="1" applyAlignment="1">
      <alignment horizontal="center" vertical="center" wrapText="1"/>
    </xf>
    <xf numFmtId="0" fontId="26" fillId="2" borderId="16" xfId="0" applyFont="1" applyFill="1" applyBorder="1" applyAlignment="1">
      <alignment horizontal="center" vertical="center" wrapText="1"/>
    </xf>
    <xf numFmtId="0" fontId="13" fillId="4" borderId="24" xfId="0" applyFont="1" applyFill="1" applyBorder="1" applyAlignment="1">
      <alignment horizontal="center" vertical="center" wrapText="1"/>
    </xf>
    <xf numFmtId="0" fontId="9" fillId="0" borderId="12" xfId="0" applyFont="1" applyBorder="1" applyAlignment="1" applyProtection="1">
      <alignment horizontal="center" vertical="center"/>
      <protection locked="0"/>
    </xf>
    <xf numFmtId="0" fontId="9" fillId="2" borderId="24" xfId="0" applyFont="1" applyFill="1" applyBorder="1" applyAlignment="1">
      <alignment horizontal="center" vertical="center" wrapText="1"/>
    </xf>
    <xf numFmtId="0" fontId="21" fillId="2" borderId="21" xfId="0" applyFont="1" applyFill="1" applyBorder="1" applyAlignment="1">
      <alignment horizontal="center" vertical="center" wrapText="1"/>
    </xf>
    <xf numFmtId="0" fontId="21" fillId="2" borderId="22" xfId="0" applyFont="1" applyFill="1" applyBorder="1" applyAlignment="1">
      <alignment horizontal="center" vertical="center" wrapText="1"/>
    </xf>
    <xf numFmtId="0" fontId="9" fillId="0" borderId="35" xfId="0" applyFont="1" applyBorder="1" applyAlignment="1" applyProtection="1">
      <alignment horizontal="center" vertical="center"/>
      <protection locked="0"/>
    </xf>
    <xf numFmtId="0" fontId="0" fillId="0" borderId="0" xfId="0" applyAlignment="1">
      <alignment horizontal="center" vertical="center"/>
    </xf>
    <xf numFmtId="0" fontId="34" fillId="2" borderId="1" xfId="0" applyFont="1" applyFill="1" applyBorder="1" applyAlignment="1">
      <alignment horizontal="center" vertical="center"/>
    </xf>
    <xf numFmtId="0" fontId="31" fillId="2" borderId="16" xfId="0" applyFont="1" applyFill="1" applyBorder="1" applyAlignment="1">
      <alignment horizontal="center" vertical="center" wrapText="1"/>
    </xf>
    <xf numFmtId="0" fontId="19" fillId="3" borderId="39" xfId="0" applyFont="1" applyFill="1" applyBorder="1" applyAlignment="1">
      <alignment horizontal="center" vertical="center" wrapText="1"/>
    </xf>
    <xf numFmtId="0" fontId="26" fillId="2" borderId="1" xfId="0" applyFont="1" applyFill="1" applyBorder="1" applyAlignment="1">
      <alignment horizontal="center" vertical="center" wrapText="1"/>
    </xf>
    <xf numFmtId="0" fontId="23" fillId="9" borderId="1" xfId="0" applyFont="1" applyFill="1" applyBorder="1" applyAlignment="1">
      <alignment horizontal="center" vertical="center" wrapText="1"/>
    </xf>
    <xf numFmtId="0" fontId="21" fillId="9" borderId="1" xfId="0" applyFont="1" applyFill="1" applyBorder="1" applyAlignment="1">
      <alignment horizontal="center" vertical="center" wrapText="1"/>
    </xf>
    <xf numFmtId="0" fontId="21" fillId="9" borderId="1" xfId="0" applyFont="1" applyFill="1" applyBorder="1" applyAlignment="1">
      <alignment horizontal="center" vertical="center"/>
    </xf>
    <xf numFmtId="0" fontId="21" fillId="4" borderId="1" xfId="0" applyFont="1" applyFill="1" applyBorder="1" applyAlignment="1">
      <alignment horizontal="center" vertical="center"/>
    </xf>
    <xf numFmtId="0" fontId="13" fillId="4" borderId="35" xfId="0" applyFont="1" applyFill="1" applyBorder="1" applyAlignment="1">
      <alignment horizontal="center" vertical="center" wrapText="1"/>
    </xf>
    <xf numFmtId="0" fontId="13" fillId="2" borderId="35" xfId="0" applyFont="1" applyFill="1" applyBorder="1" applyAlignment="1">
      <alignment horizontal="center" vertical="center"/>
    </xf>
    <xf numFmtId="0" fontId="13" fillId="4" borderId="11" xfId="0" applyFont="1" applyFill="1" applyBorder="1" applyAlignment="1">
      <alignment horizontal="center" vertical="center" wrapText="1"/>
    </xf>
    <xf numFmtId="0" fontId="10" fillId="3" borderId="17" xfId="0" applyFont="1" applyFill="1" applyBorder="1" applyAlignment="1">
      <alignment horizontal="center" vertical="center" wrapText="1"/>
    </xf>
    <xf numFmtId="0" fontId="19" fillId="3" borderId="1" xfId="0" applyFont="1" applyFill="1" applyBorder="1" applyAlignment="1">
      <alignment horizontal="center" vertical="center" wrapText="1"/>
    </xf>
    <xf numFmtId="0" fontId="23" fillId="4" borderId="27" xfId="0" applyFont="1" applyFill="1" applyBorder="1" applyAlignment="1">
      <alignment horizontal="center" vertical="center" wrapText="1"/>
    </xf>
    <xf numFmtId="0" fontId="13" fillId="10" borderId="27" xfId="0" applyFont="1" applyFill="1" applyBorder="1" applyAlignment="1">
      <alignment horizontal="center" vertical="center" wrapText="1"/>
    </xf>
    <xf numFmtId="0" fontId="19" fillId="3" borderId="40" xfId="0" applyFont="1" applyFill="1" applyBorder="1" applyAlignment="1">
      <alignment horizontal="center" vertical="center" wrapText="1"/>
    </xf>
    <xf numFmtId="0" fontId="29" fillId="0" borderId="35" xfId="0" applyFont="1" applyBorder="1" applyAlignment="1">
      <alignment horizontal="center" vertical="center" wrapText="1"/>
    </xf>
    <xf numFmtId="0" fontId="31" fillId="2" borderId="16" xfId="0" applyFont="1" applyFill="1" applyBorder="1" applyAlignment="1">
      <alignment horizontal="center" vertical="center"/>
    </xf>
    <xf numFmtId="0" fontId="23" fillId="10" borderId="1" xfId="0" applyFont="1" applyFill="1" applyBorder="1" applyAlignment="1">
      <alignment horizontal="center" vertical="center" wrapText="1"/>
    </xf>
    <xf numFmtId="0" fontId="19" fillId="3" borderId="41" xfId="0" applyFont="1" applyFill="1" applyBorder="1" applyAlignment="1">
      <alignment horizontal="center" vertical="center" wrapText="1"/>
    </xf>
    <xf numFmtId="0" fontId="21" fillId="0" borderId="35" xfId="0" applyFont="1" applyBorder="1" applyAlignment="1">
      <alignment horizontal="center" vertical="center" wrapText="1"/>
    </xf>
    <xf numFmtId="0" fontId="35" fillId="10" borderId="1" xfId="0" applyFont="1" applyFill="1" applyBorder="1" applyAlignment="1">
      <alignment horizontal="center" vertical="center" wrapText="1"/>
    </xf>
    <xf numFmtId="0" fontId="36" fillId="2" borderId="2" xfId="0" applyFont="1" applyFill="1" applyBorder="1" applyAlignment="1">
      <alignment horizontal="center" vertical="center" wrapText="1"/>
    </xf>
    <xf numFmtId="0" fontId="28" fillId="2" borderId="16" xfId="0" applyFont="1" applyFill="1" applyBorder="1" applyAlignment="1">
      <alignment horizontal="center" vertical="center" wrapText="1"/>
    </xf>
    <xf numFmtId="0" fontId="37" fillId="0" borderId="1" xfId="0" applyFont="1" applyBorder="1" applyAlignment="1" applyProtection="1">
      <alignment horizontal="center" vertical="center" wrapText="1"/>
      <protection locked="0"/>
    </xf>
    <xf numFmtId="0" fontId="28" fillId="2" borderId="16" xfId="0" applyFont="1" applyFill="1" applyBorder="1" applyAlignment="1">
      <alignment horizontal="center" vertical="center"/>
    </xf>
    <xf numFmtId="0" fontId="18" fillId="2" borderId="3" xfId="1" applyFont="1" applyFill="1" applyBorder="1" applyAlignment="1">
      <alignment horizontal="center" vertical="center" wrapText="1"/>
    </xf>
    <xf numFmtId="0" fontId="18" fillId="2" borderId="0" xfId="1" applyFont="1" applyFill="1" applyAlignment="1">
      <alignment horizontal="center" vertical="center" wrapText="1"/>
    </xf>
    <xf numFmtId="0" fontId="33" fillId="2" borderId="12" xfId="1" applyFont="1" applyFill="1" applyBorder="1" applyAlignment="1">
      <alignment horizontal="center" vertical="center" wrapText="1"/>
    </xf>
    <xf numFmtId="0" fontId="33" fillId="2" borderId="24" xfId="1" applyFont="1" applyFill="1" applyBorder="1" applyAlignment="1">
      <alignment horizontal="center" vertical="center"/>
    </xf>
    <xf numFmtId="0" fontId="33" fillId="2" borderId="27" xfId="1" applyFont="1" applyFill="1" applyBorder="1" applyAlignment="1">
      <alignment horizontal="center" vertical="center"/>
    </xf>
    <xf numFmtId="0" fontId="33" fillId="2" borderId="1" xfId="1" applyFont="1" applyFill="1" applyBorder="1" applyAlignment="1">
      <alignment horizontal="center" vertical="center"/>
    </xf>
    <xf numFmtId="0" fontId="33" fillId="2" borderId="8" xfId="1" applyFont="1" applyFill="1" applyBorder="1" applyAlignment="1">
      <alignment horizontal="center" vertical="center"/>
    </xf>
    <xf numFmtId="0" fontId="33" fillId="2" borderId="26" xfId="1" applyFont="1" applyFill="1" applyBorder="1" applyAlignment="1">
      <alignment horizontal="center" vertical="center"/>
    </xf>
    <xf numFmtId="0" fontId="33" fillId="2" borderId="3" xfId="1" applyFont="1" applyFill="1" applyBorder="1" applyAlignment="1">
      <alignment horizontal="center" vertical="center" wrapText="1"/>
    </xf>
    <xf numFmtId="0" fontId="19" fillId="2" borderId="12" xfId="1" applyFont="1" applyFill="1" applyBorder="1" applyAlignment="1">
      <alignment horizontal="center" vertical="center" wrapText="1"/>
    </xf>
    <xf numFmtId="0" fontId="19" fillId="2" borderId="24" xfId="1" applyFont="1" applyFill="1" applyBorder="1" applyAlignment="1">
      <alignment horizontal="center" vertical="center"/>
    </xf>
    <xf numFmtId="0" fontId="19" fillId="2" borderId="27" xfId="1" applyFont="1" applyFill="1" applyBorder="1" applyAlignment="1">
      <alignment horizontal="center" vertical="center"/>
    </xf>
    <xf numFmtId="0" fontId="19" fillId="2" borderId="1" xfId="1" applyFont="1" applyFill="1" applyBorder="1" applyAlignment="1">
      <alignment horizontal="center" vertical="center"/>
    </xf>
    <xf numFmtId="0" fontId="19" fillId="2" borderId="8" xfId="1" applyFont="1" applyFill="1" applyBorder="1" applyAlignment="1">
      <alignment horizontal="center" vertical="center"/>
    </xf>
    <xf numFmtId="0" fontId="19" fillId="2" borderId="26" xfId="1" applyFont="1" applyFill="1" applyBorder="1" applyAlignment="1">
      <alignment horizontal="center" vertical="center"/>
    </xf>
    <xf numFmtId="0" fontId="19" fillId="2" borderId="11" xfId="1" applyFont="1" applyFill="1" applyBorder="1" applyAlignment="1">
      <alignment horizontal="center" vertical="center"/>
    </xf>
    <xf numFmtId="0" fontId="19" fillId="2" borderId="16" xfId="1" applyFont="1" applyFill="1" applyBorder="1" applyAlignment="1">
      <alignment horizontal="center" vertical="center"/>
    </xf>
    <xf numFmtId="0" fontId="19" fillId="2" borderId="7" xfId="1" applyFont="1" applyFill="1" applyBorder="1" applyAlignment="1">
      <alignment horizontal="center" vertical="center"/>
    </xf>
    <xf numFmtId="0" fontId="33" fillId="2" borderId="0" xfId="1" applyFont="1" applyFill="1" applyAlignment="1">
      <alignment horizontal="center" vertical="center" wrapText="1"/>
    </xf>
    <xf numFmtId="0" fontId="33" fillId="2" borderId="0" xfId="1" applyFont="1" applyFill="1" applyAlignment="1">
      <alignment horizontal="center" vertical="center"/>
    </xf>
  </cellXfs>
  <cellStyles count="5">
    <cellStyle name="Hyperlink" xfId="4" builtinId="8"/>
    <cellStyle name="Hyperlink 2" xfId="3" xr:uid="{00000000-0005-0000-0000-000000000000}"/>
    <cellStyle name="Normal" xfId="0" builtinId="0"/>
    <cellStyle name="Normal 2" xfId="1" xr:uid="{00000000-0005-0000-0000-000002000000}"/>
    <cellStyle name="Normal 3" xfId="2" xr:uid="{00000000-0005-0000-0000-00000300000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sz val="20"/>
        <color theme="0"/>
      </font>
      <border>
        <bottom style="thin">
          <color theme="4"/>
        </bottom>
        <vertical/>
        <horizontal/>
      </border>
    </dxf>
    <dxf>
      <font>
        <sz val="24"/>
        <color theme="1"/>
      </font>
      <fill>
        <patternFill>
          <bgColor rgb="FF006666"/>
        </patternFill>
      </fill>
      <border>
        <left style="thin">
          <color theme="4"/>
        </left>
        <right style="thin">
          <color theme="4"/>
        </right>
        <top style="thin">
          <color theme="4"/>
        </top>
        <bottom style="thin">
          <color theme="4"/>
        </bottom>
        <vertical/>
        <horizontal/>
      </border>
    </dxf>
    <dxf>
      <font>
        <sz val="16"/>
      </font>
    </dxf>
  </dxfs>
  <tableStyles count="2" defaultTableStyle="TableStyleMedium2" defaultPivotStyle="PivotStyleLight16">
    <tableStyle name="Slicer Style 1" pivot="0" table="0" count="1" xr9:uid="{00000000-0011-0000-FFFF-FFFF00000000}">
      <tableStyleElement type="wholeTable" dxfId="6"/>
    </tableStyle>
    <tableStyle name="SlicerStyleLight1 2" pivot="0" table="0" count="10" xr9:uid="{00000000-0011-0000-FFFF-FFFF01000000}">
      <tableStyleElement type="wholeTable" dxfId="5"/>
      <tableStyleElement type="headerRow" dxfId="4"/>
    </tableStyle>
  </tableStyles>
  <colors>
    <mruColors>
      <color rgb="FFFFFF99"/>
      <color rgb="FF339966"/>
      <color rgb="FF159B42"/>
      <color rgb="FFFF66FF"/>
      <color rgb="FFFF6699"/>
      <color rgb="FF00FFCC"/>
      <color rgb="FFA50021"/>
      <color rgb="FF990033"/>
      <color rgb="FF006666"/>
      <color rgb="FF00CC99"/>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20"/>
            <color auto="1"/>
          </font>
          <fill>
            <patternFill patternType="solid">
              <fgColor theme="4" tint="0.79992065187536243"/>
              <bgColor rgb="FF006666"/>
            </patternFill>
          </fill>
          <border>
            <left style="thin">
              <color rgb="FFCCCCCC"/>
            </left>
            <right style="thin">
              <color rgb="FFCCCCCC"/>
            </right>
            <top style="thin">
              <color rgb="FFCCCCCC"/>
            </top>
            <bottom style="thin">
              <color rgb="FFCCCCCC"/>
            </bottom>
            <vertical/>
            <horizontal/>
          </border>
        </dxf>
        <dxf>
          <font>
            <b/>
            <i val="0"/>
            <sz val="20"/>
            <color auto="1"/>
          </font>
          <fill>
            <patternFill patternType="solid">
              <fgColor theme="4" tint="0.59999389629810485"/>
              <bgColor rgb="FF00FFCC"/>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powerPivotData" Target="model/item.data"/><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4.xml"/><Relationship Id="rId27" Type="http://schemas.openxmlformats.org/officeDocument/2006/relationships/sheetMetadata" Target="metadata.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17.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[4800001272_Redline Drawings Tracking Log (4) (3).xlsx]Action!Action</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pivotFmt>
      <c:pivotFmt>
        <c:idx val="5"/>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s>
    <c:plotArea>
      <c:layout/>
      <c:pieChart>
        <c:varyColors val="1"/>
        <c:ser>
          <c:idx val="0"/>
          <c:order val="0"/>
          <c:tx>
            <c:strRef>
              <c:f>Action!$C$3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CF7-4682-842A-EBE06FE6616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CF7-4682-842A-EBE06FE66164}"/>
              </c:ext>
            </c:extLst>
          </c:dPt>
          <c:cat>
            <c:strRef>
              <c:f>Action!$B$4:$B$5</c:f>
              <c:strCache>
                <c:ptCount val="1"/>
                <c:pt idx="0">
                  <c:v>Replied</c:v>
                </c:pt>
              </c:strCache>
            </c:strRef>
          </c:cat>
          <c:val>
            <c:numRef>
              <c:f>Action!$C$4:$C$5</c:f>
              <c:numCache>
                <c:formatCode>General</c:formatCode>
                <c:ptCount val="1"/>
                <c:pt idx="0">
                  <c:v>144</c:v>
                </c:pt>
              </c:numCache>
            </c:numRef>
          </c:val>
          <c:extLst>
            <c:ext xmlns:c16="http://schemas.microsoft.com/office/drawing/2014/chart" uri="{C3380CC4-5D6E-409C-BE32-E72D297353CC}">
              <c16:uniqueId val="{00000009-BEED-413E-A6F7-C2617A0741F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[4800001272_Redline Drawings Tracking Log (4) (3).xlsx]Ref No.!Dis</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'Ref No.'!$C$4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4D-40F4-9442-86B90F69D0B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4D-40F4-9442-86B90F69D0B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F4D-40F4-9442-86B90F69D0B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F4D-40F4-9442-86B90F69D0B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F4D-40F4-9442-86B90F69D0B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F4D-40F4-9442-86B90F69D0B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F4D-40F4-9442-86B90F69D0B3}"/>
              </c:ext>
            </c:extLst>
          </c:dPt>
          <c:cat>
            <c:strRef>
              <c:f>'Ref No.'!$B$5:$B$12</c:f>
              <c:strCache>
                <c:ptCount val="7"/>
                <c:pt idx="0">
                  <c:v>Electrical</c:v>
                </c:pt>
                <c:pt idx="1">
                  <c:v>Fire Alarm</c:v>
                </c:pt>
                <c:pt idx="2">
                  <c:v>Fire Fighting</c:v>
                </c:pt>
                <c:pt idx="3">
                  <c:v>HVAC</c:v>
                </c:pt>
                <c:pt idx="4">
                  <c:v>Low Current</c:v>
                </c:pt>
                <c:pt idx="5">
                  <c:v>Piping</c:v>
                </c:pt>
                <c:pt idx="6">
                  <c:v>Plumbing</c:v>
                </c:pt>
              </c:strCache>
            </c:strRef>
          </c:cat>
          <c:val>
            <c:numRef>
              <c:f>'Ref No.'!$C$5:$C$12</c:f>
              <c:numCache>
                <c:formatCode>General</c:formatCode>
                <c:ptCount val="7"/>
                <c:pt idx="0">
                  <c:v>70</c:v>
                </c:pt>
                <c:pt idx="1">
                  <c:v>3</c:v>
                </c:pt>
                <c:pt idx="2">
                  <c:v>19</c:v>
                </c:pt>
                <c:pt idx="3">
                  <c:v>9</c:v>
                </c:pt>
                <c:pt idx="4">
                  <c:v>8</c:v>
                </c:pt>
                <c:pt idx="5">
                  <c:v>3</c:v>
                </c:pt>
                <c:pt idx="6">
                  <c:v>32</c:v>
                </c:pt>
              </c:numCache>
            </c:numRef>
          </c:val>
          <c:extLst>
            <c:ext xmlns:c16="http://schemas.microsoft.com/office/drawing/2014/chart" uri="{C3380CC4-5D6E-409C-BE32-E72D297353CC}">
              <c16:uniqueId val="{00000010-FF4C-4DA1-A587-C74FAEC6ED3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[4800001272_Redline Drawings Tracking Log (4) (3).xlsx]Dis!Dis</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Dis!$C$4:$C$5</c:f>
              <c:strCache>
                <c:ptCount val="1"/>
                <c:pt idx="0">
                  <c:v>Replied</c:v>
                </c:pt>
              </c:strCache>
            </c:strRef>
          </c:tx>
          <c:spPr>
            <a:solidFill>
              <a:schemeClr val="accent1"/>
            </a:solidFill>
            <a:ln w="19050">
              <a:solidFill>
                <a:schemeClr val="lt1"/>
              </a:solidFill>
            </a:ln>
            <a:effectLst/>
          </c:spPr>
          <c:invertIfNegative val="0"/>
          <c:cat>
            <c:strRef>
              <c:f>Dis!$B$6:$B$13</c:f>
              <c:strCache>
                <c:ptCount val="7"/>
                <c:pt idx="0">
                  <c:v>Electrical</c:v>
                </c:pt>
                <c:pt idx="1">
                  <c:v>Fire Alarm</c:v>
                </c:pt>
                <c:pt idx="2">
                  <c:v>Fire Fighting</c:v>
                </c:pt>
                <c:pt idx="3">
                  <c:v>HVAC</c:v>
                </c:pt>
                <c:pt idx="4">
                  <c:v>Low Current</c:v>
                </c:pt>
                <c:pt idx="5">
                  <c:v>Piping</c:v>
                </c:pt>
                <c:pt idx="6">
                  <c:v>Plumbing</c:v>
                </c:pt>
              </c:strCache>
            </c:strRef>
          </c:cat>
          <c:val>
            <c:numRef>
              <c:f>Dis!$C$6:$C$13</c:f>
              <c:numCache>
                <c:formatCode>General</c:formatCode>
                <c:ptCount val="7"/>
                <c:pt idx="0">
                  <c:v>70</c:v>
                </c:pt>
                <c:pt idx="1">
                  <c:v>3</c:v>
                </c:pt>
                <c:pt idx="2">
                  <c:v>19</c:v>
                </c:pt>
                <c:pt idx="3">
                  <c:v>9</c:v>
                </c:pt>
                <c:pt idx="4">
                  <c:v>8</c:v>
                </c:pt>
                <c:pt idx="5">
                  <c:v>3</c:v>
                </c:pt>
                <c:pt idx="6">
                  <c:v>32</c:v>
                </c:pt>
              </c:numCache>
            </c:numRef>
          </c:val>
          <c:extLst>
            <c:ext xmlns:c16="http://schemas.microsoft.com/office/drawing/2014/chart" uri="{C3380CC4-5D6E-409C-BE32-E72D297353CC}">
              <c16:uniqueId val="{00000022-B02A-493F-B994-80CC8F50B265}"/>
            </c:ext>
          </c:extLst>
        </c:ser>
        <c:dLbls>
          <c:showLegendKey val="0"/>
          <c:showVal val="0"/>
          <c:showCatName val="0"/>
          <c:showSerName val="0"/>
          <c:showPercent val="0"/>
          <c:showBubbleSize val="0"/>
        </c:dLbls>
        <c:gapWidth val="100"/>
        <c:axId val="921107544"/>
        <c:axId val="921111480"/>
      </c:barChart>
      <c:catAx>
        <c:axId val="9211075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111480"/>
        <c:crosses val="autoZero"/>
        <c:auto val="1"/>
        <c:lblAlgn val="ctr"/>
        <c:lblOffset val="100"/>
        <c:noMultiLvlLbl val="0"/>
      </c:catAx>
      <c:valAx>
        <c:axId val="921111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107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[4800001272_Redline Drawings Tracking Log (4) (3).xlsx]Timeline!Timeline</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9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9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Timeline!$C$3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Timeline!$B$4:$B$25</c:f>
              <c:multiLvlStrCache>
                <c:ptCount val="14"/>
                <c:lvl>
                  <c:pt idx="0">
                    <c:v>2022</c:v>
                  </c:pt>
                  <c:pt idx="1">
                    <c:v>2023</c:v>
                  </c:pt>
                  <c:pt idx="2">
                    <c:v>2024</c:v>
                  </c:pt>
                  <c:pt idx="3">
                    <c:v>2022</c:v>
                  </c:pt>
                  <c:pt idx="4">
                    <c:v>2022</c:v>
                  </c:pt>
                  <c:pt idx="5">
                    <c:v>2023</c:v>
                  </c:pt>
                  <c:pt idx="6">
                    <c:v>2022</c:v>
                  </c:pt>
                  <c:pt idx="7">
                    <c:v>2023</c:v>
                  </c:pt>
                  <c:pt idx="8">
                    <c:v>2024</c:v>
                  </c:pt>
                  <c:pt idx="9">
                    <c:v>2022</c:v>
                  </c:pt>
                  <c:pt idx="10">
                    <c:v>2023</c:v>
                  </c:pt>
                  <c:pt idx="11">
                    <c:v>2022</c:v>
                  </c:pt>
                  <c:pt idx="12">
                    <c:v>2022</c:v>
                  </c:pt>
                  <c:pt idx="13">
                    <c:v>2023</c:v>
                  </c:pt>
                </c:lvl>
                <c:lvl>
                  <c:pt idx="0">
                    <c:v>Electrical</c:v>
                  </c:pt>
                  <c:pt idx="3">
                    <c:v>Fire Alarm</c:v>
                  </c:pt>
                  <c:pt idx="4">
                    <c:v>Fire Fighting</c:v>
                  </c:pt>
                  <c:pt idx="6">
                    <c:v>HVAC</c:v>
                  </c:pt>
                  <c:pt idx="9">
                    <c:v>Low Current</c:v>
                  </c:pt>
                  <c:pt idx="11">
                    <c:v>Piping</c:v>
                  </c:pt>
                  <c:pt idx="12">
                    <c:v>Plumbing</c:v>
                  </c:pt>
                </c:lvl>
              </c:multiLvlStrCache>
            </c:multiLvlStrRef>
          </c:cat>
          <c:val>
            <c:numRef>
              <c:f>Timeline!$C$4:$C$25</c:f>
              <c:numCache>
                <c:formatCode>General</c:formatCode>
                <c:ptCount val="14"/>
                <c:pt idx="0">
                  <c:v>42</c:v>
                </c:pt>
                <c:pt idx="1">
                  <c:v>24</c:v>
                </c:pt>
                <c:pt idx="2">
                  <c:v>4</c:v>
                </c:pt>
                <c:pt idx="3">
                  <c:v>3</c:v>
                </c:pt>
                <c:pt idx="4">
                  <c:v>18</c:v>
                </c:pt>
                <c:pt idx="5">
                  <c:v>1</c:v>
                </c:pt>
                <c:pt idx="6">
                  <c:v>5</c:v>
                </c:pt>
                <c:pt idx="7">
                  <c:v>3</c:v>
                </c:pt>
                <c:pt idx="8">
                  <c:v>1</c:v>
                </c:pt>
                <c:pt idx="9">
                  <c:v>5</c:v>
                </c:pt>
                <c:pt idx="10">
                  <c:v>3</c:v>
                </c:pt>
                <c:pt idx="11">
                  <c:v>3</c:v>
                </c:pt>
                <c:pt idx="12">
                  <c:v>23</c:v>
                </c:pt>
                <c:pt idx="13">
                  <c:v>9</c:v>
                </c:pt>
              </c:numCache>
            </c:numRef>
          </c:val>
          <c:smooth val="0"/>
          <c:extLst>
            <c:ext xmlns:c16="http://schemas.microsoft.com/office/drawing/2014/chart" uri="{C3380CC4-5D6E-409C-BE32-E72D297353CC}">
              <c16:uniqueId val="{00000002-5E79-4F78-B38A-E4B1DCFE8E70}"/>
            </c:ext>
          </c:extLst>
        </c:ser>
        <c:dLbls>
          <c:dLblPos val="t"/>
          <c:showLegendKey val="0"/>
          <c:showVal val="1"/>
          <c:showCatName val="0"/>
          <c:showSerName val="0"/>
          <c:showPercent val="0"/>
          <c:showBubbleSize val="0"/>
        </c:dLbls>
        <c:marker val="1"/>
        <c:smooth val="0"/>
        <c:axId val="545627096"/>
        <c:axId val="545629392"/>
      </c:lineChart>
      <c:catAx>
        <c:axId val="545627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629392"/>
        <c:crosses val="autoZero"/>
        <c:auto val="1"/>
        <c:lblAlgn val="ctr"/>
        <c:lblOffset val="100"/>
        <c:noMultiLvlLbl val="0"/>
      </c:catAx>
      <c:valAx>
        <c:axId val="545629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627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3.emf"/></Relationships>
</file>

<file path=xl/drawings/_rels/drawing1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17.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0</xdr:col>
      <xdr:colOff>65714</xdr:colOff>
      <xdr:row>0</xdr:row>
      <xdr:rowOff>116621</xdr:rowOff>
    </xdr:from>
    <xdr:to>
      <xdr:col>4</xdr:col>
      <xdr:colOff>95250</xdr:colOff>
      <xdr:row>0</xdr:row>
      <xdr:rowOff>1211036</xdr:rowOff>
    </xdr:to>
    <xdr:pic>
      <xdr:nvPicPr>
        <xdr:cNvPr id="2" name="Picture 1" descr="NEOM logo">
          <a:extLst>
            <a:ext uri="{FF2B5EF4-FFF2-40B4-BE49-F238E27FC236}">
              <a16:creationId xmlns:a16="http://schemas.microsoft.com/office/drawing/2014/main" id="{3671B428-C027-418C-8EA3-CB82456E7BBA}"/>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714" y="116621"/>
          <a:ext cx="5295500" cy="1094415"/>
        </a:xfrm>
        <a:prstGeom prst="rect">
          <a:avLst/>
        </a:prstGeom>
        <a:noFill/>
        <a:ln>
          <a:noFill/>
        </a:ln>
      </xdr:spPr>
    </xdr:pic>
    <xdr:clientData/>
  </xdr:twoCellAnchor>
  <xdr:oneCellAnchor>
    <xdr:from>
      <xdr:col>17</xdr:col>
      <xdr:colOff>489858</xdr:colOff>
      <xdr:row>0</xdr:row>
      <xdr:rowOff>56028</xdr:rowOff>
    </xdr:from>
    <xdr:ext cx="1660071" cy="1114185"/>
    <xdr:pic>
      <xdr:nvPicPr>
        <xdr:cNvPr id="3" name="Picture 2">
          <a:extLst>
            <a:ext uri="{FF2B5EF4-FFF2-40B4-BE49-F238E27FC236}">
              <a16:creationId xmlns:a16="http://schemas.microsoft.com/office/drawing/2014/main" id="{20493E83-8839-4211-AC8E-90E511FC543F}"/>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105429" y="56028"/>
          <a:ext cx="1660071" cy="1114185"/>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twoCellAnchor>
    <xdr:from>
      <xdr:col>0</xdr:col>
      <xdr:colOff>65714</xdr:colOff>
      <xdr:row>0</xdr:row>
      <xdr:rowOff>116621</xdr:rowOff>
    </xdr:from>
    <xdr:to>
      <xdr:col>4</xdr:col>
      <xdr:colOff>95250</xdr:colOff>
      <xdr:row>0</xdr:row>
      <xdr:rowOff>1454727</xdr:rowOff>
    </xdr:to>
    <xdr:pic>
      <xdr:nvPicPr>
        <xdr:cNvPr id="2" name="Picture 1" descr="NEOM logo">
          <a:extLst>
            <a:ext uri="{FF2B5EF4-FFF2-40B4-BE49-F238E27FC236}">
              <a16:creationId xmlns:a16="http://schemas.microsoft.com/office/drawing/2014/main" id="{180B6EA8-3DAF-4772-B41B-B26E30743D43}"/>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714" y="116621"/>
          <a:ext cx="5207672" cy="1338106"/>
        </a:xfrm>
        <a:prstGeom prst="rect">
          <a:avLst/>
        </a:prstGeom>
        <a:noFill/>
        <a:ln>
          <a:noFill/>
        </a:ln>
      </xdr:spPr>
    </xdr:pic>
    <xdr:clientData/>
  </xdr:twoCellAnchor>
  <xdr:oneCellAnchor>
    <xdr:from>
      <xdr:col>17</xdr:col>
      <xdr:colOff>138546</xdr:colOff>
      <xdr:row>0</xdr:row>
      <xdr:rowOff>56029</xdr:rowOff>
    </xdr:from>
    <xdr:ext cx="2026227" cy="1346744"/>
    <xdr:pic>
      <xdr:nvPicPr>
        <xdr:cNvPr id="3" name="Picture 2">
          <a:extLst>
            <a:ext uri="{FF2B5EF4-FFF2-40B4-BE49-F238E27FC236}">
              <a16:creationId xmlns:a16="http://schemas.microsoft.com/office/drawing/2014/main" id="{5AC82C5A-C25B-49A5-BE0B-217E4CB3B858}"/>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8349864" y="56029"/>
          <a:ext cx="2026227" cy="1346744"/>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twoCellAnchor>
    <xdr:from>
      <xdr:col>0</xdr:col>
      <xdr:colOff>65714</xdr:colOff>
      <xdr:row>0</xdr:row>
      <xdr:rowOff>81643</xdr:rowOff>
    </xdr:from>
    <xdr:to>
      <xdr:col>4</xdr:col>
      <xdr:colOff>95250</xdr:colOff>
      <xdr:row>0</xdr:row>
      <xdr:rowOff>1102179</xdr:rowOff>
    </xdr:to>
    <xdr:pic>
      <xdr:nvPicPr>
        <xdr:cNvPr id="2" name="Picture 1" descr="NEOM logo">
          <a:extLst>
            <a:ext uri="{FF2B5EF4-FFF2-40B4-BE49-F238E27FC236}">
              <a16:creationId xmlns:a16="http://schemas.microsoft.com/office/drawing/2014/main" id="{1551317A-A8CA-45D9-A585-64A633BEAE31}"/>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714" y="81643"/>
          <a:ext cx="5200250" cy="1020536"/>
        </a:xfrm>
        <a:prstGeom prst="rect">
          <a:avLst/>
        </a:prstGeom>
        <a:noFill/>
        <a:ln>
          <a:noFill/>
        </a:ln>
      </xdr:spPr>
    </xdr:pic>
    <xdr:clientData/>
  </xdr:twoCellAnchor>
  <xdr:oneCellAnchor>
    <xdr:from>
      <xdr:col>17</xdr:col>
      <xdr:colOff>517072</xdr:colOff>
      <xdr:row>0</xdr:row>
      <xdr:rowOff>56029</xdr:rowOff>
    </xdr:from>
    <xdr:ext cx="1959428" cy="1005328"/>
    <xdr:pic>
      <xdr:nvPicPr>
        <xdr:cNvPr id="3" name="Picture 2">
          <a:extLst>
            <a:ext uri="{FF2B5EF4-FFF2-40B4-BE49-F238E27FC236}">
              <a16:creationId xmlns:a16="http://schemas.microsoft.com/office/drawing/2014/main" id="{CE3DD61C-9BFB-4A7E-B911-7D554D1435A5}"/>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554465" y="56029"/>
          <a:ext cx="1959428" cy="1005328"/>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twoCellAnchor>
    <xdr:from>
      <xdr:col>0</xdr:col>
      <xdr:colOff>174572</xdr:colOff>
      <xdr:row>0</xdr:row>
      <xdr:rowOff>62190</xdr:rowOff>
    </xdr:from>
    <xdr:to>
      <xdr:col>3</xdr:col>
      <xdr:colOff>462643</xdr:colOff>
      <xdr:row>2</xdr:row>
      <xdr:rowOff>449036</xdr:rowOff>
    </xdr:to>
    <xdr:pic>
      <xdr:nvPicPr>
        <xdr:cNvPr id="2" name="Picture 1" descr="NEOM logo">
          <a:extLst>
            <a:ext uri="{FF2B5EF4-FFF2-40B4-BE49-F238E27FC236}">
              <a16:creationId xmlns:a16="http://schemas.microsoft.com/office/drawing/2014/main" id="{3ECE2651-DE48-4B77-8DCB-9420E7A63D13}"/>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572" y="62190"/>
          <a:ext cx="4220535" cy="985560"/>
        </a:xfrm>
        <a:prstGeom prst="rect">
          <a:avLst/>
        </a:prstGeom>
        <a:noFill/>
        <a:ln>
          <a:noFill/>
        </a:ln>
      </xdr:spPr>
    </xdr:pic>
    <xdr:clientData/>
  </xdr:twoCellAnchor>
  <xdr:twoCellAnchor editAs="oneCell">
    <xdr:from>
      <xdr:col>16</xdr:col>
      <xdr:colOff>353786</xdr:colOff>
      <xdr:row>0</xdr:row>
      <xdr:rowOff>56028</xdr:rowOff>
    </xdr:from>
    <xdr:to>
      <xdr:col>16</xdr:col>
      <xdr:colOff>2077684</xdr:colOff>
      <xdr:row>2</xdr:row>
      <xdr:rowOff>476250</xdr:rowOff>
    </xdr:to>
    <xdr:pic>
      <xdr:nvPicPr>
        <xdr:cNvPr id="3" name="Picture 2">
          <a:extLst>
            <a:ext uri="{FF2B5EF4-FFF2-40B4-BE49-F238E27FC236}">
              <a16:creationId xmlns:a16="http://schemas.microsoft.com/office/drawing/2014/main" id="{8A441BB6-8C22-4328-B092-91AE8E225769}"/>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452286" y="56028"/>
          <a:ext cx="1723898" cy="1018936"/>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65714</xdr:colOff>
      <xdr:row>0</xdr:row>
      <xdr:rowOff>116621</xdr:rowOff>
    </xdr:from>
    <xdr:to>
      <xdr:col>3</xdr:col>
      <xdr:colOff>235324</xdr:colOff>
      <xdr:row>0</xdr:row>
      <xdr:rowOff>1086970</xdr:rowOff>
    </xdr:to>
    <xdr:pic>
      <xdr:nvPicPr>
        <xdr:cNvPr id="2" name="Picture 1" descr="NEOM logo">
          <a:extLst>
            <a:ext uri="{FF2B5EF4-FFF2-40B4-BE49-F238E27FC236}">
              <a16:creationId xmlns:a16="http://schemas.microsoft.com/office/drawing/2014/main" id="{F542A85D-4026-479D-8606-D457FFDE0353}"/>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714" y="116621"/>
          <a:ext cx="4226139" cy="970349"/>
        </a:xfrm>
        <a:prstGeom prst="rect">
          <a:avLst/>
        </a:prstGeom>
        <a:noFill/>
        <a:ln>
          <a:noFill/>
        </a:ln>
      </xdr:spPr>
    </xdr:pic>
    <xdr:clientData/>
  </xdr:twoCellAnchor>
  <xdr:oneCellAnchor>
    <xdr:from>
      <xdr:col>17</xdr:col>
      <xdr:colOff>517072</xdr:colOff>
      <xdr:row>0</xdr:row>
      <xdr:rowOff>56029</xdr:rowOff>
    </xdr:from>
    <xdr:ext cx="1465361" cy="1005328"/>
    <xdr:pic>
      <xdr:nvPicPr>
        <xdr:cNvPr id="3" name="Picture 2">
          <a:extLst>
            <a:ext uri="{FF2B5EF4-FFF2-40B4-BE49-F238E27FC236}">
              <a16:creationId xmlns:a16="http://schemas.microsoft.com/office/drawing/2014/main" id="{4E8FDC12-0B52-4DA2-ADE5-7149BF692304}"/>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41872" y="56029"/>
          <a:ext cx="1465361" cy="1005328"/>
        </a:xfrm>
        <a:prstGeom prst="rect">
          <a:avLst/>
        </a:prstGeom>
        <a:noFill/>
        <a:ln>
          <a:noFill/>
        </a:ln>
      </xdr:spPr>
    </xdr:pic>
    <xdr:clientData/>
  </xdr:oneCellAnchor>
</xdr:wsDr>
</file>

<file path=xl/drawings/drawing6.xml><?xml version="1.0" encoding="utf-8"?>
<xdr:wsDr xmlns:xdr="http://schemas.openxmlformats.org/drawingml/2006/spreadsheetDrawing" xmlns:a="http://schemas.openxmlformats.org/drawingml/2006/main">
  <xdr:twoCellAnchor>
    <xdr:from>
      <xdr:col>0</xdr:col>
      <xdr:colOff>133750</xdr:colOff>
      <xdr:row>0</xdr:row>
      <xdr:rowOff>103014</xdr:rowOff>
    </xdr:from>
    <xdr:to>
      <xdr:col>4</xdr:col>
      <xdr:colOff>255334</xdr:colOff>
      <xdr:row>2</xdr:row>
      <xdr:rowOff>326572</xdr:rowOff>
    </xdr:to>
    <xdr:pic>
      <xdr:nvPicPr>
        <xdr:cNvPr id="2" name="Picture 1" descr="NEOM logo">
          <a:extLst>
            <a:ext uri="{FF2B5EF4-FFF2-40B4-BE49-F238E27FC236}">
              <a16:creationId xmlns:a16="http://schemas.microsoft.com/office/drawing/2014/main" id="{E079EEEB-9741-4752-899F-026B17542E3C}"/>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3750" y="103014"/>
          <a:ext cx="4081263" cy="822272"/>
        </a:xfrm>
        <a:prstGeom prst="rect">
          <a:avLst/>
        </a:prstGeom>
        <a:noFill/>
        <a:ln>
          <a:noFill/>
        </a:ln>
      </xdr:spPr>
    </xdr:pic>
    <xdr:clientData/>
  </xdr:twoCellAnchor>
  <xdr:twoCellAnchor editAs="oneCell">
    <xdr:from>
      <xdr:col>17</xdr:col>
      <xdr:colOff>462643</xdr:colOff>
      <xdr:row>0</xdr:row>
      <xdr:rowOff>56028</xdr:rowOff>
    </xdr:from>
    <xdr:to>
      <xdr:col>17</xdr:col>
      <xdr:colOff>2077684</xdr:colOff>
      <xdr:row>2</xdr:row>
      <xdr:rowOff>421821</xdr:rowOff>
    </xdr:to>
    <xdr:pic>
      <xdr:nvPicPr>
        <xdr:cNvPr id="3" name="Picture 2">
          <a:extLst>
            <a:ext uri="{FF2B5EF4-FFF2-40B4-BE49-F238E27FC236}">
              <a16:creationId xmlns:a16="http://schemas.microsoft.com/office/drawing/2014/main" id="{6DC9B736-DA27-4D9E-949B-FF70A39BCF42}"/>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336500" y="56028"/>
          <a:ext cx="1615041" cy="964507"/>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113739</xdr:colOff>
      <xdr:row>0</xdr:row>
      <xdr:rowOff>78440</xdr:rowOff>
    </xdr:from>
    <xdr:to>
      <xdr:col>4</xdr:col>
      <xdr:colOff>235323</xdr:colOff>
      <xdr:row>2</xdr:row>
      <xdr:rowOff>235323</xdr:rowOff>
    </xdr:to>
    <xdr:pic>
      <xdr:nvPicPr>
        <xdr:cNvPr id="2" name="Picture 1" descr="NEOM logo">
          <a:extLst>
            <a:ext uri="{FF2B5EF4-FFF2-40B4-BE49-F238E27FC236}">
              <a16:creationId xmlns:a16="http://schemas.microsoft.com/office/drawing/2014/main" id="{716D6F8A-901D-485A-AE3B-6B7705741438}"/>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3739" y="78440"/>
          <a:ext cx="3897966" cy="739589"/>
        </a:xfrm>
        <a:prstGeom prst="rect">
          <a:avLst/>
        </a:prstGeom>
        <a:noFill/>
        <a:ln>
          <a:noFill/>
        </a:ln>
      </xdr:spPr>
    </xdr:pic>
    <xdr:clientData/>
  </xdr:twoCellAnchor>
  <xdr:twoCellAnchor editAs="oneCell">
    <xdr:from>
      <xdr:col>15</xdr:col>
      <xdr:colOff>661148</xdr:colOff>
      <xdr:row>0</xdr:row>
      <xdr:rowOff>56029</xdr:rowOff>
    </xdr:from>
    <xdr:to>
      <xdr:col>15</xdr:col>
      <xdr:colOff>2077684</xdr:colOff>
      <xdr:row>2</xdr:row>
      <xdr:rowOff>208653</xdr:rowOff>
    </xdr:to>
    <xdr:pic>
      <xdr:nvPicPr>
        <xdr:cNvPr id="3" name="Picture 2">
          <a:extLst>
            <a:ext uri="{FF2B5EF4-FFF2-40B4-BE49-F238E27FC236}">
              <a16:creationId xmlns:a16="http://schemas.microsoft.com/office/drawing/2014/main" id="{EB67892B-49B5-4B94-B7AA-29E518CB0C3E}"/>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482177" y="56029"/>
          <a:ext cx="1416536" cy="73533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293034</xdr:colOff>
      <xdr:row>0</xdr:row>
      <xdr:rowOff>89648</xdr:rowOff>
    </xdr:from>
    <xdr:to>
      <xdr:col>4</xdr:col>
      <xdr:colOff>414618</xdr:colOff>
      <xdr:row>2</xdr:row>
      <xdr:rowOff>381002</xdr:rowOff>
    </xdr:to>
    <xdr:pic>
      <xdr:nvPicPr>
        <xdr:cNvPr id="2" name="Picture 1" descr="NEOM logo">
          <a:extLst>
            <a:ext uri="{FF2B5EF4-FFF2-40B4-BE49-F238E27FC236}">
              <a16:creationId xmlns:a16="http://schemas.microsoft.com/office/drawing/2014/main" id="{7EA74782-71FD-406F-9931-DE8883EB258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3034" y="89648"/>
          <a:ext cx="3897966" cy="874060"/>
        </a:xfrm>
        <a:prstGeom prst="rect">
          <a:avLst/>
        </a:prstGeom>
        <a:noFill/>
        <a:ln>
          <a:noFill/>
        </a:ln>
      </xdr:spPr>
    </xdr:pic>
    <xdr:clientData/>
  </xdr:twoCellAnchor>
  <xdr:twoCellAnchor editAs="oneCell">
    <xdr:from>
      <xdr:col>16</xdr:col>
      <xdr:colOff>676276</xdr:colOff>
      <xdr:row>0</xdr:row>
      <xdr:rowOff>56028</xdr:rowOff>
    </xdr:from>
    <xdr:to>
      <xdr:col>16</xdr:col>
      <xdr:colOff>2077684</xdr:colOff>
      <xdr:row>2</xdr:row>
      <xdr:rowOff>361949</xdr:rowOff>
    </xdr:to>
    <xdr:pic>
      <xdr:nvPicPr>
        <xdr:cNvPr id="3" name="Picture 2">
          <a:extLst>
            <a:ext uri="{FF2B5EF4-FFF2-40B4-BE49-F238E27FC236}">
              <a16:creationId xmlns:a16="http://schemas.microsoft.com/office/drawing/2014/main" id="{F6E6072D-9F88-45A1-8F8A-F7431CDBF991}"/>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393651" y="56028"/>
          <a:ext cx="1401408" cy="896471"/>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337857</xdr:colOff>
      <xdr:row>0</xdr:row>
      <xdr:rowOff>33618</xdr:rowOff>
    </xdr:from>
    <xdr:to>
      <xdr:col>3</xdr:col>
      <xdr:colOff>728382</xdr:colOff>
      <xdr:row>2</xdr:row>
      <xdr:rowOff>291353</xdr:rowOff>
    </xdr:to>
    <xdr:pic>
      <xdr:nvPicPr>
        <xdr:cNvPr id="2" name="Picture 1" descr="NEOM logo">
          <a:extLst>
            <a:ext uri="{FF2B5EF4-FFF2-40B4-BE49-F238E27FC236}">
              <a16:creationId xmlns:a16="http://schemas.microsoft.com/office/drawing/2014/main" id="{D8F47380-B12C-4CA9-B860-C0C64DC0DA9F}"/>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7857" y="33618"/>
          <a:ext cx="3248025" cy="840441"/>
        </a:xfrm>
        <a:prstGeom prst="rect">
          <a:avLst/>
        </a:prstGeom>
        <a:noFill/>
        <a:ln>
          <a:noFill/>
        </a:ln>
      </xdr:spPr>
    </xdr:pic>
    <xdr:clientData/>
  </xdr:twoCellAnchor>
  <xdr:twoCellAnchor editAs="oneCell">
    <xdr:from>
      <xdr:col>16</xdr:col>
      <xdr:colOff>952500</xdr:colOff>
      <xdr:row>0</xdr:row>
      <xdr:rowOff>56029</xdr:rowOff>
    </xdr:from>
    <xdr:to>
      <xdr:col>16</xdr:col>
      <xdr:colOff>2100095</xdr:colOff>
      <xdr:row>2</xdr:row>
      <xdr:rowOff>257735</xdr:rowOff>
    </xdr:to>
    <xdr:pic>
      <xdr:nvPicPr>
        <xdr:cNvPr id="3" name="Picture 2">
          <a:extLst>
            <a:ext uri="{FF2B5EF4-FFF2-40B4-BE49-F238E27FC236}">
              <a16:creationId xmlns:a16="http://schemas.microsoft.com/office/drawing/2014/main" id="{08F37EA6-8D21-40A0-8AA5-C653DBCD1463}"/>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544059" y="56029"/>
          <a:ext cx="1147595" cy="784412"/>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190500</xdr:colOff>
      <xdr:row>0</xdr:row>
      <xdr:rowOff>190499</xdr:rowOff>
    </xdr:from>
    <xdr:to>
      <xdr:col>4</xdr:col>
      <xdr:colOff>95250</xdr:colOff>
      <xdr:row>0</xdr:row>
      <xdr:rowOff>1454726</xdr:rowOff>
    </xdr:to>
    <xdr:pic>
      <xdr:nvPicPr>
        <xdr:cNvPr id="2" name="Picture 1" descr="NEOM logo">
          <a:extLst>
            <a:ext uri="{FF2B5EF4-FFF2-40B4-BE49-F238E27FC236}">
              <a16:creationId xmlns:a16="http://schemas.microsoft.com/office/drawing/2014/main" id="{A750ABD5-83F3-4023-9B95-2FE270B9A15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499"/>
          <a:ext cx="5030932" cy="1264227"/>
        </a:xfrm>
        <a:prstGeom prst="rect">
          <a:avLst/>
        </a:prstGeom>
        <a:noFill/>
        <a:ln>
          <a:noFill/>
        </a:ln>
      </xdr:spPr>
    </xdr:pic>
    <xdr:clientData/>
  </xdr:twoCellAnchor>
  <xdr:oneCellAnchor>
    <xdr:from>
      <xdr:col>16</xdr:col>
      <xdr:colOff>467590</xdr:colOff>
      <xdr:row>0</xdr:row>
      <xdr:rowOff>56029</xdr:rowOff>
    </xdr:from>
    <xdr:ext cx="2199409" cy="1398698"/>
    <xdr:pic>
      <xdr:nvPicPr>
        <xdr:cNvPr id="3" name="Picture 2">
          <a:extLst>
            <a:ext uri="{FF2B5EF4-FFF2-40B4-BE49-F238E27FC236}">
              <a16:creationId xmlns:a16="http://schemas.microsoft.com/office/drawing/2014/main" id="{06FAC1FE-9A0C-49FB-B0C8-15B90F0AEFE2}"/>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8038135" y="56029"/>
          <a:ext cx="2199409" cy="1398698"/>
        </a:xfrm>
        <a:prstGeom prst="rect">
          <a:avLst/>
        </a:prstGeom>
        <a:noFill/>
        <a:ln>
          <a:noFill/>
        </a:ln>
      </xdr:spPr>
    </xdr:pic>
    <xdr:clientData/>
  </xdr:oneCellAnchor>
</xdr:wsDr>
</file>

<file path=xl/drawings/drawing11.xml><?xml version="1.0" encoding="utf-8"?>
<xdr:wsDr xmlns:xdr="http://schemas.openxmlformats.org/drawingml/2006/spreadsheetDrawing" xmlns:a="http://schemas.openxmlformats.org/drawingml/2006/main">
  <xdr:twoCellAnchor>
    <xdr:from>
      <xdr:col>0</xdr:col>
      <xdr:colOff>172668</xdr:colOff>
      <xdr:row>0</xdr:row>
      <xdr:rowOff>95249</xdr:rowOff>
    </xdr:from>
    <xdr:to>
      <xdr:col>4</xdr:col>
      <xdr:colOff>60833</xdr:colOff>
      <xdr:row>2</xdr:row>
      <xdr:rowOff>271340</xdr:rowOff>
    </xdr:to>
    <xdr:pic>
      <xdr:nvPicPr>
        <xdr:cNvPr id="10" name="Picture 9" descr="NEOM logo">
          <a:extLst>
            <a:ext uri="{FF2B5EF4-FFF2-40B4-BE49-F238E27FC236}">
              <a16:creationId xmlns:a16="http://schemas.microsoft.com/office/drawing/2014/main" id="{41FABC27-0145-408A-9275-D9DAAF0FBA8B}"/>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668" y="95249"/>
          <a:ext cx="3956701" cy="1006127"/>
        </a:xfrm>
        <a:prstGeom prst="rect">
          <a:avLst/>
        </a:prstGeom>
        <a:noFill/>
        <a:ln>
          <a:noFill/>
        </a:ln>
      </xdr:spPr>
    </xdr:pic>
    <xdr:clientData/>
  </xdr:twoCellAnchor>
  <xdr:twoCellAnchor editAs="oneCell">
    <xdr:from>
      <xdr:col>17</xdr:col>
      <xdr:colOff>625928</xdr:colOff>
      <xdr:row>0</xdr:row>
      <xdr:rowOff>56028</xdr:rowOff>
    </xdr:from>
    <xdr:to>
      <xdr:col>17</xdr:col>
      <xdr:colOff>2077683</xdr:colOff>
      <xdr:row>2</xdr:row>
      <xdr:rowOff>244928</xdr:rowOff>
    </xdr:to>
    <xdr:pic>
      <xdr:nvPicPr>
        <xdr:cNvPr id="2" name="Picture 1">
          <a:extLst>
            <a:ext uri="{FF2B5EF4-FFF2-40B4-BE49-F238E27FC236}">
              <a16:creationId xmlns:a16="http://schemas.microsoft.com/office/drawing/2014/main" id="{1E315165-9A6C-D31D-07C3-DCEC46D65D01}"/>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553964" y="56028"/>
          <a:ext cx="1451755" cy="1018936"/>
        </a:xfrm>
        <a:prstGeom prst="rect">
          <a:avLst/>
        </a:prstGeom>
        <a:noFill/>
        <a:ln>
          <a:noFill/>
        </a:ln>
      </xdr:spPr>
    </xdr:pic>
    <xdr:clientData/>
  </xdr:twoCellAnchor>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14</xdr:col>
          <xdr:colOff>0</xdr:colOff>
          <xdr:row>3</xdr:row>
          <xdr:rowOff>0</xdr:rowOff>
        </xdr:from>
        <xdr:to>
          <xdr:col>22</xdr:col>
          <xdr:colOff>198432</xdr:colOff>
          <xdr:row>8</xdr:row>
          <xdr:rowOff>57710</xdr:rowOff>
        </xdr:to>
        <xdr:pic>
          <xdr:nvPicPr>
            <xdr:cNvPr id="2" name="Picture 1">
              <a:extLst>
                <a:ext uri="{FF2B5EF4-FFF2-40B4-BE49-F238E27FC236}">
                  <a16:creationId xmlns:a16="http://schemas.microsoft.com/office/drawing/2014/main" id="{C34D666B-FB4B-465E-844F-1B5206E6FB1C}"/>
                </a:ext>
              </a:extLst>
            </xdr:cNvPr>
            <xdr:cNvPicPr>
              <a:picLocks noChangeAspect="1" noChangeArrowheads="1"/>
              <a:extLst>
                <a:ext uri="{84589F7E-364E-4C9E-8A38-B11213B215E9}">
                  <a14:cameraTool cellRange="Status!$J$8:$P$11" spid="_x0000_s183034"/>
                </a:ext>
              </a:extLst>
            </xdr:cNvPicPr>
          </xdr:nvPicPr>
          <xdr:blipFill>
            <a:blip xmlns:r="http://schemas.openxmlformats.org/officeDocument/2006/relationships" r:embed="rId1"/>
            <a:srcRect/>
            <a:stretch>
              <a:fillRect/>
            </a:stretch>
          </xdr:blipFill>
          <xdr:spPr bwMode="auto">
            <a:xfrm>
              <a:off x="8534400" y="571500"/>
              <a:ext cx="5075232" cy="1019735"/>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wsDr>
</file>

<file path=xl/drawings/drawing13.xml><?xml version="1.0" encoding="utf-8"?>
<xdr:wsDr xmlns:xdr="http://schemas.openxmlformats.org/drawingml/2006/spreadsheetDrawing" xmlns:a="http://schemas.openxmlformats.org/drawingml/2006/main">
  <xdr:twoCellAnchor>
    <xdr:from>
      <xdr:col>5</xdr:col>
      <xdr:colOff>190500</xdr:colOff>
      <xdr:row>2</xdr:row>
      <xdr:rowOff>28575</xdr:rowOff>
    </xdr:from>
    <xdr:to>
      <xdr:col>12</xdr:col>
      <xdr:colOff>495300</xdr:colOff>
      <xdr:row>16</xdr:row>
      <xdr:rowOff>104775</xdr:rowOff>
    </xdr:to>
    <xdr:graphicFrame macro="">
      <xdr:nvGraphicFramePr>
        <xdr:cNvPr id="2" name="Chart 1">
          <a:extLst>
            <a:ext uri="{FF2B5EF4-FFF2-40B4-BE49-F238E27FC236}">
              <a16:creationId xmlns:a16="http://schemas.microsoft.com/office/drawing/2014/main" id="{9B74E39A-F26A-4848-B1DB-75523D094E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3</xdr:col>
      <xdr:colOff>0</xdr:colOff>
      <xdr:row>3</xdr:row>
      <xdr:rowOff>85725</xdr:rowOff>
    </xdr:from>
    <xdr:to>
      <xdr:col>7</xdr:col>
      <xdr:colOff>1123950</xdr:colOff>
      <xdr:row>17</xdr:row>
      <xdr:rowOff>161925</xdr:rowOff>
    </xdr:to>
    <xdr:graphicFrame macro="">
      <xdr:nvGraphicFramePr>
        <xdr:cNvPr id="3" name="Chart 2">
          <a:extLst>
            <a:ext uri="{FF2B5EF4-FFF2-40B4-BE49-F238E27FC236}">
              <a16:creationId xmlns:a16="http://schemas.microsoft.com/office/drawing/2014/main" id="{991067D3-1B0E-4A91-B399-1DBDAD2C50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266700</xdr:colOff>
      <xdr:row>2</xdr:row>
      <xdr:rowOff>28575</xdr:rowOff>
    </xdr:from>
    <xdr:to>
      <xdr:col>13</xdr:col>
      <xdr:colOff>571500</xdr:colOff>
      <xdr:row>16</xdr:row>
      <xdr:rowOff>104775</xdr:rowOff>
    </xdr:to>
    <xdr:graphicFrame macro="">
      <xdr:nvGraphicFramePr>
        <xdr:cNvPr id="2" name="Chart 1">
          <a:extLst>
            <a:ext uri="{FF2B5EF4-FFF2-40B4-BE49-F238E27FC236}">
              <a16:creationId xmlns:a16="http://schemas.microsoft.com/office/drawing/2014/main" id="{3AFF5B9C-626F-43AC-898D-46CEF469FB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4</xdr:col>
      <xdr:colOff>333374</xdr:colOff>
      <xdr:row>0</xdr:row>
      <xdr:rowOff>114300</xdr:rowOff>
    </xdr:from>
    <xdr:to>
      <xdr:col>14</xdr:col>
      <xdr:colOff>409575</xdr:colOff>
      <xdr:row>15</xdr:row>
      <xdr:rowOff>0</xdr:rowOff>
    </xdr:to>
    <xdr:graphicFrame macro="">
      <xdr:nvGraphicFramePr>
        <xdr:cNvPr id="3" name="Chart 2">
          <a:extLst>
            <a:ext uri="{FF2B5EF4-FFF2-40B4-BE49-F238E27FC236}">
              <a16:creationId xmlns:a16="http://schemas.microsoft.com/office/drawing/2014/main" id="{BEC8FB43-639C-44D1-BFD4-67FCB4C5EE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c:userShapes xmlns:c="http://schemas.openxmlformats.org/drawingml/2006/chart">
  <cdr:relSizeAnchor xmlns:cdr="http://schemas.openxmlformats.org/drawingml/2006/chartDrawing">
    <cdr:from>
      <cdr:x>0</cdr:x>
      <cdr:y>0</cdr:y>
    </cdr:from>
    <cdr:to>
      <cdr:x>0.24189</cdr:x>
      <cdr:y>0.21557</cdr:y>
    </cdr:to>
    <cdr:pic>
      <cdr:nvPicPr>
        <cdr:cNvPr id="2" name="chart">
          <a:extLst xmlns:a="http://schemas.openxmlformats.org/drawingml/2006/main">
            <a:ext uri="{FF2B5EF4-FFF2-40B4-BE49-F238E27FC236}">
              <a16:creationId xmlns:a16="http://schemas.microsoft.com/office/drawing/2014/main" id="{EEFFE533-8ED8-4694-8F18-D18E13F5995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1377815" cy="591363"/>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Elgayaty" refreshedDate="45525.52703125" backgroundQuery="1" createdVersion="7" refreshedVersion="7" minRefreshableVersion="3" recordCount="0" supportSubquery="1" supportAdvancedDrill="1" xr:uid="{00000000-000A-0000-FFFF-FFFF00000000}">
  <cacheSource type="external" connectionId="1"/>
  <cacheFields count="4">
    <cacheField name="[Range].[Last Rev.].[Last Rev.]" caption="Last Rev." numFmtId="0" hierarchy="4" level="1">
      <sharedItems containsSemiMixedTypes="0" containsNonDate="0" containsString="0"/>
    </cacheField>
    <cacheField name="[Range].[Action].[Action]" caption="Action" numFmtId="0" hierarchy="12" level="1">
      <sharedItems count="1">
        <s v="Replied"/>
      </sharedItems>
    </cacheField>
    <cacheField name="[Range].[Discipline].[Discipline]" caption="Discipline" numFmtId="0" hierarchy="1" level="1">
      <sharedItems containsSemiMixedTypes="0" containsNonDate="0" containsString="0"/>
    </cacheField>
    <cacheField name="[Measures].[Count of Discipline]" caption="Count of Discipline" numFmtId="0" hierarchy="32" level="32767"/>
  </cacheFields>
  <cacheHierarchies count="33">
    <cacheHierarchy uniqueName="[Range].[Ser. No.]" caption="Ser. No." attribute="1" defaultMemberUniqueName="[Range].[Ser. No.].[All]" allUniqueName="[Range].[Ser. No.].[All]" dimensionUniqueName="[Range]" displayFolder="" count="0" memberValueDatatype="20" unbalanced="0"/>
    <cacheHierarchy uniqueName="[Range].[Discipline]" caption="Discipline" attribute="1" defaultMemberUniqueName="[Range].[Discipline].[All]" allUniqueName="[Range].[Discipline].[All]" dimensionUniqueName="[Range]" displayFolder="" count="2" memberValueDatatype="130" unbalanced="0">
      <fieldsUsage count="2">
        <fieldUsage x="-1"/>
        <fieldUsage x="2"/>
      </fieldsUsage>
    </cacheHierarchy>
    <cacheHierarchy uniqueName="[Range].[Submittal No.]" caption="Submittal No." attribute="1" defaultMemberUniqueName="[Range].[Submittal No.].[All]" allUniqueName="[Range].[Submittal No.].[All]" dimensionUniqueName="[Range]" displayFolder="" count="0" memberValueDatatype="130" unbalanced="0"/>
    <cacheHierarchy uniqueName="[Range].[Rev.]" caption="Rev." attribute="1" defaultMemberUniqueName="[Range].[Rev.].[All]" allUniqueName="[Range].[Rev.].[All]" dimensionUniqueName="[Range]" displayFolder="" count="0" memberValueDatatype="20" unbalanced="0"/>
    <cacheHierarchy uniqueName="[Range].[Last Rev.]" caption="Last Rev." attribute="1" defaultMemberUniqueName="[Range].[Last Rev.].[All]" allUniqueName="[Range].[Last Rev.].[All]" dimensionUniqueName="[Range]" displayFolder="" count="2" memberValueDatatype="130" unbalanced="0">
      <fieldsUsage count="2">
        <fieldUsage x="-1"/>
        <fieldUsage x="0"/>
      </fieldsUsage>
    </cacheHierarchy>
    <cacheHierarchy uniqueName="[Range].[building]" caption="building" attribute="1" defaultMemberUniqueName="[Range].[building].[All]" allUniqueName="[Range].[building].[All]" dimensionUniqueName="[Range]" displayFolder="" count="0" memberValueDatatype="130" unbalanced="0"/>
    <cacheHierarchy uniqueName="[Range].[Activity]" caption="Activity" attribute="1" defaultMemberUniqueName="[Range].[Activity].[All]" allUniqueName="[Range].[Activity].[All]" dimensionUniqueName="[Range]" displayFolder="" count="0" memberValueDatatype="130" unbalanced="0"/>
    <cacheHierarchy uniqueName="[Range].[Description]" caption="Description" attribute="1" defaultMemberUniqueName="[Range].[Description].[All]" allUniqueName="[Range].[Description].[All]" dimensionUniqueName="[Range]" displayFolder="" count="0" memberValueDatatype="130" unbalanced="0"/>
    <cacheHierarchy uniqueName="[Range].[1]" caption="1" attribute="1" defaultMemberUniqueName="[Range].[1].[All]" allUniqueName="[Range].[1].[All]" dimensionUniqueName="[Range]" displayFolder="" count="0" memberValueDatatype="130" unbalanced="0"/>
    <cacheHierarchy uniqueName="[Range].[LINK]" caption="LINK" attribute="1" defaultMemberUniqueName="[Range].[LINK].[All]" allUniqueName="[Range].[LINK].[All]" dimensionUniqueName="[Range]" displayFolder="" count="0" memberValueDatatype="130" unbalanced="0"/>
    <cacheHierarchy uniqueName="[Range].[2]" caption="2" attribute="1" defaultMemberUniqueName="[Range].[2].[All]" allUniqueName="[Range].[2].[All]" dimensionUniqueName="[Range]" displayFolder="" count="0" memberValueDatatype="130" unbalanced="0"/>
    <cacheHierarchy uniqueName="[Range].[Sent Date]" caption="Sent Date" attribute="1" time="1" defaultMemberUniqueName="[Range].[Sent Date].[All]" allUniqueName="[Range].[Sent Date].[All]" dimensionUniqueName="[Range]" displayFolder="" count="0" memberValueDatatype="7" unbalanced="0"/>
    <cacheHierarchy uniqueName="[Range].[Action]" caption="Action" attribute="1" defaultMemberUniqueName="[Range].[Action].[All]" allUniqueName="[Range].[Action].[All]" dimensionUniqueName="[Range]" displayFolder="" count="2" memberValueDatatype="130" unbalanced="0">
      <fieldsUsage count="2">
        <fieldUsage x="-1"/>
        <fieldUsage x="1"/>
      </fieldsUsage>
    </cacheHierarchy>
    <cacheHierarchy uniqueName="[Range].[STATUS]" caption="STATUS" attribute="1" defaultMemberUniqueName="[Range].[STATUS].[All]" allUniqueName="[Range].[STATUS].[All]" dimensionUniqueName="[Range]" displayFolder="" count="0" memberValueDatatype="130" unbalanced="0"/>
    <cacheHierarchy uniqueName="[Range].[Received Date]" caption="Received Date" attribute="1" time="1" defaultMemberUniqueName="[Range].[Received Date].[All]" allUniqueName="[Range].[Received Date].[All]" dimensionUniqueName="[Range]" displayFolder="" count="0" memberValueDatatype="7" unbalanced="0"/>
    <cacheHierarchy uniqueName="[Range].[Delay]" caption="Delay" attribute="1" defaultMemberUniqueName="[Range].[Delay].[All]" allUniqueName="[Range].[Delay].[All]" dimensionUniqueName="[Range]" displayFolder="" count="0" memberValueDatatype="130" unbalanced="0"/>
    <cacheHierarchy uniqueName="[Range].[Period]" caption="Period" attribute="1" defaultMemberUniqueName="[Range].[Period].[All]" allUniqueName="[Range].[Period].[All]" dimensionUniqueName="[Range]" displayFolder="" count="0" memberValueDatatype="130" unbalanced="0"/>
    <cacheHierarchy uniqueName="[Range].[Sent Date (Year)]" caption="Sent Date (Year)" attribute="1" defaultMemberUniqueName="[Range].[Sent Date (Year)].[All]" allUniqueName="[Range].[Sent Date (Year)].[All]" dimensionUniqueName="[Range]" displayFolder="" count="2" memberValueDatatype="130" unbalanced="0"/>
    <cacheHierarchy uniqueName="[Range].[Sent Date (Quarter)]" caption="Sent Date (Quarter)" attribute="1" defaultMemberUniqueName="[Range].[Sent Date (Quarter)].[All]" allUniqueName="[Range].[Sent Date (Quarter)].[All]" dimensionUniqueName="[Range]" displayFolder="" count="0" memberValueDatatype="130" unbalanced="0"/>
    <cacheHierarchy uniqueName="[Range].[Sent Date (Month)]" caption="Sent Date (Month)" attribute="1" defaultMemberUniqueName="[Range].[Sent Date (Month)].[All]" allUniqueName="[Range].[Sent Date (Month)].[All]" dimensionUniqueName="[Range]" displayFolder="" count="0" memberValueDatatype="130" unbalanced="0"/>
    <cacheHierarchy uniqueName="[Range].[Received Date (Year)]" caption="Received Date (Year)" attribute="1" defaultMemberUniqueName="[Range].[Received Date (Year)].[All]" allUniqueName="[Range].[Received Date (Year)].[All]" dimensionUniqueName="[Range]" displayFolder="" count="2" memberValueDatatype="130" unbalanced="0"/>
    <cacheHierarchy uniqueName="[Range].[Received Date (Quarter)]" caption="Received Date (Quarter)" attribute="1" defaultMemberUniqueName="[Range].[Received Date (Quarter)].[All]" allUniqueName="[Range].[Received Date (Quarter)].[All]" dimensionUniqueName="[Range]" displayFolder="" count="0" memberValueDatatype="130" unbalanced="0"/>
    <cacheHierarchy uniqueName="[Range].[Received Date (Month)]" caption="Received Date (Month)" attribute="1" defaultMemberUniqueName="[Range].[Received Date (Month)].[All]" allUniqueName="[Range].[Received Date (Month)].[All]" dimensionUniqueName="[Range]" displayFolder="" count="0" memberValueDatatype="130" unbalanced="0"/>
    <cacheHierarchy uniqueName="[Range].[Received Date (Month Index)]" caption="Received Date (Month Index)" attribute="1" defaultMemberUniqueName="[Range].[Received Date (Month Index)].[All]" allUniqueName="[Range].[Received Date (Month Index)].[All]" dimensionUniqueName="[Range]" displayFolder="" count="0" memberValueDatatype="20" unbalanced="0" hidden="1"/>
    <cacheHierarchy uniqueName="[Range].[Sent Date (Month Index)]" caption="Sent Date (Month Index)" attribute="1" defaultMemberUniqueName="[Range].[Sent Date (Month Index)].[All]" allUniqueName="[Range].[Sent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Action]" caption="Count of Action" measure="1" displayFolder="" measureGroup="Range" count="0" hidden="1">
      <extLst>
        <ext xmlns:x15="http://schemas.microsoft.com/office/spreadsheetml/2010/11/main" uri="{B97F6D7D-B522-45F9-BDA1-12C45D357490}">
          <x15:cacheHierarchy aggregatedColumn="12"/>
        </ext>
      </extLst>
    </cacheHierarchy>
    <cacheHierarchy uniqueName="[Measures].[Count of Sent Date (Year)]" caption="Count of Sent Date (Year)" measure="1" displayFolder="" measureGroup="Range" count="0" hidden="1">
      <extLst>
        <ext xmlns:x15="http://schemas.microsoft.com/office/spreadsheetml/2010/11/main" uri="{B97F6D7D-B522-45F9-BDA1-12C45D357490}">
          <x15:cacheHierarchy aggregatedColumn="17"/>
        </ext>
      </extLst>
    </cacheHierarchy>
    <cacheHierarchy uniqueName="[Measures].[Count of Sent Date]" caption="Count of Sent Date" measure="1" displayFolder="" measureGroup="Range" count="0" hidden="1">
      <extLst>
        <ext xmlns:x15="http://schemas.microsoft.com/office/spreadsheetml/2010/11/main" uri="{B97F6D7D-B522-45F9-BDA1-12C45D357490}">
          <x15:cacheHierarchy aggregatedColumn="11"/>
        </ext>
      </extLst>
    </cacheHierarchy>
    <cacheHierarchy uniqueName="[Measures].[Count of Received Date]" caption="Count of Received Date" measure="1" displayFolder="" measureGroup="Range" count="0" hidden="1">
      <extLst>
        <ext xmlns:x15="http://schemas.microsoft.com/office/spreadsheetml/2010/11/main" uri="{B97F6D7D-B522-45F9-BDA1-12C45D357490}">
          <x15:cacheHierarchy aggregatedColumn="14"/>
        </ext>
      </extLst>
    </cacheHierarchy>
    <cacheHierarchy uniqueName="[Measures].[Count of Received Date (Year)]" caption="Count of Received Date (Year)" measure="1" displayFolder="" measureGroup="Range" count="0" hidden="1">
      <extLst>
        <ext xmlns:x15="http://schemas.microsoft.com/office/spreadsheetml/2010/11/main" uri="{B97F6D7D-B522-45F9-BDA1-12C45D357490}">
          <x15:cacheHierarchy aggregatedColumn="20"/>
        </ext>
      </extLst>
    </cacheHierarchy>
    <cacheHierarchy uniqueName="[Measures].[Count of Discipline]" caption="Count of Discipline" measure="1" displayFolder="" measureGroup="Range" count="0" oneField="1" hidden="1">
      <fieldsUsage count="1">
        <fieldUsage x="3"/>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Elgayaty" refreshedDate="45525.527031944446" backgroundQuery="1" createdVersion="7" refreshedVersion="7" minRefreshableVersion="3" recordCount="0" supportSubquery="1" supportAdvancedDrill="1" xr:uid="{00000000-000A-0000-FFFF-FFFF01000000}">
  <cacheSource type="external" connectionId="1"/>
  <cacheFields count="3">
    <cacheField name="[Range].[Discipline].[Discipline]" caption="Discipline" numFmtId="0" hierarchy="1" level="1">
      <sharedItems count="7">
        <s v="Electrical"/>
        <s v="Fire Alarm"/>
        <s v="Fire Fighting"/>
        <s v="HVAC"/>
        <s v="Low Current"/>
        <s v="Piping"/>
        <s v="Plumbing"/>
      </sharedItems>
    </cacheField>
    <cacheField name="[Range].[Last Rev.].[Last Rev.]" caption="Last Rev." numFmtId="0" hierarchy="4" level="1">
      <sharedItems containsSemiMixedTypes="0" containsNonDate="0" containsString="0"/>
    </cacheField>
    <cacheField name="[Measures].[Count of Discipline]" caption="Count of Discipline" numFmtId="0" hierarchy="32" level="32767"/>
  </cacheFields>
  <cacheHierarchies count="33">
    <cacheHierarchy uniqueName="[Range].[Ser. No.]" caption="Ser. No." attribute="1" defaultMemberUniqueName="[Range].[Ser. No.].[All]" allUniqueName="[Range].[Ser. No.].[All]" dimensionUniqueName="[Range]" displayFolder="" count="0" memberValueDatatype="20" unbalanced="0"/>
    <cacheHierarchy uniqueName="[Range].[Discipline]" caption="Discipline" attribute="1" defaultMemberUniqueName="[Range].[Discipline].[All]" allUniqueName="[Range].[Discipline].[All]" dimensionUniqueName="[Range]" displayFolder="" count="2" memberValueDatatype="130" unbalanced="0">
      <fieldsUsage count="2">
        <fieldUsage x="-1"/>
        <fieldUsage x="0"/>
      </fieldsUsage>
    </cacheHierarchy>
    <cacheHierarchy uniqueName="[Range].[Submittal No.]" caption="Submittal No." attribute="1" defaultMemberUniqueName="[Range].[Submittal No.].[All]" allUniqueName="[Range].[Submittal No.].[All]" dimensionUniqueName="[Range]" displayFolder="" count="0" memberValueDatatype="130" unbalanced="0"/>
    <cacheHierarchy uniqueName="[Range].[Rev.]" caption="Rev." attribute="1" defaultMemberUniqueName="[Range].[Rev.].[All]" allUniqueName="[Range].[Rev.].[All]" dimensionUniqueName="[Range]" displayFolder="" count="0" memberValueDatatype="20" unbalanced="0"/>
    <cacheHierarchy uniqueName="[Range].[Last Rev.]" caption="Last Rev." attribute="1" defaultMemberUniqueName="[Range].[Last Rev.].[All]" allUniqueName="[Range].[Last Rev.].[All]" dimensionUniqueName="[Range]" displayFolder="" count="2" memberValueDatatype="130" unbalanced="0">
      <fieldsUsage count="2">
        <fieldUsage x="-1"/>
        <fieldUsage x="1"/>
      </fieldsUsage>
    </cacheHierarchy>
    <cacheHierarchy uniqueName="[Range].[building]" caption="building" attribute="1" defaultMemberUniqueName="[Range].[building].[All]" allUniqueName="[Range].[building].[All]" dimensionUniqueName="[Range]" displayFolder="" count="0" memberValueDatatype="130" unbalanced="0"/>
    <cacheHierarchy uniqueName="[Range].[Activity]" caption="Activity" attribute="1" defaultMemberUniqueName="[Range].[Activity].[All]" allUniqueName="[Range].[Activity].[All]" dimensionUniqueName="[Range]" displayFolder="" count="0" memberValueDatatype="130" unbalanced="0"/>
    <cacheHierarchy uniqueName="[Range].[Description]" caption="Description" attribute="1" defaultMemberUniqueName="[Range].[Description].[All]" allUniqueName="[Range].[Description].[All]" dimensionUniqueName="[Range]" displayFolder="" count="0" memberValueDatatype="130" unbalanced="0"/>
    <cacheHierarchy uniqueName="[Range].[1]" caption="1" attribute="1" defaultMemberUniqueName="[Range].[1].[All]" allUniqueName="[Range].[1].[All]" dimensionUniqueName="[Range]" displayFolder="" count="0" memberValueDatatype="130" unbalanced="0"/>
    <cacheHierarchy uniqueName="[Range].[LINK]" caption="LINK" attribute="1" defaultMemberUniqueName="[Range].[LINK].[All]" allUniqueName="[Range].[LINK].[All]" dimensionUniqueName="[Range]" displayFolder="" count="0" memberValueDatatype="130" unbalanced="0"/>
    <cacheHierarchy uniqueName="[Range].[2]" caption="2" attribute="1" defaultMemberUniqueName="[Range].[2].[All]" allUniqueName="[Range].[2].[All]" dimensionUniqueName="[Range]" displayFolder="" count="0" memberValueDatatype="130" unbalanced="0"/>
    <cacheHierarchy uniqueName="[Range].[Sent Date]" caption="Sent Date" attribute="1" time="1" defaultMemberUniqueName="[Range].[Sent Date].[All]" allUniqueName="[Range].[Sent Date].[All]" dimensionUniqueName="[Range]" displayFolder="" count="0" memberValueDatatype="7" unbalanced="0"/>
    <cacheHierarchy uniqueName="[Range].[Action]" caption="Action" attribute="1" defaultMemberUniqueName="[Range].[Action].[All]" allUniqueName="[Range].[Action].[All]" dimensionUniqueName="[Range]" displayFolder="" count="2" memberValueDatatype="130" unbalanced="0"/>
    <cacheHierarchy uniqueName="[Range].[STATUS]" caption="STATUS" attribute="1" defaultMemberUniqueName="[Range].[STATUS].[All]" allUniqueName="[Range].[STATUS].[All]" dimensionUniqueName="[Range]" displayFolder="" count="0" memberValueDatatype="130" unbalanced="0"/>
    <cacheHierarchy uniqueName="[Range].[Received Date]" caption="Received Date" attribute="1" time="1" defaultMemberUniqueName="[Range].[Received Date].[All]" allUniqueName="[Range].[Received Date].[All]" dimensionUniqueName="[Range]" displayFolder="" count="0" memberValueDatatype="7" unbalanced="0"/>
    <cacheHierarchy uniqueName="[Range].[Delay]" caption="Delay" attribute="1" defaultMemberUniqueName="[Range].[Delay].[All]" allUniqueName="[Range].[Delay].[All]" dimensionUniqueName="[Range]" displayFolder="" count="0" memberValueDatatype="130" unbalanced="0"/>
    <cacheHierarchy uniqueName="[Range].[Period]" caption="Period" attribute="1" defaultMemberUniqueName="[Range].[Period].[All]" allUniqueName="[Range].[Period].[All]" dimensionUniqueName="[Range]" displayFolder="" count="0" memberValueDatatype="130" unbalanced="0"/>
    <cacheHierarchy uniqueName="[Range].[Sent Date (Year)]" caption="Sent Date (Year)" attribute="1" defaultMemberUniqueName="[Range].[Sent Date (Year)].[All]" allUniqueName="[Range].[Sent Date (Year)].[All]" dimensionUniqueName="[Range]" displayFolder="" count="2" memberValueDatatype="130" unbalanced="0"/>
    <cacheHierarchy uniqueName="[Range].[Sent Date (Quarter)]" caption="Sent Date (Quarter)" attribute="1" defaultMemberUniqueName="[Range].[Sent Date (Quarter)].[All]" allUniqueName="[Range].[Sent Date (Quarter)].[All]" dimensionUniqueName="[Range]" displayFolder="" count="0" memberValueDatatype="130" unbalanced="0"/>
    <cacheHierarchy uniqueName="[Range].[Sent Date (Month)]" caption="Sent Date (Month)" attribute="1" defaultMemberUniqueName="[Range].[Sent Date (Month)].[All]" allUniqueName="[Range].[Sent Date (Month)].[All]" dimensionUniqueName="[Range]" displayFolder="" count="0" memberValueDatatype="130" unbalanced="0"/>
    <cacheHierarchy uniqueName="[Range].[Received Date (Year)]" caption="Received Date (Year)" attribute="1" defaultMemberUniqueName="[Range].[Received Date (Year)].[All]" allUniqueName="[Range].[Received Date (Year)].[All]" dimensionUniqueName="[Range]" displayFolder="" count="2" memberValueDatatype="130" unbalanced="0"/>
    <cacheHierarchy uniqueName="[Range].[Received Date (Quarter)]" caption="Received Date (Quarter)" attribute="1" defaultMemberUniqueName="[Range].[Received Date (Quarter)].[All]" allUniqueName="[Range].[Received Date (Quarter)].[All]" dimensionUniqueName="[Range]" displayFolder="" count="0" memberValueDatatype="130" unbalanced="0"/>
    <cacheHierarchy uniqueName="[Range].[Received Date (Month)]" caption="Received Date (Month)" attribute="1" defaultMemberUniqueName="[Range].[Received Date (Month)].[All]" allUniqueName="[Range].[Received Date (Month)].[All]" dimensionUniqueName="[Range]" displayFolder="" count="0" memberValueDatatype="130" unbalanced="0"/>
    <cacheHierarchy uniqueName="[Range].[Received Date (Month Index)]" caption="Received Date (Month Index)" attribute="1" defaultMemberUniqueName="[Range].[Received Date (Month Index)].[All]" allUniqueName="[Range].[Received Date (Month Index)].[All]" dimensionUniqueName="[Range]" displayFolder="" count="0" memberValueDatatype="20" unbalanced="0" hidden="1"/>
    <cacheHierarchy uniqueName="[Range].[Sent Date (Month Index)]" caption="Sent Date (Month Index)" attribute="1" defaultMemberUniqueName="[Range].[Sent Date (Month Index)].[All]" allUniqueName="[Range].[Sent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Action]" caption="Count of Action" measure="1" displayFolder="" measureGroup="Range" count="0" hidden="1">
      <extLst>
        <ext xmlns:x15="http://schemas.microsoft.com/office/spreadsheetml/2010/11/main" uri="{B97F6D7D-B522-45F9-BDA1-12C45D357490}">
          <x15:cacheHierarchy aggregatedColumn="12"/>
        </ext>
      </extLst>
    </cacheHierarchy>
    <cacheHierarchy uniqueName="[Measures].[Count of Sent Date (Year)]" caption="Count of Sent Date (Year)" measure="1" displayFolder="" measureGroup="Range" count="0" hidden="1">
      <extLst>
        <ext xmlns:x15="http://schemas.microsoft.com/office/spreadsheetml/2010/11/main" uri="{B97F6D7D-B522-45F9-BDA1-12C45D357490}">
          <x15:cacheHierarchy aggregatedColumn="17"/>
        </ext>
      </extLst>
    </cacheHierarchy>
    <cacheHierarchy uniqueName="[Measures].[Count of Sent Date]" caption="Count of Sent Date" measure="1" displayFolder="" measureGroup="Range" count="0" hidden="1">
      <extLst>
        <ext xmlns:x15="http://schemas.microsoft.com/office/spreadsheetml/2010/11/main" uri="{B97F6D7D-B522-45F9-BDA1-12C45D357490}">
          <x15:cacheHierarchy aggregatedColumn="11"/>
        </ext>
      </extLst>
    </cacheHierarchy>
    <cacheHierarchy uniqueName="[Measures].[Count of Received Date]" caption="Count of Received Date" measure="1" displayFolder="" measureGroup="Range" count="0" hidden="1">
      <extLst>
        <ext xmlns:x15="http://schemas.microsoft.com/office/spreadsheetml/2010/11/main" uri="{B97F6D7D-B522-45F9-BDA1-12C45D357490}">
          <x15:cacheHierarchy aggregatedColumn="14"/>
        </ext>
      </extLst>
    </cacheHierarchy>
    <cacheHierarchy uniqueName="[Measures].[Count of Received Date (Year)]" caption="Count of Received Date (Year)" measure="1" displayFolder="" measureGroup="Range" count="0" hidden="1">
      <extLst>
        <ext xmlns:x15="http://schemas.microsoft.com/office/spreadsheetml/2010/11/main" uri="{B97F6D7D-B522-45F9-BDA1-12C45D357490}">
          <x15:cacheHierarchy aggregatedColumn="20"/>
        </ext>
      </extLst>
    </cacheHierarchy>
    <cacheHierarchy uniqueName="[Measures].[Count of Discipline]" caption="Count of Discipline" measure="1" displayFolder="" measureGroup="Range" count="0" oneField="1" hidden="1">
      <fieldsUsage count="1">
        <fieldUsage x="2"/>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Elgayaty" refreshedDate="45525.527032638885" backgroundQuery="1" createdVersion="7" refreshedVersion="7" minRefreshableVersion="3" recordCount="0" supportSubquery="1" supportAdvancedDrill="1" xr:uid="{00000000-000A-0000-FFFF-FFFF02000000}">
  <cacheSource type="external" connectionId="1"/>
  <cacheFields count="4">
    <cacheField name="[Range].[Discipline].[Discipline]" caption="Discipline" numFmtId="0" hierarchy="1" level="1">
      <sharedItems count="7">
        <s v="Electrical"/>
        <s v="Fire Alarm"/>
        <s v="Fire Fighting"/>
        <s v="HVAC"/>
        <s v="Low Current"/>
        <s v="Piping"/>
        <s v="Plumbing"/>
      </sharedItems>
    </cacheField>
    <cacheField name="[Range].[Last Rev.].[Last Rev.]" caption="Last Rev." numFmtId="0" hierarchy="4" level="1">
      <sharedItems containsSemiMixedTypes="0" containsNonDate="0" containsString="0"/>
    </cacheField>
    <cacheField name="[Measures].[Count of Action]" caption="Count of Action" numFmtId="0" hierarchy="27" level="32767"/>
    <cacheField name="[Range].[Action].[Action]" caption="Action" numFmtId="0" hierarchy="12" level="1">
      <sharedItems count="1">
        <s v="Replied"/>
      </sharedItems>
    </cacheField>
  </cacheFields>
  <cacheHierarchies count="33">
    <cacheHierarchy uniqueName="[Range].[Ser. No.]" caption="Ser. No." attribute="1" defaultMemberUniqueName="[Range].[Ser. No.].[All]" allUniqueName="[Range].[Ser. No.].[All]" dimensionUniqueName="[Range]" displayFolder="" count="0" memberValueDatatype="20" unbalanced="0"/>
    <cacheHierarchy uniqueName="[Range].[Discipline]" caption="Discipline" attribute="1" defaultMemberUniqueName="[Range].[Discipline].[All]" allUniqueName="[Range].[Discipline].[All]" dimensionUniqueName="[Range]" displayFolder="" count="2" memberValueDatatype="130" unbalanced="0">
      <fieldsUsage count="2">
        <fieldUsage x="-1"/>
        <fieldUsage x="0"/>
      </fieldsUsage>
    </cacheHierarchy>
    <cacheHierarchy uniqueName="[Range].[Submittal No.]" caption="Submittal No." attribute="1" defaultMemberUniqueName="[Range].[Submittal No.].[All]" allUniqueName="[Range].[Submittal No.].[All]" dimensionUniqueName="[Range]" displayFolder="" count="0" memberValueDatatype="130" unbalanced="0"/>
    <cacheHierarchy uniqueName="[Range].[Rev.]" caption="Rev." attribute="1" defaultMemberUniqueName="[Range].[Rev.].[All]" allUniqueName="[Range].[Rev.].[All]" dimensionUniqueName="[Range]" displayFolder="" count="0" memberValueDatatype="20" unbalanced="0"/>
    <cacheHierarchy uniqueName="[Range].[Last Rev.]" caption="Last Rev." attribute="1" defaultMemberUniqueName="[Range].[Last Rev.].[All]" allUniqueName="[Range].[Last Rev.].[All]" dimensionUniqueName="[Range]" displayFolder="" count="2" memberValueDatatype="130" unbalanced="0">
      <fieldsUsage count="2">
        <fieldUsage x="-1"/>
        <fieldUsage x="1"/>
      </fieldsUsage>
    </cacheHierarchy>
    <cacheHierarchy uniqueName="[Range].[building]" caption="building" attribute="1" defaultMemberUniqueName="[Range].[building].[All]" allUniqueName="[Range].[building].[All]" dimensionUniqueName="[Range]" displayFolder="" count="0" memberValueDatatype="130" unbalanced="0"/>
    <cacheHierarchy uniqueName="[Range].[Activity]" caption="Activity" attribute="1" defaultMemberUniqueName="[Range].[Activity].[All]" allUniqueName="[Range].[Activity].[All]" dimensionUniqueName="[Range]" displayFolder="" count="0" memberValueDatatype="130" unbalanced="0"/>
    <cacheHierarchy uniqueName="[Range].[Description]" caption="Description" attribute="1" defaultMemberUniqueName="[Range].[Description].[All]" allUniqueName="[Range].[Description].[All]" dimensionUniqueName="[Range]" displayFolder="" count="0" memberValueDatatype="130" unbalanced="0"/>
    <cacheHierarchy uniqueName="[Range].[1]" caption="1" attribute="1" defaultMemberUniqueName="[Range].[1].[All]" allUniqueName="[Range].[1].[All]" dimensionUniqueName="[Range]" displayFolder="" count="0" memberValueDatatype="130" unbalanced="0"/>
    <cacheHierarchy uniqueName="[Range].[LINK]" caption="LINK" attribute="1" defaultMemberUniqueName="[Range].[LINK].[All]" allUniqueName="[Range].[LINK].[All]" dimensionUniqueName="[Range]" displayFolder="" count="0" memberValueDatatype="130" unbalanced="0"/>
    <cacheHierarchy uniqueName="[Range].[2]" caption="2" attribute="1" defaultMemberUniqueName="[Range].[2].[All]" allUniqueName="[Range].[2].[All]" dimensionUniqueName="[Range]" displayFolder="" count="0" memberValueDatatype="130" unbalanced="0"/>
    <cacheHierarchy uniqueName="[Range].[Sent Date]" caption="Sent Date" attribute="1" time="1" defaultMemberUniqueName="[Range].[Sent Date].[All]" allUniqueName="[Range].[Sent Date].[All]" dimensionUniqueName="[Range]" displayFolder="" count="0" memberValueDatatype="7" unbalanced="0"/>
    <cacheHierarchy uniqueName="[Range].[Action]" caption="Action" attribute="1" defaultMemberUniqueName="[Range].[Action].[All]" allUniqueName="[Range].[Action].[All]" dimensionUniqueName="[Range]" displayFolder="" count="2" memberValueDatatype="130" unbalanced="0">
      <fieldsUsage count="2">
        <fieldUsage x="-1"/>
        <fieldUsage x="3"/>
      </fieldsUsage>
    </cacheHierarchy>
    <cacheHierarchy uniqueName="[Range].[STATUS]" caption="STATUS" attribute="1" defaultMemberUniqueName="[Range].[STATUS].[All]" allUniqueName="[Range].[STATUS].[All]" dimensionUniqueName="[Range]" displayFolder="" count="0" memberValueDatatype="130" unbalanced="0"/>
    <cacheHierarchy uniqueName="[Range].[Received Date]" caption="Received Date" attribute="1" time="1" defaultMemberUniqueName="[Range].[Received Date].[All]" allUniqueName="[Range].[Received Date].[All]" dimensionUniqueName="[Range]" displayFolder="" count="0" memberValueDatatype="7" unbalanced="0"/>
    <cacheHierarchy uniqueName="[Range].[Delay]" caption="Delay" attribute="1" defaultMemberUniqueName="[Range].[Delay].[All]" allUniqueName="[Range].[Delay].[All]" dimensionUniqueName="[Range]" displayFolder="" count="0" memberValueDatatype="130" unbalanced="0"/>
    <cacheHierarchy uniqueName="[Range].[Period]" caption="Period" attribute="1" defaultMemberUniqueName="[Range].[Period].[All]" allUniqueName="[Range].[Period].[All]" dimensionUniqueName="[Range]" displayFolder="" count="0" memberValueDatatype="130" unbalanced="0"/>
    <cacheHierarchy uniqueName="[Range].[Sent Date (Year)]" caption="Sent Date (Year)" attribute="1" defaultMemberUniqueName="[Range].[Sent Date (Year)].[All]" allUniqueName="[Range].[Sent Date (Year)].[All]" dimensionUniqueName="[Range]" displayFolder="" count="2" memberValueDatatype="130" unbalanced="0"/>
    <cacheHierarchy uniqueName="[Range].[Sent Date (Quarter)]" caption="Sent Date (Quarter)" attribute="1" defaultMemberUniqueName="[Range].[Sent Date (Quarter)].[All]" allUniqueName="[Range].[Sent Date (Quarter)].[All]" dimensionUniqueName="[Range]" displayFolder="" count="0" memberValueDatatype="130" unbalanced="0"/>
    <cacheHierarchy uniqueName="[Range].[Sent Date (Month)]" caption="Sent Date (Month)" attribute="1" defaultMemberUniqueName="[Range].[Sent Date (Month)].[All]" allUniqueName="[Range].[Sent Date (Month)].[All]" dimensionUniqueName="[Range]" displayFolder="" count="0" memberValueDatatype="130" unbalanced="0"/>
    <cacheHierarchy uniqueName="[Range].[Received Date (Year)]" caption="Received Date (Year)" attribute="1" defaultMemberUniqueName="[Range].[Received Date (Year)].[All]" allUniqueName="[Range].[Received Date (Year)].[All]" dimensionUniqueName="[Range]" displayFolder="" count="2" memberValueDatatype="130" unbalanced="0"/>
    <cacheHierarchy uniqueName="[Range].[Received Date (Quarter)]" caption="Received Date (Quarter)" attribute="1" defaultMemberUniqueName="[Range].[Received Date (Quarter)].[All]" allUniqueName="[Range].[Received Date (Quarter)].[All]" dimensionUniqueName="[Range]" displayFolder="" count="0" memberValueDatatype="130" unbalanced="0"/>
    <cacheHierarchy uniqueName="[Range].[Received Date (Month)]" caption="Received Date (Month)" attribute="1" defaultMemberUniqueName="[Range].[Received Date (Month)].[All]" allUniqueName="[Range].[Received Date (Month)].[All]" dimensionUniqueName="[Range]" displayFolder="" count="0" memberValueDatatype="130" unbalanced="0"/>
    <cacheHierarchy uniqueName="[Range].[Received Date (Month Index)]" caption="Received Date (Month Index)" attribute="1" defaultMemberUniqueName="[Range].[Received Date (Month Index)].[All]" allUniqueName="[Range].[Received Date (Month Index)].[All]" dimensionUniqueName="[Range]" displayFolder="" count="0" memberValueDatatype="20" unbalanced="0" hidden="1"/>
    <cacheHierarchy uniqueName="[Range].[Sent Date (Month Index)]" caption="Sent Date (Month Index)" attribute="1" defaultMemberUniqueName="[Range].[Sent Date (Month Index)].[All]" allUniqueName="[Range].[Sent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Action]" caption="Count of Action" measure="1" displayFolder="" measureGroup="Range"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Sent Date (Year)]" caption="Count of Sent Date (Year)" measure="1" displayFolder="" measureGroup="Range" count="0" hidden="1">
      <extLst>
        <ext xmlns:x15="http://schemas.microsoft.com/office/spreadsheetml/2010/11/main" uri="{B97F6D7D-B522-45F9-BDA1-12C45D357490}">
          <x15:cacheHierarchy aggregatedColumn="17"/>
        </ext>
      </extLst>
    </cacheHierarchy>
    <cacheHierarchy uniqueName="[Measures].[Count of Sent Date]" caption="Count of Sent Date" measure="1" displayFolder="" measureGroup="Range" count="0" hidden="1">
      <extLst>
        <ext xmlns:x15="http://schemas.microsoft.com/office/spreadsheetml/2010/11/main" uri="{B97F6D7D-B522-45F9-BDA1-12C45D357490}">
          <x15:cacheHierarchy aggregatedColumn="11"/>
        </ext>
      </extLst>
    </cacheHierarchy>
    <cacheHierarchy uniqueName="[Measures].[Count of Received Date]" caption="Count of Received Date" measure="1" displayFolder="" measureGroup="Range" count="0" hidden="1">
      <extLst>
        <ext xmlns:x15="http://schemas.microsoft.com/office/spreadsheetml/2010/11/main" uri="{B97F6D7D-B522-45F9-BDA1-12C45D357490}">
          <x15:cacheHierarchy aggregatedColumn="14"/>
        </ext>
      </extLst>
    </cacheHierarchy>
    <cacheHierarchy uniqueName="[Measures].[Count of Received Date (Year)]" caption="Count of Received Date (Year)" measure="1" displayFolder="" measureGroup="Range" count="0" hidden="1">
      <extLst>
        <ext xmlns:x15="http://schemas.microsoft.com/office/spreadsheetml/2010/11/main" uri="{B97F6D7D-B522-45F9-BDA1-12C45D357490}">
          <x15:cacheHierarchy aggregatedColumn="20"/>
        </ext>
      </extLst>
    </cacheHierarchy>
    <cacheHierarchy uniqueName="[Measures].[Count of Discipline]" caption="Count of Discipline"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Elgayaty" refreshedDate="45525.527033449071" backgroundQuery="1" createdVersion="7" refreshedVersion="7" minRefreshableVersion="3" recordCount="0" supportSubquery="1" supportAdvancedDrill="1" xr:uid="{00000000-000A-0000-FFFF-FFFF03000000}">
  <cacheSource type="external" connectionId="1"/>
  <cacheFields count="4">
    <cacheField name="[Range].[Discipline].[Discipline]" caption="Discipline" numFmtId="0" hierarchy="1" level="1">
      <sharedItems count="7">
        <s v="Electrical"/>
        <s v="Fire Alarm"/>
        <s v="Fire Fighting"/>
        <s v="HVAC"/>
        <s v="Low Current"/>
        <s v="Piping"/>
        <s v="Plumbing"/>
      </sharedItems>
    </cacheField>
    <cacheField name="[Range].[Last Rev.].[Last Rev.]" caption="Last Rev." numFmtId="0" hierarchy="4" level="1">
      <sharedItems containsSemiMixedTypes="0" containsNonDate="0" containsString="0"/>
    </cacheField>
    <cacheField name="[Range].[Sent Date (Year)].[Sent Date (Year)]" caption="Sent Date (Year)" numFmtId="0" hierarchy="17" level="1">
      <sharedItems count="3">
        <s v="2022"/>
        <s v="2023"/>
        <s v="2024"/>
      </sharedItems>
    </cacheField>
    <cacheField name="[Measures].[Count of Received Date (Year)]" caption="Count of Received Date (Year)" numFmtId="0" hierarchy="31" level="32767"/>
  </cacheFields>
  <cacheHierarchies count="33">
    <cacheHierarchy uniqueName="[Range].[Ser. No.]" caption="Ser. No." attribute="1" defaultMemberUniqueName="[Range].[Ser. No.].[All]" allUniqueName="[Range].[Ser. No.].[All]" dimensionUniqueName="[Range]" displayFolder="" count="0" memberValueDatatype="20" unbalanced="0"/>
    <cacheHierarchy uniqueName="[Range].[Discipline]" caption="Discipline" attribute="1" defaultMemberUniqueName="[Range].[Discipline].[All]" allUniqueName="[Range].[Discipline].[All]" dimensionUniqueName="[Range]" displayFolder="" count="2" memberValueDatatype="130" unbalanced="0">
      <fieldsUsage count="2">
        <fieldUsage x="-1"/>
        <fieldUsage x="0"/>
      </fieldsUsage>
    </cacheHierarchy>
    <cacheHierarchy uniqueName="[Range].[Submittal No.]" caption="Submittal No." attribute="1" defaultMemberUniqueName="[Range].[Submittal No.].[All]" allUniqueName="[Range].[Submittal No.].[All]" dimensionUniqueName="[Range]" displayFolder="" count="0" memberValueDatatype="130" unbalanced="0"/>
    <cacheHierarchy uniqueName="[Range].[Rev.]" caption="Rev." attribute="1" defaultMemberUniqueName="[Range].[Rev.].[All]" allUniqueName="[Range].[Rev.].[All]" dimensionUniqueName="[Range]" displayFolder="" count="0" memberValueDatatype="20" unbalanced="0"/>
    <cacheHierarchy uniqueName="[Range].[Last Rev.]" caption="Last Rev." attribute="1" defaultMemberUniqueName="[Range].[Last Rev.].[All]" allUniqueName="[Range].[Last Rev.].[All]" dimensionUniqueName="[Range]" displayFolder="" count="2" memberValueDatatype="130" unbalanced="0">
      <fieldsUsage count="2">
        <fieldUsage x="-1"/>
        <fieldUsage x="1"/>
      </fieldsUsage>
    </cacheHierarchy>
    <cacheHierarchy uniqueName="[Range].[building]" caption="building" attribute="1" defaultMemberUniqueName="[Range].[building].[All]" allUniqueName="[Range].[building].[All]" dimensionUniqueName="[Range]" displayFolder="" count="0" memberValueDatatype="130" unbalanced="0"/>
    <cacheHierarchy uniqueName="[Range].[Activity]" caption="Activity" attribute="1" defaultMemberUniqueName="[Range].[Activity].[All]" allUniqueName="[Range].[Activity].[All]" dimensionUniqueName="[Range]" displayFolder="" count="0" memberValueDatatype="130" unbalanced="0"/>
    <cacheHierarchy uniqueName="[Range].[Description]" caption="Description" attribute="1" defaultMemberUniqueName="[Range].[Description].[All]" allUniqueName="[Range].[Description].[All]" dimensionUniqueName="[Range]" displayFolder="" count="0" memberValueDatatype="130" unbalanced="0"/>
    <cacheHierarchy uniqueName="[Range].[1]" caption="1" attribute="1" defaultMemberUniqueName="[Range].[1].[All]" allUniqueName="[Range].[1].[All]" dimensionUniqueName="[Range]" displayFolder="" count="0" memberValueDatatype="130" unbalanced="0"/>
    <cacheHierarchy uniqueName="[Range].[LINK]" caption="LINK" attribute="1" defaultMemberUniqueName="[Range].[LINK].[All]" allUniqueName="[Range].[LINK].[All]" dimensionUniqueName="[Range]" displayFolder="" count="0" memberValueDatatype="130" unbalanced="0"/>
    <cacheHierarchy uniqueName="[Range].[2]" caption="2" attribute="1" defaultMemberUniqueName="[Range].[2].[All]" allUniqueName="[Range].[2].[All]" dimensionUniqueName="[Range]" displayFolder="" count="0" memberValueDatatype="130" unbalanced="0"/>
    <cacheHierarchy uniqueName="[Range].[Sent Date]" caption="Sent Date" attribute="1" time="1" defaultMemberUniqueName="[Range].[Sent Date].[All]" allUniqueName="[Range].[Sent Date].[All]" dimensionUniqueName="[Range]" displayFolder="" count="0" memberValueDatatype="7" unbalanced="0"/>
    <cacheHierarchy uniqueName="[Range].[Action]" caption="Action" attribute="1" defaultMemberUniqueName="[Range].[Action].[All]" allUniqueName="[Range].[Action].[All]" dimensionUniqueName="[Range]" displayFolder="" count="2" memberValueDatatype="130" unbalanced="0"/>
    <cacheHierarchy uniqueName="[Range].[STATUS]" caption="STATUS" attribute="1" defaultMemberUniqueName="[Range].[STATUS].[All]" allUniqueName="[Range].[STATUS].[All]" dimensionUniqueName="[Range]" displayFolder="" count="0" memberValueDatatype="130" unbalanced="0"/>
    <cacheHierarchy uniqueName="[Range].[Received Date]" caption="Received Date" attribute="1" time="1" defaultMemberUniqueName="[Range].[Received Date].[All]" allUniqueName="[Range].[Received Date].[All]" dimensionUniqueName="[Range]" displayFolder="" count="0" memberValueDatatype="7" unbalanced="0"/>
    <cacheHierarchy uniqueName="[Range].[Delay]" caption="Delay" attribute="1" defaultMemberUniqueName="[Range].[Delay].[All]" allUniqueName="[Range].[Delay].[All]" dimensionUniqueName="[Range]" displayFolder="" count="0" memberValueDatatype="130" unbalanced="0"/>
    <cacheHierarchy uniqueName="[Range].[Period]" caption="Period" attribute="1" defaultMemberUniqueName="[Range].[Period].[All]" allUniqueName="[Range].[Period].[All]" dimensionUniqueName="[Range]" displayFolder="" count="0" memberValueDatatype="130" unbalanced="0"/>
    <cacheHierarchy uniqueName="[Range].[Sent Date (Year)]" caption="Sent Date (Year)" attribute="1" defaultMemberUniqueName="[Range].[Sent Date (Year)].[All]" allUniqueName="[Range].[Sent Date (Year)].[All]" dimensionUniqueName="[Range]" displayFolder="" count="2" memberValueDatatype="130" unbalanced="0">
      <fieldsUsage count="2">
        <fieldUsage x="-1"/>
        <fieldUsage x="2"/>
      </fieldsUsage>
    </cacheHierarchy>
    <cacheHierarchy uniqueName="[Range].[Sent Date (Quarter)]" caption="Sent Date (Quarter)" attribute="1" defaultMemberUniqueName="[Range].[Sent Date (Quarter)].[All]" allUniqueName="[Range].[Sent Date (Quarter)].[All]" dimensionUniqueName="[Range]" displayFolder="" count="0" memberValueDatatype="130" unbalanced="0"/>
    <cacheHierarchy uniqueName="[Range].[Sent Date (Month)]" caption="Sent Date (Month)" attribute="1" defaultMemberUniqueName="[Range].[Sent Date (Month)].[All]" allUniqueName="[Range].[Sent Date (Month)].[All]" dimensionUniqueName="[Range]" displayFolder="" count="0" memberValueDatatype="130" unbalanced="0"/>
    <cacheHierarchy uniqueName="[Range].[Received Date (Year)]" caption="Received Date (Year)" attribute="1" defaultMemberUniqueName="[Range].[Received Date (Year)].[All]" allUniqueName="[Range].[Received Date (Year)].[All]" dimensionUniqueName="[Range]" displayFolder="" count="2" memberValueDatatype="130" unbalanced="0"/>
    <cacheHierarchy uniqueName="[Range].[Received Date (Quarter)]" caption="Received Date (Quarter)" attribute="1" defaultMemberUniqueName="[Range].[Received Date (Quarter)].[All]" allUniqueName="[Range].[Received Date (Quarter)].[All]" dimensionUniqueName="[Range]" displayFolder="" count="0" memberValueDatatype="130" unbalanced="0"/>
    <cacheHierarchy uniqueName="[Range].[Received Date (Month)]" caption="Received Date (Month)" attribute="1" defaultMemberUniqueName="[Range].[Received Date (Month)].[All]" allUniqueName="[Range].[Received Date (Month)].[All]" dimensionUniqueName="[Range]" displayFolder="" count="0" memberValueDatatype="130" unbalanced="0"/>
    <cacheHierarchy uniqueName="[Range].[Received Date (Month Index)]" caption="Received Date (Month Index)" attribute="1" defaultMemberUniqueName="[Range].[Received Date (Month Index)].[All]" allUniqueName="[Range].[Received Date (Month Index)].[All]" dimensionUniqueName="[Range]" displayFolder="" count="0" memberValueDatatype="20" unbalanced="0" hidden="1"/>
    <cacheHierarchy uniqueName="[Range].[Sent Date (Month Index)]" caption="Sent Date (Month Index)" attribute="1" defaultMemberUniqueName="[Range].[Sent Date (Month Index)].[All]" allUniqueName="[Range].[Sent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Action]" caption="Count of Action" measure="1" displayFolder="" measureGroup="Range" count="0" hidden="1">
      <extLst>
        <ext xmlns:x15="http://schemas.microsoft.com/office/spreadsheetml/2010/11/main" uri="{B97F6D7D-B522-45F9-BDA1-12C45D357490}">
          <x15:cacheHierarchy aggregatedColumn="12"/>
        </ext>
      </extLst>
    </cacheHierarchy>
    <cacheHierarchy uniqueName="[Measures].[Count of Sent Date (Year)]" caption="Count of Sent Date (Year)" measure="1" displayFolder="" measureGroup="Range" count="0" hidden="1">
      <extLst>
        <ext xmlns:x15="http://schemas.microsoft.com/office/spreadsheetml/2010/11/main" uri="{B97F6D7D-B522-45F9-BDA1-12C45D357490}">
          <x15:cacheHierarchy aggregatedColumn="17"/>
        </ext>
      </extLst>
    </cacheHierarchy>
    <cacheHierarchy uniqueName="[Measures].[Count of Sent Date]" caption="Count of Sent Date" measure="1" displayFolder="" measureGroup="Range" count="0" hidden="1">
      <extLst>
        <ext xmlns:x15="http://schemas.microsoft.com/office/spreadsheetml/2010/11/main" uri="{B97F6D7D-B522-45F9-BDA1-12C45D357490}">
          <x15:cacheHierarchy aggregatedColumn="11"/>
        </ext>
      </extLst>
    </cacheHierarchy>
    <cacheHierarchy uniqueName="[Measures].[Count of Received Date]" caption="Count of Received Date" measure="1" displayFolder="" measureGroup="Range" count="0" hidden="1">
      <extLst>
        <ext xmlns:x15="http://schemas.microsoft.com/office/spreadsheetml/2010/11/main" uri="{B97F6D7D-B522-45F9-BDA1-12C45D357490}">
          <x15:cacheHierarchy aggregatedColumn="14"/>
        </ext>
      </extLst>
    </cacheHierarchy>
    <cacheHierarchy uniqueName="[Measures].[Count of Received Date (Year)]" caption="Count of Received Date (Year)" measure="1" displayFolder="" measureGroup="Range" count="0" oneField="1" hidden="1">
      <fieldsUsage count="1">
        <fieldUsage x="3"/>
      </fieldsUsage>
      <extLst>
        <ext xmlns:x15="http://schemas.microsoft.com/office/spreadsheetml/2010/11/main" uri="{B97F6D7D-B522-45F9-BDA1-12C45D357490}">
          <x15:cacheHierarchy aggregatedColumn="20"/>
        </ext>
      </extLst>
    </cacheHierarchy>
    <cacheHierarchy uniqueName="[Measures].[Count of Discipline]" caption="Count of Discipline"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Action" cacheId="0" applyNumberFormats="0" applyBorderFormats="0" applyFontFormats="0" applyPatternFormats="0" applyAlignmentFormats="0" applyWidthHeightFormats="1" dataCaption="Values" updatedVersion="7" minRefreshableVersion="3" useAutoFormatting="1" subtotalHiddenItems="1" itemPrintTitles="1" createdVersion="7" indent="0" showHeaders="0" outline="1" outlineData="1" multipleFieldFilters="0" chartFormat="4">
  <location ref="B3:C5" firstHeaderRow="1" firstDataRow="1" firstDataCol="1" rowPageCount="1" colPageCount="1"/>
  <pivotFields count="4">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allDrilled="1" subtotalTop="0" showAll="0" dataSourceSort="1" defaultSubtotal="0" defaultAttributeDrillState="1"/>
    <pivotField dataField="1" subtotalTop="0" showAll="0" defaultSubtotal="0"/>
  </pivotFields>
  <rowFields count="1">
    <field x="1"/>
  </rowFields>
  <rowItems count="2">
    <i>
      <x/>
    </i>
    <i t="grand">
      <x/>
    </i>
  </rowItems>
  <colItems count="1">
    <i/>
  </colItems>
  <pageFields count="1">
    <pageField fld="0" hier="4" name="[Range].[Last Rev.].&amp;[L]" cap="L"/>
  </pageFields>
  <dataFields count="1">
    <dataField name="Count of Discipline" fld="3" subtotal="count" baseField="0" baseItem="0"/>
  </dataFields>
  <chartFormats count="2">
    <chartFormat chart="0" format="6" series="1">
      <pivotArea type="data" outline="0" fieldPosition="0">
        <references count="1">
          <reference field="4294967294" count="1" selected="0">
            <x v="0"/>
          </reference>
        </references>
      </pivotArea>
    </chartFormat>
    <chartFormat chart="0" format="7">
      <pivotArea type="data" outline="0" fieldPosition="0">
        <references count="2">
          <reference field="4294967294" count="1" selected="0">
            <x v="0"/>
          </reference>
          <reference field="1" count="1" selected="0">
            <x v="0"/>
          </reference>
        </references>
      </pivotArea>
    </chartFormat>
  </chartFormats>
  <pivotHierarchies count="33">
    <pivotHierarchy dragToData="1"/>
    <pivotHierarchy multipleItemSelectionAllowed="1" dragToData="1">
      <members count="7" level="1">
        <member name="[Range].[Discipline].&amp;[Electrical]"/>
        <member name="[Range].[Discipline].&amp;[Fire Alarm]"/>
        <member name="[Range].[Discipline].&amp;[Fire Fighting]"/>
        <member name="[Range].[Discipline].&amp;[HVAC]"/>
        <member name="[Range].[Discipline].&amp;[Low Current]"/>
        <member name="[Range].[Discipline].&amp;[Piping]"/>
        <member name="[Range].[Discipline].&amp;[Plumbing]"/>
      </members>
    </pivotHierarchy>
    <pivotHierarchy dragToData="1"/>
    <pivotHierarchy dragToData="1"/>
    <pivotHierarchy multipleItemSelectionAllowed="1" dragToData="1">
      <members count="1" level="1">
        <member name="[Range].[Last Rev.].&amp;[L]"/>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FI!$A$7:$Q$2044">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Dis" cacheId="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8">
  <location ref="B4:C12" firstHeaderRow="1" firstDataRow="1" firstDataCol="1" rowPageCount="1" colPageCount="1"/>
  <pivotFields count="3">
    <pivotField axis="axisRow" allDrilled="1" subtotalTop="0" showAll="0" dataSourceSort="1" defaultSubtotal="0" defaultAttributeDrillState="1">
      <items count="7">
        <item s="1" x="0"/>
        <item s="1" x="1"/>
        <item s="1" x="2"/>
        <item s="1" x="3"/>
        <item s="1" x="4"/>
        <item s="1" x="5"/>
        <item s="1" x="6"/>
      </items>
    </pivotField>
    <pivotField axis="axisPage" allDrilled="1" subtotalTop="0" showAll="0" dataSourceSort="1" defaultSubtotal="0" defaultAttributeDrillState="1"/>
    <pivotField dataField="1" subtotalTop="0" showAll="0" defaultSubtotal="0"/>
  </pivotFields>
  <rowFields count="1">
    <field x="0"/>
  </rowFields>
  <rowItems count="8">
    <i>
      <x/>
    </i>
    <i>
      <x v="1"/>
    </i>
    <i>
      <x v="2"/>
    </i>
    <i>
      <x v="3"/>
    </i>
    <i>
      <x v="4"/>
    </i>
    <i>
      <x v="5"/>
    </i>
    <i>
      <x v="6"/>
    </i>
    <i t="grand">
      <x/>
    </i>
  </rowItems>
  <colItems count="1">
    <i/>
  </colItems>
  <pageFields count="1">
    <pageField fld="1" hier="4" name="[Range].[Last Rev.].&amp;[L]" cap="L"/>
  </pageFields>
  <dataFields count="1">
    <dataField name="Count of Discipline" fld="2" subtotal="count" baseField="0" baseItem="0"/>
  </dataFields>
  <chartFormats count="8">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0" count="1" selected="0">
            <x v="0"/>
          </reference>
        </references>
      </pivotArea>
    </chartFormat>
    <chartFormat chart="5" format="3">
      <pivotArea type="data" outline="0" fieldPosition="0">
        <references count="2">
          <reference field="4294967294" count="1" selected="0">
            <x v="0"/>
          </reference>
          <reference field="0" count="1" selected="0">
            <x v="1"/>
          </reference>
        </references>
      </pivotArea>
    </chartFormat>
    <chartFormat chart="5" format="4">
      <pivotArea type="data" outline="0" fieldPosition="0">
        <references count="2">
          <reference field="4294967294" count="1" selected="0">
            <x v="0"/>
          </reference>
          <reference field="0" count="1" selected="0">
            <x v="2"/>
          </reference>
        </references>
      </pivotArea>
    </chartFormat>
    <chartFormat chart="5" format="5">
      <pivotArea type="data" outline="0" fieldPosition="0">
        <references count="2">
          <reference field="4294967294" count="1" selected="0">
            <x v="0"/>
          </reference>
          <reference field="0" count="1" selected="0">
            <x v="3"/>
          </reference>
        </references>
      </pivotArea>
    </chartFormat>
    <chartFormat chart="5" format="6">
      <pivotArea type="data" outline="0" fieldPosition="0">
        <references count="2">
          <reference field="4294967294" count="1" selected="0">
            <x v="0"/>
          </reference>
          <reference field="0" count="1" selected="0">
            <x v="4"/>
          </reference>
        </references>
      </pivotArea>
    </chartFormat>
    <chartFormat chart="5" format="7">
      <pivotArea type="data" outline="0" fieldPosition="0">
        <references count="2">
          <reference field="4294967294" count="1" selected="0">
            <x v="0"/>
          </reference>
          <reference field="0" count="1" selected="0">
            <x v="5"/>
          </reference>
        </references>
      </pivotArea>
    </chartFormat>
    <chartFormat chart="5" format="8">
      <pivotArea type="data" outline="0" fieldPosition="0">
        <references count="2">
          <reference field="4294967294" count="1" selected="0">
            <x v="0"/>
          </reference>
          <reference field="0" count="1" selected="0">
            <x v="6"/>
          </reference>
        </references>
      </pivotArea>
    </chartFormat>
  </chartFormats>
  <pivotHierarchies count="33">
    <pivotHierarchy dragToData="1"/>
    <pivotHierarchy multipleItemSelectionAllowed="1" dragToData="1"/>
    <pivotHierarchy dragToData="1"/>
    <pivotHierarchy dragToData="1"/>
    <pivotHierarchy multipleItemSelectionAllowed="1" dragToData="1">
      <members count="1" level="1">
        <member name="[Range].[Last Rev.].&amp;[L]"/>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FI!$A$7:$Q$2044">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2000000}" name="Dis" cacheId="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6">
  <location ref="B4:D13" firstHeaderRow="1" firstDataRow="2" firstDataCol="1" rowPageCount="1" colPageCount="1"/>
  <pivotFields count="4">
    <pivotField axis="axisRow" allDrilled="1" subtotalTop="0" showAll="0" dataSourceSort="1" defaultSubtotal="0" defaultAttributeDrillState="1">
      <items count="7">
        <item s="1" x="0"/>
        <item s="1" x="1"/>
        <item s="1" x="2"/>
        <item s="1" x="3"/>
        <item s="1" x="4"/>
        <item s="1" x="5"/>
        <item s="1" x="6"/>
      </items>
    </pivotField>
    <pivotField axis="axisPage" allDrilled="1" subtotalTop="0" showAll="0" dataSourceSort="1" defaultSubtotal="0" defaultAttributeDrillState="1"/>
    <pivotField dataField="1" subtotalTop="0" showAll="0" defaultSubtotal="0"/>
    <pivotField axis="axisCol" allDrilled="1" subtotalTop="0" showAll="0" dataSourceSort="1" defaultSubtotal="0" defaultAttributeDrillState="1">
      <items count="1">
        <item x="0"/>
      </items>
    </pivotField>
  </pivotFields>
  <rowFields count="1">
    <field x="0"/>
  </rowFields>
  <rowItems count="8">
    <i>
      <x/>
    </i>
    <i>
      <x v="1"/>
    </i>
    <i>
      <x v="2"/>
    </i>
    <i>
      <x v="3"/>
    </i>
    <i>
      <x v="4"/>
    </i>
    <i>
      <x v="5"/>
    </i>
    <i>
      <x v="6"/>
    </i>
    <i t="grand">
      <x/>
    </i>
  </rowItems>
  <colFields count="1">
    <field x="3"/>
  </colFields>
  <colItems count="2">
    <i>
      <x/>
    </i>
    <i t="grand">
      <x/>
    </i>
  </colItems>
  <pageFields count="1">
    <pageField fld="1" hier="4" name="[Range].[Last Rev.].&amp;[L]" cap="L"/>
  </pageFields>
  <dataFields count="1">
    <dataField name="Count of Action" fld="2" subtotal="count" baseField="0" baseItem="0"/>
  </dataFields>
  <chartFormats count="2">
    <chartFormat chart="1" format="10" series="1">
      <pivotArea type="data" outline="0" fieldPosition="0">
        <references count="1">
          <reference field="4294967294" count="1" selected="0">
            <x v="0"/>
          </reference>
        </references>
      </pivotArea>
    </chartFormat>
    <chartFormat chart="1" format="13" series="1">
      <pivotArea type="data" outline="0" fieldPosition="0">
        <references count="2">
          <reference field="4294967294" count="1" selected="0">
            <x v="0"/>
          </reference>
          <reference field="3" count="1" selected="0">
            <x v="0"/>
          </reference>
        </references>
      </pivotArea>
    </chartFormat>
  </chartFormats>
  <pivotHierarchies count="33">
    <pivotHierarchy dragToData="1"/>
    <pivotHierarchy multipleItemSelectionAllowed="1" dragToData="1"/>
    <pivotHierarchy dragToData="1"/>
    <pivotHierarchy dragToData="1"/>
    <pivotHierarchy multipleItemSelectionAllowed="1" dragToData="1">
      <members count="1" level="1">
        <member name="[Range].[Last Rev.].&amp;[L]"/>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FI!$A$7:$Q$2044">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3000000}" name="Timeline" cacheId="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5">
  <location ref="B3:C25" firstHeaderRow="1" firstDataRow="1" firstDataCol="1" rowPageCount="1" colPageCount="1"/>
  <pivotFields count="4">
    <pivotField axis="axisRow" allDrilled="1" subtotalTop="0" showAll="0" dataSourceSort="1" defaultSubtotal="0" defaultAttributeDrillState="1">
      <items count="7">
        <item s="1" x="0"/>
        <item s="1" x="1"/>
        <item s="1" x="2"/>
        <item s="1" x="3"/>
        <item s="1" x="4"/>
        <item s="1" x="5"/>
        <item s="1" x="6"/>
      </items>
    </pivotField>
    <pivotField axis="axisPage" allDrilled="1" subtotalTop="0" showAll="0" dataSourceSort="1" defaultSubtotal="0" defaultAttributeDrillState="1"/>
    <pivotField axis="axisRow" allDrilled="1" subtotalTop="0" showAll="0" dataSourceSort="1" defaultSubtotal="0">
      <items count="3">
        <item x="0" e="0"/>
        <item x="1" e="0"/>
        <item x="2" e="0"/>
      </items>
    </pivotField>
    <pivotField dataField="1" subtotalTop="0" showAll="0" defaultSubtotal="0"/>
  </pivotFields>
  <rowFields count="2">
    <field x="0"/>
    <field x="2"/>
  </rowFields>
  <rowItems count="22">
    <i>
      <x/>
    </i>
    <i r="1">
      <x/>
    </i>
    <i r="1">
      <x v="1"/>
    </i>
    <i r="1">
      <x v="2"/>
    </i>
    <i>
      <x v="1"/>
    </i>
    <i r="1">
      <x/>
    </i>
    <i>
      <x v="2"/>
    </i>
    <i r="1">
      <x/>
    </i>
    <i r="1">
      <x v="1"/>
    </i>
    <i>
      <x v="3"/>
    </i>
    <i r="1">
      <x/>
    </i>
    <i r="1">
      <x v="1"/>
    </i>
    <i r="1">
      <x v="2"/>
    </i>
    <i>
      <x v="4"/>
    </i>
    <i r="1">
      <x/>
    </i>
    <i r="1">
      <x v="1"/>
    </i>
    <i>
      <x v="5"/>
    </i>
    <i r="1">
      <x/>
    </i>
    <i>
      <x v="6"/>
    </i>
    <i r="1">
      <x/>
    </i>
    <i r="1">
      <x v="1"/>
    </i>
    <i t="grand">
      <x/>
    </i>
  </rowItems>
  <colItems count="1">
    <i/>
  </colItems>
  <pageFields count="1">
    <pageField fld="1" hier="4" name="[Range].[Last Rev.].&amp;[L]" cap="L"/>
  </pageFields>
  <dataFields count="1">
    <dataField name="Count of Received Date (Year)" fld="3" subtotal="count" baseField="0" baseItem="0"/>
  </dataFields>
  <chartFormats count="1">
    <chartFormat chart="2" format="19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pivotHierarchy dragToData="1"/>
    <pivotHierarchy dragToData="1"/>
    <pivotHierarchy multipleItemSelectionAllowed="1" dragToData="1">
      <members count="1" level="1">
        <member name="[Range].[Last Rev.].&amp;[L]"/>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Row="0" dragToCol="0" dragToPage="0" dragToData="1"/>
  </pivotHierarchies>
  <pivotTableStyleInfo name="PivotStyleLight16" showRowHeaders="1" showColHeaders="1" showRowStripes="0" showColStripes="0" showLastColumn="1"/>
  <rowHierarchiesUsage count="2">
    <rowHierarchyUsage hierarchyUsage="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FI!$A$7:$Q$2044">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AppData/Roaming/Microsoft/Excel/Electrical/FHD-ELE-RLD-0013%20Clarity%20missing%20dimensions,%20levels%20and%20match%20with%20SHOP%20DRAWING%20Drawing..pdf" TargetMode="External"/><Relationship Id="rId18" Type="http://schemas.openxmlformats.org/officeDocument/2006/relationships/hyperlink" Target="../AppData/Roaming/Microsoft/Excel/Electrical/FHD-ELE-RLD-0018%20Clarity%20missing%20dimensions,%20levels%20and%20match%20with%20SHOP%20DRAWING%20Drawing..pdf" TargetMode="External"/><Relationship Id="rId26" Type="http://schemas.openxmlformats.org/officeDocument/2006/relationships/hyperlink" Target="../AppData/Roaming/Microsoft/Excel/Electrical/FHD-ELE-RLD-0026%20Clarity%20missing%20dimensions,%20levels%20and%20match%20with%20SHOP%20DRAWING%20Drawing..pdf" TargetMode="External"/><Relationship Id="rId3" Type="http://schemas.openxmlformats.org/officeDocument/2006/relationships/hyperlink" Target="../AppData/Roaming/Microsoft/Excel/Electrical/FHD-ELE-RLD-0003-)Clarity%20missing%20dimensions,%20levels%20and%20match%20with%20SHOP%20DRAWING%20Drawing..pdf" TargetMode="External"/><Relationship Id="rId21" Type="http://schemas.openxmlformats.org/officeDocument/2006/relationships/hyperlink" Target="../AppData/Roaming/Microsoft/Excel/Electrical/FHD-ELE-RLD-0021%20Clarity%20missing%20dimensions,%20levels%20and%20match%20with%20SHOP%20DRAWING%20Drawing..pdf" TargetMode="External"/><Relationship Id="rId34" Type="http://schemas.openxmlformats.org/officeDocument/2006/relationships/hyperlink" Target="../AppData/Roaming/Microsoft/Excel/Electrical/FHD-ELE-RLD-0031%20Clarity%20missing%20dimensions,%20levels%20and%20match%20with%20SHOP%20DRAWING%20Drawing..pdf" TargetMode="External"/><Relationship Id="rId7" Type="http://schemas.openxmlformats.org/officeDocument/2006/relationships/hyperlink" Target="../AppData/Roaming/Microsoft/Excel/Electrical/FHD-ELE-RLD-0007%20Clarity%20missing%20dimensions,%20levels%20and%20match%20with%20IDN.pdf" TargetMode="External"/><Relationship Id="rId12" Type="http://schemas.openxmlformats.org/officeDocument/2006/relationships/hyperlink" Target="../AppData/Roaming/Microsoft/Excel/Electrical/FHD-ELE-RLD-0012%20Clarity%20missing%20dimensions,%20levels%20and%20match%20with%20SHOP%20DRAWING%20Drawing..pdf" TargetMode="External"/><Relationship Id="rId17" Type="http://schemas.openxmlformats.org/officeDocument/2006/relationships/hyperlink" Target="../AppData/Roaming/Microsoft/Excel/Electrical/FHD-ELE-RLD-0017%20%20Clarity%20missing%20dimensions,%20levels%20and%20match%20with%20SHOP%20DRAWING%20Drawing..pdf" TargetMode="External"/><Relationship Id="rId25" Type="http://schemas.openxmlformats.org/officeDocument/2006/relationships/hyperlink" Target="../AppData/Roaming/Microsoft/Excel/Electrical/FHD-ELE-RLD-0025%20Clarity%20missing%20dimensions,%20levels%20and%20match%20with%20SHOP%20DRAWING%20Drawing..pdf" TargetMode="External"/><Relationship Id="rId33" Type="http://schemas.openxmlformats.org/officeDocument/2006/relationships/hyperlink" Target="../AppData/Roaming/Microsoft/Excel/Electrical/FHD-ELE-RLD-0031%20Clarity%20missing%20dimensions,%20levels%20and%20match%20with%20SHOP%20DRAWING%20Drawing..pdf" TargetMode="External"/><Relationship Id="rId2" Type="http://schemas.openxmlformats.org/officeDocument/2006/relationships/hyperlink" Target="../AppData/Roaming/Microsoft/Excel/Electrical/FHD-ELE-RLD-0002-)Clarity%20missing%20dimensions,%20levels%20and%20match%20with%20SHOP%20DRAWING%20Drawing..pdf" TargetMode="External"/><Relationship Id="rId16" Type="http://schemas.openxmlformats.org/officeDocument/2006/relationships/hyperlink" Target="../AppData/Roaming/Microsoft/Excel/Electrical/FHD-ELE-RLD-0016%20Clarity%20missing%20dimensions,%20levels%20and%20match%20with%20SHOP%20DRAWING%20Drawing..pdf" TargetMode="External"/><Relationship Id="rId20" Type="http://schemas.openxmlformats.org/officeDocument/2006/relationships/hyperlink" Target="../AppData/Roaming/Microsoft/Excel/Electrical/FHD-ELE-RLD-0020%20%20Clarity%20missing%20dimensions,%20levels%20and%20match%20with%20SHOP%20DRAWING%20Drawing..pdf" TargetMode="External"/><Relationship Id="rId29" Type="http://schemas.openxmlformats.org/officeDocument/2006/relationships/hyperlink" Target="../AppData/Roaming/Microsoft/Excel/Electrical/FHD-ELE-RLD-0029%20Clarity%20missing%20dimensions,%20levels%20and%20match%20with%20SHOP%20DRAWING%20Drawing..pdf" TargetMode="External"/><Relationship Id="rId1" Type="http://schemas.openxmlformats.org/officeDocument/2006/relationships/hyperlink" Target="../AppData/Roaming/Microsoft/Excel/Electrical/FHD-ELE-RLD-0001-)Clarity%20missing%20dimensions,%20levels%20and%20match%20with%20SHOP%20DRAWING%20Drawing..pdf" TargetMode="External"/><Relationship Id="rId6" Type="http://schemas.openxmlformats.org/officeDocument/2006/relationships/hyperlink" Target="../AppData/Roaming/Microsoft/Excel/Electrical/FHD-ELE-RLD-0006%20Clarity%20missing%20dimensions,%20levels%20and%20match%20with%20SHOP%20DRAWING%20Drawing.%20(Battery%20Room%20M00-033%20&amp;%20UPS%20Room%20M00-009%20for%20lighting).pdf" TargetMode="External"/><Relationship Id="rId11" Type="http://schemas.openxmlformats.org/officeDocument/2006/relationships/hyperlink" Target="../AppData/Roaming/Microsoft/Excel/Electrical/FHD-ELE-RLD-0011%20Clarity%20missing%20dimensions,%20levels%20and%20match%20with%20SHOP%20DRAWING%20Drawing..pdf" TargetMode="External"/><Relationship Id="rId24" Type="http://schemas.openxmlformats.org/officeDocument/2006/relationships/hyperlink" Target="../AppData/Roaming/Microsoft/Excel/Electrical/FHD-ELE-RLD-0024%20Clarity%20missing%20dimensions,%20levels%20and%20match%20with%20SHOP%20DRAWING%20Drawing.%20(2).pdf" TargetMode="External"/><Relationship Id="rId32" Type="http://schemas.openxmlformats.org/officeDocument/2006/relationships/hyperlink" Target="../AppData/Roaming/Microsoft/Excel/Electrical/FHD-ELE-RLD-0031%20Clarity%20missing%20dimensions,%20levels%20and%20match%20with%20SHOP%20DRAWING%20Drawing..pdf" TargetMode="External"/><Relationship Id="rId5" Type="http://schemas.openxmlformats.org/officeDocument/2006/relationships/hyperlink" Target="../AppData/Roaming/Microsoft/Excel/Electrical/FHD-ELE-RLD-0005%20Coordination%20between%20boxes%20drived%20to%20shifting%20the%20box%20add%20the%20distance%20become%2093mm.pdf" TargetMode="External"/><Relationship Id="rId15" Type="http://schemas.openxmlformats.org/officeDocument/2006/relationships/hyperlink" Target="../AppData/Roaming/Microsoft/Excel/Electrical/FHD-ELE-RLD-0015%20Clarity%20missing%20dimensions,%20levels%20and%20match%20with%20SHOP%20DRAWING%20Drawing..pdf" TargetMode="External"/><Relationship Id="rId23" Type="http://schemas.openxmlformats.org/officeDocument/2006/relationships/hyperlink" Target="../AppData/Roaming/Microsoft/Excel/Electrical/FHD-ELE-RLD-0023%20Clarity%20missing%20dimensions,%20levels%20and%20match%20with%20SHOP%20DRAWING%20Drawing..pdf" TargetMode="External"/><Relationship Id="rId28" Type="http://schemas.openxmlformats.org/officeDocument/2006/relationships/hyperlink" Target="../AppData/Roaming/Microsoft/Excel/Electrical/FHD-ELE-RLD-0028%20Clarity%20missing%20dimensions,%20levels%20and%20match%20with%20SHOP%20DRAWING%20Drawing..pdf" TargetMode="External"/><Relationship Id="rId36" Type="http://schemas.openxmlformats.org/officeDocument/2006/relationships/drawing" Target="../drawings/drawing1.xml"/><Relationship Id="rId10" Type="http://schemas.openxmlformats.org/officeDocument/2006/relationships/hyperlink" Target="../AppData/Roaming/Microsoft/Excel/Electrical/FHD-ELE-RLD-0010%20Clarity%20missing%20dimensions,%20levels%20and%20match%20with%20SHOP%20DRAWING%20Drawing..pdf" TargetMode="External"/><Relationship Id="rId19" Type="http://schemas.openxmlformats.org/officeDocument/2006/relationships/hyperlink" Target="../AppData/Roaming/Microsoft/Excel/Electrical/FHD-ELE-RLD-0019%20Coordination%20to%20other%20trades.pdf" TargetMode="External"/><Relationship Id="rId31" Type="http://schemas.openxmlformats.org/officeDocument/2006/relationships/hyperlink" Target="../AppData/Roaming/Microsoft/Excel/Electrical/FHD-ELE-RLD-0031%20Clarity%20missing%20dimensions,%20levels%20and%20match%20with%20SHOP%20DRAWING%20Drawing..pdf" TargetMode="External"/><Relationship Id="rId4" Type="http://schemas.openxmlformats.org/officeDocument/2006/relationships/hyperlink" Target="../AppData/Roaming/Microsoft/Excel/Electrical/FHD-ELE-RLD-0004-)Clarity%20missing%20dimensions,%20levels%20and%20match%20with%20IDN%20Drawing..pdf" TargetMode="External"/><Relationship Id="rId9" Type="http://schemas.openxmlformats.org/officeDocument/2006/relationships/hyperlink" Target="../AppData/Roaming/Microsoft/Excel/Electrical/FHD-ELE-RLD-0009%20%20Clarity%20missing%20dimensions,%20levels%20and%20match%20with%20SHOP%20DRAWING%20Drawing%20(Battery%20Room%20M00-033%20&amp;%20UPS%20Room%20M00-009%20for%20power).pdf" TargetMode="External"/><Relationship Id="rId14" Type="http://schemas.openxmlformats.org/officeDocument/2006/relationships/hyperlink" Target="../AppData/Roaming/Microsoft/Excel/Electrical/FHD-ELE-RLD-0014%20Clarity%20missing%20dimensions,%20levels%20and%20match%20with%20SHOP%20DRAWING%20Drawing..pdf" TargetMode="External"/><Relationship Id="rId22" Type="http://schemas.openxmlformats.org/officeDocument/2006/relationships/hyperlink" Target="../AppData/Roaming/Microsoft/Excel/Electrical/FHD-ELE-RLD-0022%20Clarity%20missing%20dimensions,%20levels%20and%20match%20with%20SHOP%20DRAWING%20Drawing..pdf" TargetMode="External"/><Relationship Id="rId27" Type="http://schemas.openxmlformats.org/officeDocument/2006/relationships/hyperlink" Target="../AppData/Roaming/Microsoft/Excel/Electrical/FHD-ELE-RLD-0027%20Clarity%20missing%20dimensions,%20levels%20and%20match%20with%20SHOP%20DRAWING%20Drawing..pdf" TargetMode="External"/><Relationship Id="rId30" Type="http://schemas.openxmlformats.org/officeDocument/2006/relationships/hyperlink" Target="../AppData/Roaming/Microsoft/Excel/Electrical/FHD-ELE-RLD-0030%20%20Clarity%20missing%20dimensions,%20levels%20and%20match%20with%20SHOP%20DRAWING%20Drawing..pdf" TargetMode="External"/><Relationship Id="rId35" Type="http://schemas.openxmlformats.org/officeDocument/2006/relationships/printerSettings" Target="../printerSettings/printerSettings1.bin"/><Relationship Id="rId8" Type="http://schemas.openxmlformats.org/officeDocument/2006/relationships/hyperlink" Target="../AppData/Roaming/Microsoft/Excel/Electrical/FHD-ELE-RLD-0008%20For%20all%201,%202,%203,%204,%205%20changed%20due%20to%20furniture%20coordination%206%20added%20socket%20(outlet)%20for%20hand%20drier%20@%201300mm%20from%20F.F.L.pdf"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AppData/Roaming/Microsoft/Excel/ELV/FHD-ELV-RLD-0008-Clarity%20missing%20dimensions,%20levels%20and%20match%20with%20IDN%20Drawing..pdf" TargetMode="External"/><Relationship Id="rId13" Type="http://schemas.openxmlformats.org/officeDocument/2006/relationships/hyperlink" Target="../AppData/Roaming/Microsoft/Excel/ELV/FHD-ELV-RLD-0013-Clarity%20missing%20dimensions,%20levels%20and%20match%20with%20IDN%20Drawing..pdf" TargetMode="External"/><Relationship Id="rId3" Type="http://schemas.openxmlformats.org/officeDocument/2006/relationships/hyperlink" Target="../AppData/Roaming/Microsoft/Excel/ELV/FHD-ELV-RLD-0003-Clarity%20missing%20dimensions,%20levels%20and%20match%20with%20IDN%20Drawing..pdf" TargetMode="External"/><Relationship Id="rId7" Type="http://schemas.openxmlformats.org/officeDocument/2006/relationships/hyperlink" Target="../AppData/Roaming/Microsoft/Excel/ELV/FHD-ELV-RLD-0007-Clarity%20missing%20dimensions,%20levels%20and%20match%20with%20IDN%20Drawing..pdf" TargetMode="External"/><Relationship Id="rId12" Type="http://schemas.openxmlformats.org/officeDocument/2006/relationships/hyperlink" Target="../AppData/Roaming/Microsoft/Excel/ELV/FHD-ELV-RLD-0012-Clarity%20missing%20dimensions,%20levels%20and%20match%20with%20IDN%20Drawing..pdf" TargetMode="External"/><Relationship Id="rId17" Type="http://schemas.openxmlformats.org/officeDocument/2006/relationships/drawing" Target="../drawings/drawing2.xml"/><Relationship Id="rId2" Type="http://schemas.openxmlformats.org/officeDocument/2006/relationships/hyperlink" Target="../AppData/Roaming/Microsoft/Excel/ELV/FHD-ELV-RLD-0002-Clarity%20missing%20dimensions,%20levels%20and%20match%20with%20IDN%20Drawing..pdf" TargetMode="External"/><Relationship Id="rId16" Type="http://schemas.openxmlformats.org/officeDocument/2006/relationships/printerSettings" Target="../printerSettings/printerSettings2.bin"/><Relationship Id="rId1" Type="http://schemas.openxmlformats.org/officeDocument/2006/relationships/hyperlink" Target="../AppData/Roaming/Microsoft/Excel/ELV/FHD-ELV-RLD-0001-Clarity%20missing%20dimensions,%20levels%20and%20match%20with%20IDN%20Drawing..pdf" TargetMode="External"/><Relationship Id="rId6" Type="http://schemas.openxmlformats.org/officeDocument/2006/relationships/hyperlink" Target="../AppData/Roaming/Microsoft/Excel/ELV/FHD-ELV-RLD-0006-Clarity%20missing%20dimensions,%20levels%20and%20match%20with%20IDN%20Drawing..pdf" TargetMode="External"/><Relationship Id="rId11" Type="http://schemas.openxmlformats.org/officeDocument/2006/relationships/hyperlink" Target="../AppData/Roaming/Microsoft/Excel/ELV/FHD-ELV-RLD-0011-Clarity%20missing%20dimensions,%20levels%20and%20match%20with%20IDN%20Drawing..pdf" TargetMode="External"/><Relationship Id="rId5" Type="http://schemas.openxmlformats.org/officeDocument/2006/relationships/hyperlink" Target="../AppData/Roaming/Microsoft/Excel/ELV/FHD-ELV-RLD-0005-Clarity%20missing%20dimensions,%20levels%20and%20match%20with%20IDN%20Drawing..pdf" TargetMode="External"/><Relationship Id="rId15" Type="http://schemas.openxmlformats.org/officeDocument/2006/relationships/hyperlink" Target="../AppData/Roaming/Microsoft/Excel/ELV/FHD-ELV-RLD-0014-Clarity%20missing%20dimensions,%20levels%20and%20match%20with%20IDN%20Drawing..pdf" TargetMode="External"/><Relationship Id="rId10" Type="http://schemas.openxmlformats.org/officeDocument/2006/relationships/hyperlink" Target="../AppData/Roaming/Microsoft/Excel/ELV/FHD-ELV-RLD-0010-Clarity%20missing%20dimensions,%20levels%20and%20match%20with%20IDN%20Drawing..pdf" TargetMode="External"/><Relationship Id="rId4" Type="http://schemas.openxmlformats.org/officeDocument/2006/relationships/hyperlink" Target="../AppData/Roaming/Microsoft/Excel/ELV/FHD-ELV-RLD-0004-Clarity%20missing%20dimensions,%20levels%20and%20match%20with%20IDN%20Drawing..pdf" TargetMode="External"/><Relationship Id="rId9" Type="http://schemas.openxmlformats.org/officeDocument/2006/relationships/hyperlink" Target="../AppData/Roaming/Microsoft/Excel/ELV/FHD-ELV-RLD-0009-Clarity%20missing%20dimensions,%20levels%20and%20match%20with%20IDN%20Drawing..pdf" TargetMode="External"/><Relationship Id="rId14" Type="http://schemas.openxmlformats.org/officeDocument/2006/relationships/hyperlink" Target="../AppData/Roaming/Microsoft/Excel/ELV/FHD-ELV-RLD-0014-Clarity%20missing%20dimensions,%20levels%20and%20match%20with%20IDN%20Drawing..pdf"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AppData/Roaming/Microsoft/Excel/FAS/FHD-FAS-RLD-0008%20Clarity%20missing%20dimensions,%20levels%20and%20match%20with%20IDN%20Drawing..pdf" TargetMode="External"/><Relationship Id="rId13" Type="http://schemas.openxmlformats.org/officeDocument/2006/relationships/hyperlink" Target="../AppData/Roaming/Microsoft/Excel/FAS/FHD-FAS-RLD-0013%20Clarity%20missing%20dimensions,%20levels%20and%20match%20with%20IDN%20Drawing..pdf" TargetMode="External"/><Relationship Id="rId3" Type="http://schemas.openxmlformats.org/officeDocument/2006/relationships/hyperlink" Target="../AppData/Roaming/Microsoft/Excel/FAS/FHD-FAS-RLD-0003-Clarity%20missing%20dimensions,%20levels%20and%20match%20with%20IDN%20Drawing..pdf" TargetMode="External"/><Relationship Id="rId7" Type="http://schemas.openxmlformats.org/officeDocument/2006/relationships/hyperlink" Target="../AppData/Roaming/Microsoft/Excel/FAS/FHD-FAS-RLD-0007%20Clarity%20missing%20dimensions,%20levels%20and%20match%20with%20IDN%20Drawing..pdf" TargetMode="External"/><Relationship Id="rId12" Type="http://schemas.openxmlformats.org/officeDocument/2006/relationships/hyperlink" Target="../AppData/Roaming/Microsoft/Excel/FAS/FHD-FAS-RLD-0012%20Clarity%20missing%20dimensions,%20levels%20and%20match%20with%20IDN%20Drawing..pdf" TargetMode="External"/><Relationship Id="rId17" Type="http://schemas.openxmlformats.org/officeDocument/2006/relationships/drawing" Target="../drawings/drawing3.xml"/><Relationship Id="rId2" Type="http://schemas.openxmlformats.org/officeDocument/2006/relationships/hyperlink" Target="../AppData/Roaming/Microsoft/Excel/FAS/FHD-FAS-RLD-0002-Clarity%20missed%20dimensions,%20levels%20and%20match%20withshop%20drawing.pdf" TargetMode="External"/><Relationship Id="rId16" Type="http://schemas.openxmlformats.org/officeDocument/2006/relationships/printerSettings" Target="../printerSettings/printerSettings3.bin"/><Relationship Id="rId1" Type="http://schemas.openxmlformats.org/officeDocument/2006/relationships/hyperlink" Target="../AppData/Roaming/Microsoft/Excel/FAS/FHD-FAS-RLD-0001--Clarity%20missed%20dimensions,%20levels%20and%20match%20with%20shop%20drawing.pdf" TargetMode="External"/><Relationship Id="rId6" Type="http://schemas.openxmlformats.org/officeDocument/2006/relationships/hyperlink" Target="../AppData/Roaming/Microsoft/Excel/FAS/FHD-FAS-RLD-0006%20Pull%20boxes%20added.pdf" TargetMode="External"/><Relationship Id="rId11" Type="http://schemas.openxmlformats.org/officeDocument/2006/relationships/hyperlink" Target="../AppData/Roaming/Microsoft/Excel/FAS/FHD-FAS-RLD-0011%20%20Clarity%20missing%20dimensions,%20levels%20and%20match%20with%20IDN%20Drawing..pdf" TargetMode="External"/><Relationship Id="rId5" Type="http://schemas.openxmlformats.org/officeDocument/2006/relationships/hyperlink" Target="../AppData/Roaming/Microsoft/Excel/FAS/FHD-FAS-RLD-0005%20Clarity%20missing%20dimensions,%20levels%20and%20match%20with%20IDN%20Drawing..pdf" TargetMode="External"/><Relationship Id="rId15" Type="http://schemas.openxmlformats.org/officeDocument/2006/relationships/hyperlink" Target="../AppData/Roaming/Microsoft/Excel/FAS/FHD-FAS-RLD-0015-Clarify%20missed%20dimensions,%20levels%20&amp;%20match%20with%20IDN%20or%20change%20location.pdf" TargetMode="External"/><Relationship Id="rId10" Type="http://schemas.openxmlformats.org/officeDocument/2006/relationships/hyperlink" Target="../AppData/Roaming/Microsoft/Excel/FAS/FHD-FAS-RLD-0010%20Clarity%20missing%20dimensions,%20levels%20and%20match%20with%20IDN%20Drawing..pdf" TargetMode="External"/><Relationship Id="rId4" Type="http://schemas.openxmlformats.org/officeDocument/2006/relationships/hyperlink" Target="../AppData/Roaming/Microsoft/Excel/FAS/FHD-FAS-RLD-0004%20Clarity%20missing%20dimensions,%20levels%20and%20match%20with%20IDN%20Drawing..pdf" TargetMode="External"/><Relationship Id="rId9" Type="http://schemas.openxmlformats.org/officeDocument/2006/relationships/hyperlink" Target="../AppData/Roaming/Microsoft/Excel/FAS/FHD-FAS-RLD-0009%20Clarity%20missing%20dimensions,%20levels%20and%20match%20with%20IDN%20Drawing..pdf" TargetMode="External"/><Relationship Id="rId14" Type="http://schemas.openxmlformats.org/officeDocument/2006/relationships/hyperlink" Target="../AppData/Roaming/Microsoft/Excel/FAS/FHD-FAS-RLD-0014%20Clarity%20missing%20dimensions,%20levels%20and%20match%20with%20IDN%20Drawing..pdf"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AppData/Roaming/Microsoft/Excel/ICT/FHD-ICT-RLD-0003%201.%20location%20of%20the%20SVD-2%20side%20changed%20to%20prevent%20the%20clashes%20between%20ICTwater%20pipes.pdf" TargetMode="External"/><Relationship Id="rId2" Type="http://schemas.openxmlformats.org/officeDocument/2006/relationships/hyperlink" Target="../AppData/Roaming/Microsoft/Excel/ICT/FHD-ICT-RLD-0002%20%20Changed%20Area%20as%20per%20survey%20report.pdf" TargetMode="External"/><Relationship Id="rId1" Type="http://schemas.openxmlformats.org/officeDocument/2006/relationships/hyperlink" Target="../AppData/Roaming/Microsoft/Excel/ICT/FHD-ICT-RLD-0001-Clarity%20missing%20dimensions,%20levels%20and%20match%20with%20Shop%20Drawing..pdf" TargetMode="External"/><Relationship Id="rId5" Type="http://schemas.openxmlformats.org/officeDocument/2006/relationships/drawing" Target="../drawings/drawing5.xm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AppData/Roaming/Microsoft/Excel/SEC/FHD-SEC-RLD-0009%20Clarity%20missing%20dimensions,%20levels%20and%20match%20with%20IDN%20Drawing..pdf" TargetMode="External"/><Relationship Id="rId13" Type="http://schemas.openxmlformats.org/officeDocument/2006/relationships/printerSettings" Target="../printerSettings/printerSettings10.bin"/><Relationship Id="rId3" Type="http://schemas.openxmlformats.org/officeDocument/2006/relationships/hyperlink" Target="../AppData/Roaming/Microsoft/Excel/SEC/FHD-SEC-RLD-0003%20%20Clarity%20missing%20dimensions,%20levels%20and%20match%20with%20IDN%20Drawing..pdf" TargetMode="External"/><Relationship Id="rId7" Type="http://schemas.openxmlformats.org/officeDocument/2006/relationships/hyperlink" Target="../AppData/Roaming/Microsoft/Excel/SEC/FHD-SEC-RLD-0008%20Clarity%20missing%20dimensions,%20levels%20and%20match%20with%20IDN%20Drawing..pdf" TargetMode="External"/><Relationship Id="rId12" Type="http://schemas.openxmlformats.org/officeDocument/2006/relationships/hyperlink" Target="../AppData/Roaming/Microsoft/Excel/SEC/FHD-SEC-RLD-0013Clarity%20missing%20dimensions,%20levels%20and%20match%20with%20IDN%20Drawing..pdf" TargetMode="External"/><Relationship Id="rId2" Type="http://schemas.openxmlformats.org/officeDocument/2006/relationships/hyperlink" Target="../AppData/Roaming/Microsoft/Excel/SEC/FHD-SEC-RLD-0002-Due%20to%20site%20condition%20because%20ventilation%20pipe%20in%20the%20same%20place%20as%20per%20attached%20photo.pdf" TargetMode="External"/><Relationship Id="rId1" Type="http://schemas.openxmlformats.org/officeDocument/2006/relationships/hyperlink" Target="../AppData/Roaming/Microsoft/Excel/SEC/FHD-SEC-RLD-0001-Clarity%20missing%20dimensions,%20levels%20and%20match%20with%20IDN%20Drawing..pdf" TargetMode="External"/><Relationship Id="rId6" Type="http://schemas.openxmlformats.org/officeDocument/2006/relationships/hyperlink" Target="../AppData/Roaming/Microsoft/Excel/SEC/FHD-SEC-RLD-0006%20%20Clarity%20missing%20dimensions,%20levels%20and%20match%20with%20IDN%20Drawing..pdf" TargetMode="External"/><Relationship Id="rId11" Type="http://schemas.openxmlformats.org/officeDocument/2006/relationships/hyperlink" Target="../AppData/Roaming/Microsoft/Excel/SEC/FHD-SEC-RLD-0012%20Clarity%20missing%20dimensions,%20levels%20and%20match%20with%20IDN%20Drawing..pdf" TargetMode="External"/><Relationship Id="rId5" Type="http://schemas.openxmlformats.org/officeDocument/2006/relationships/hyperlink" Target="../AppData/Roaming/Microsoft/Excel/SEC/FHD-SEC-RLD-0005%20Clarity%20missing%20dimensions,%20levels%20and%20match%20with%20IDN%20Drawing..pdf" TargetMode="External"/><Relationship Id="rId10" Type="http://schemas.openxmlformats.org/officeDocument/2006/relationships/hyperlink" Target="../AppData/Roaming/Microsoft/Excel/SEC/FHD-SEC-RLD-0011%20Clarity%20missing%20dimensions,%20levels%20and%20match%20with%20IDN%20Drawing..pdf" TargetMode="External"/><Relationship Id="rId4" Type="http://schemas.openxmlformats.org/officeDocument/2006/relationships/hyperlink" Target="../AppData/Roaming/Microsoft/Excel/SEC/FHD-SEC-RLD-0004%20Clarity%20missing%20dimensions,%20levels%20and%20match%20with%20IDN%20Drawing..pdf" TargetMode="External"/><Relationship Id="rId9" Type="http://schemas.openxmlformats.org/officeDocument/2006/relationships/hyperlink" Target="../AppData/Roaming/Microsoft/Excel/SEC/FHD-SEC-RLD-0010%20Clarity%20missing%20dimensions,%20levels%20and%20match%20with%20IDN%20Drawing..pdf" TargetMode="External"/><Relationship Id="rId1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2.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3.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9192F-1BE0-4AB2-B42E-B4F193643914}">
  <sheetPr>
    <pageSetUpPr fitToPage="1"/>
  </sheetPr>
  <dimension ref="A1:R56"/>
  <sheetViews>
    <sheetView showGridLines="0" view="pageBreakPreview" zoomScale="70" zoomScaleNormal="70" zoomScaleSheetLayoutView="70" workbookViewId="0">
      <pane ySplit="2" topLeftCell="A49" activePane="bottomLeft" state="frozen"/>
      <selection activeCell="Q1" sqref="Q1"/>
      <selection pane="bottomLeft" activeCell="E56" sqref="E56"/>
    </sheetView>
  </sheetViews>
  <sheetFormatPr defaultColWidth="9.140625" defaultRowHeight="12.75" x14ac:dyDescent="0.25"/>
  <cols>
    <col min="1" max="1" width="12.85546875" style="33" bestFit="1" customWidth="1"/>
    <col min="2" max="2" width="18.7109375" style="33" bestFit="1" customWidth="1"/>
    <col min="3" max="3" width="29.28515625" style="33" customWidth="1"/>
    <col min="4" max="4" width="18" style="33" customWidth="1"/>
    <col min="5" max="5" width="56.28515625" style="33" customWidth="1"/>
    <col min="6" max="6" width="15.7109375" style="33" customWidth="1"/>
    <col min="7" max="7" width="17.140625" style="33" customWidth="1"/>
    <col min="8" max="8" width="64.5703125" style="37" customWidth="1"/>
    <col min="9" max="9" width="16.5703125" style="33" customWidth="1"/>
    <col min="10" max="10" width="15" style="33" customWidth="1"/>
    <col min="11" max="11" width="17.7109375" style="33" customWidth="1"/>
    <col min="12" max="12" width="24" style="33" customWidth="1"/>
    <col min="13" max="13" width="20.140625" style="33" customWidth="1"/>
    <col min="14" max="16" width="24.28515625" style="33" customWidth="1"/>
    <col min="17" max="17" width="24.28515625" style="33" hidden="1" customWidth="1"/>
    <col min="18" max="18" width="43.85546875" style="33" customWidth="1"/>
    <col min="19" max="16384" width="9.140625" style="33"/>
  </cols>
  <sheetData>
    <row r="1" spans="1:18" ht="99" customHeight="1" thickBot="1" x14ac:dyDescent="0.3">
      <c r="A1" s="209" t="s">
        <v>307</v>
      </c>
      <c r="B1" s="209"/>
      <c r="C1" s="209"/>
      <c r="D1" s="209"/>
      <c r="E1" s="209"/>
      <c r="F1" s="209"/>
      <c r="G1" s="209"/>
      <c r="H1" s="209"/>
      <c r="I1" s="209"/>
      <c r="J1" s="209"/>
      <c r="K1" s="209"/>
      <c r="L1" s="209"/>
      <c r="M1" s="209"/>
      <c r="N1" s="210"/>
      <c r="O1" s="210"/>
      <c r="P1" s="210"/>
      <c r="Q1" s="210"/>
      <c r="R1" s="209"/>
    </row>
    <row r="2" spans="1:18" ht="65.25" customHeight="1" thickBot="1" x14ac:dyDescent="0.3">
      <c r="A2" s="53" t="s">
        <v>32</v>
      </c>
      <c r="B2" s="54" t="s">
        <v>34</v>
      </c>
      <c r="C2" s="54" t="s">
        <v>41</v>
      </c>
      <c r="D2" s="54" t="s">
        <v>383</v>
      </c>
      <c r="E2" s="54" t="s">
        <v>35</v>
      </c>
      <c r="F2" s="54" t="s">
        <v>45</v>
      </c>
      <c r="G2" s="54" t="s">
        <v>46</v>
      </c>
      <c r="H2" s="55" t="s">
        <v>36</v>
      </c>
      <c r="I2" s="54" t="s">
        <v>38</v>
      </c>
      <c r="J2" s="54" t="s">
        <v>40</v>
      </c>
      <c r="K2" s="54" t="s">
        <v>37</v>
      </c>
      <c r="L2" s="54" t="s">
        <v>47</v>
      </c>
      <c r="M2" s="97" t="s">
        <v>39</v>
      </c>
      <c r="N2" s="101" t="s">
        <v>39</v>
      </c>
      <c r="O2" s="54" t="s">
        <v>480</v>
      </c>
      <c r="P2" s="185" t="s">
        <v>315</v>
      </c>
      <c r="Q2" s="185" t="s">
        <v>509</v>
      </c>
      <c r="R2" s="139" t="s">
        <v>20</v>
      </c>
    </row>
    <row r="3" spans="1:18" ht="37.5" customHeight="1" x14ac:dyDescent="0.25">
      <c r="A3" s="77">
        <v>1</v>
      </c>
      <c r="B3" s="77" t="s">
        <v>48</v>
      </c>
      <c r="C3" s="35" t="s">
        <v>49</v>
      </c>
      <c r="D3" s="35">
        <v>1</v>
      </c>
      <c r="E3" s="75" t="s">
        <v>226</v>
      </c>
      <c r="F3" s="89">
        <v>6</v>
      </c>
      <c r="G3" s="89" t="s">
        <v>346</v>
      </c>
      <c r="H3" s="87" t="s">
        <v>190</v>
      </c>
      <c r="I3" s="87" t="s">
        <v>19</v>
      </c>
      <c r="J3" s="88">
        <v>45971</v>
      </c>
      <c r="K3" s="87" t="s">
        <v>164</v>
      </c>
      <c r="L3" s="87" t="s">
        <v>165</v>
      </c>
      <c r="M3" s="87" t="s">
        <v>175</v>
      </c>
      <c r="N3" s="98" t="s">
        <v>43</v>
      </c>
      <c r="O3" s="175" t="s">
        <v>477</v>
      </c>
      <c r="P3" s="190" t="s">
        <v>66</v>
      </c>
      <c r="Q3" s="187" t="s">
        <v>486</v>
      </c>
      <c r="R3" s="131" t="s">
        <v>175</v>
      </c>
    </row>
    <row r="4" spans="1:18" ht="39.75" customHeight="1" x14ac:dyDescent="0.25">
      <c r="A4" s="77">
        <v>2</v>
      </c>
      <c r="B4" s="77" t="s">
        <v>48</v>
      </c>
      <c r="C4" s="35" t="s">
        <v>50</v>
      </c>
      <c r="D4" s="35">
        <v>1</v>
      </c>
      <c r="E4" s="75" t="s">
        <v>227</v>
      </c>
      <c r="F4" s="75">
        <v>3</v>
      </c>
      <c r="G4" s="75" t="s">
        <v>161</v>
      </c>
      <c r="H4" s="72" t="s">
        <v>190</v>
      </c>
      <c r="I4" s="72" t="s">
        <v>19</v>
      </c>
      <c r="J4" s="74">
        <v>45991</v>
      </c>
      <c r="K4" s="72" t="s">
        <v>164</v>
      </c>
      <c r="L4" s="72" t="s">
        <v>165</v>
      </c>
      <c r="M4" s="72" t="s">
        <v>175</v>
      </c>
      <c r="N4" s="99" t="s">
        <v>43</v>
      </c>
      <c r="O4" s="175" t="s">
        <v>477</v>
      </c>
      <c r="P4" s="190" t="s">
        <v>66</v>
      </c>
      <c r="Q4" s="187" t="s">
        <v>486</v>
      </c>
      <c r="R4" s="132" t="s">
        <v>175</v>
      </c>
    </row>
    <row r="5" spans="1:18" ht="39.75" customHeight="1" x14ac:dyDescent="0.25">
      <c r="A5" s="77">
        <v>3</v>
      </c>
      <c r="B5" s="77" t="s">
        <v>48</v>
      </c>
      <c r="C5" s="35" t="s">
        <v>51</v>
      </c>
      <c r="D5" s="35">
        <v>1</v>
      </c>
      <c r="E5" s="75" t="s">
        <v>228</v>
      </c>
      <c r="F5" s="75">
        <v>1</v>
      </c>
      <c r="G5" s="75" t="s">
        <v>185</v>
      </c>
      <c r="H5" s="72" t="s">
        <v>190</v>
      </c>
      <c r="I5" s="72" t="s">
        <v>19</v>
      </c>
      <c r="J5" s="74">
        <v>45991</v>
      </c>
      <c r="K5" s="72" t="s">
        <v>164</v>
      </c>
      <c r="L5" s="72" t="s">
        <v>165</v>
      </c>
      <c r="M5" s="72" t="s">
        <v>175</v>
      </c>
      <c r="N5" s="99" t="s">
        <v>43</v>
      </c>
      <c r="O5" s="175" t="s">
        <v>477</v>
      </c>
      <c r="P5" s="190" t="s">
        <v>66</v>
      </c>
      <c r="Q5" s="187" t="s">
        <v>486</v>
      </c>
      <c r="R5" s="132" t="s">
        <v>175</v>
      </c>
    </row>
    <row r="6" spans="1:18" ht="39.75" customHeight="1" x14ac:dyDescent="0.25">
      <c r="A6" s="77">
        <v>4</v>
      </c>
      <c r="B6" s="77" t="s">
        <v>48</v>
      </c>
      <c r="C6" s="35" t="s">
        <v>52</v>
      </c>
      <c r="D6" s="35">
        <v>1</v>
      </c>
      <c r="E6" s="75" t="s">
        <v>229</v>
      </c>
      <c r="F6" s="75">
        <v>2</v>
      </c>
      <c r="G6" s="75" t="s">
        <v>161</v>
      </c>
      <c r="H6" s="72" t="s">
        <v>190</v>
      </c>
      <c r="I6" s="74" t="s">
        <v>19</v>
      </c>
      <c r="J6" s="74">
        <v>46039</v>
      </c>
      <c r="K6" s="72" t="s">
        <v>164</v>
      </c>
      <c r="L6" s="72" t="s">
        <v>165</v>
      </c>
      <c r="M6" s="72" t="s">
        <v>175</v>
      </c>
      <c r="N6" s="99" t="s">
        <v>43</v>
      </c>
      <c r="O6" s="175" t="s">
        <v>477</v>
      </c>
      <c r="P6" s="190" t="s">
        <v>66</v>
      </c>
      <c r="Q6" s="187" t="s">
        <v>486</v>
      </c>
      <c r="R6" s="132" t="s">
        <v>175</v>
      </c>
    </row>
    <row r="7" spans="1:18" ht="39.75" customHeight="1" x14ac:dyDescent="0.25">
      <c r="A7" s="77">
        <v>5</v>
      </c>
      <c r="B7" s="57" t="s">
        <v>48</v>
      </c>
      <c r="C7" s="35" t="s">
        <v>55</v>
      </c>
      <c r="D7" s="35">
        <v>1</v>
      </c>
      <c r="E7" s="60" t="s">
        <v>236</v>
      </c>
      <c r="F7" s="60">
        <v>3</v>
      </c>
      <c r="G7" s="60" t="s">
        <v>161</v>
      </c>
      <c r="H7" s="59" t="s">
        <v>237</v>
      </c>
      <c r="I7" s="59" t="s">
        <v>19</v>
      </c>
      <c r="J7" s="61">
        <v>46139</v>
      </c>
      <c r="K7" s="62" t="s">
        <v>164</v>
      </c>
      <c r="L7" s="62" t="s">
        <v>238</v>
      </c>
      <c r="M7" s="59" t="s">
        <v>172</v>
      </c>
      <c r="N7" s="100" t="s">
        <v>43</v>
      </c>
      <c r="O7" s="175" t="s">
        <v>477</v>
      </c>
      <c r="P7" s="190" t="s">
        <v>66</v>
      </c>
      <c r="Q7" s="187" t="s">
        <v>486</v>
      </c>
      <c r="R7" s="133" t="s">
        <v>175</v>
      </c>
    </row>
    <row r="8" spans="1:18" ht="39.75" customHeight="1" x14ac:dyDescent="0.25">
      <c r="A8" s="77">
        <v>6</v>
      </c>
      <c r="B8" s="57" t="s">
        <v>48</v>
      </c>
      <c r="C8" s="35" t="s">
        <v>56</v>
      </c>
      <c r="D8" s="35">
        <v>2</v>
      </c>
      <c r="E8" s="60" t="s">
        <v>236</v>
      </c>
      <c r="F8" s="60">
        <v>3</v>
      </c>
      <c r="G8" s="60" t="s">
        <v>161</v>
      </c>
      <c r="H8" s="59" t="s">
        <v>240</v>
      </c>
      <c r="I8" s="59" t="s">
        <v>19</v>
      </c>
      <c r="J8" s="61">
        <v>46139</v>
      </c>
      <c r="K8" s="62" t="s">
        <v>164</v>
      </c>
      <c r="L8" s="62" t="s">
        <v>169</v>
      </c>
      <c r="M8" s="59" t="s">
        <v>172</v>
      </c>
      <c r="N8" s="100" t="s">
        <v>43</v>
      </c>
      <c r="O8" s="175" t="s">
        <v>477</v>
      </c>
      <c r="P8" s="190" t="s">
        <v>66</v>
      </c>
      <c r="Q8" s="187" t="s">
        <v>486</v>
      </c>
      <c r="R8" s="133" t="s">
        <v>175</v>
      </c>
    </row>
    <row r="9" spans="1:18" ht="39.75" customHeight="1" x14ac:dyDescent="0.25">
      <c r="A9" s="77">
        <v>7</v>
      </c>
      <c r="B9" s="57" t="s">
        <v>48</v>
      </c>
      <c r="C9" s="35" t="s">
        <v>230</v>
      </c>
      <c r="D9" s="35">
        <v>3</v>
      </c>
      <c r="E9" s="60" t="s">
        <v>236</v>
      </c>
      <c r="F9" s="60">
        <v>3</v>
      </c>
      <c r="G9" s="60" t="s">
        <v>161</v>
      </c>
      <c r="H9" s="59" t="s">
        <v>217</v>
      </c>
      <c r="I9" s="59" t="s">
        <v>19</v>
      </c>
      <c r="J9" s="61">
        <v>46147</v>
      </c>
      <c r="K9" s="62" t="s">
        <v>164</v>
      </c>
      <c r="L9" s="62" t="s">
        <v>169</v>
      </c>
      <c r="M9" s="59" t="s">
        <v>175</v>
      </c>
      <c r="N9" s="100" t="s">
        <v>43</v>
      </c>
      <c r="O9" s="175" t="s">
        <v>477</v>
      </c>
      <c r="P9" s="190" t="s">
        <v>66</v>
      </c>
      <c r="Q9" s="187" t="s">
        <v>486</v>
      </c>
      <c r="R9" s="133" t="s">
        <v>175</v>
      </c>
    </row>
    <row r="10" spans="1:18" ht="50.25" customHeight="1" x14ac:dyDescent="0.25">
      <c r="A10" s="77">
        <v>8</v>
      </c>
      <c r="B10" s="57" t="s">
        <v>48</v>
      </c>
      <c r="C10" s="35" t="s">
        <v>231</v>
      </c>
      <c r="D10" s="35">
        <v>1</v>
      </c>
      <c r="E10" s="60" t="s">
        <v>243</v>
      </c>
      <c r="F10" s="60">
        <v>3</v>
      </c>
      <c r="G10" s="60" t="s">
        <v>161</v>
      </c>
      <c r="H10" s="59" t="s">
        <v>244</v>
      </c>
      <c r="I10" s="59" t="s">
        <v>19</v>
      </c>
      <c r="J10" s="61">
        <v>46139</v>
      </c>
      <c r="K10" s="62" t="s">
        <v>164</v>
      </c>
      <c r="L10" s="62" t="s">
        <v>169</v>
      </c>
      <c r="M10" s="59" t="s">
        <v>172</v>
      </c>
      <c r="N10" s="100" t="s">
        <v>43</v>
      </c>
      <c r="O10" s="175" t="s">
        <v>477</v>
      </c>
      <c r="P10" s="190" t="s">
        <v>66</v>
      </c>
      <c r="Q10" s="187" t="s">
        <v>486</v>
      </c>
      <c r="R10" s="133" t="s">
        <v>175</v>
      </c>
    </row>
    <row r="11" spans="1:18" ht="49.5" customHeight="1" x14ac:dyDescent="0.25">
      <c r="A11" s="77">
        <v>9</v>
      </c>
      <c r="B11" s="57" t="s">
        <v>48</v>
      </c>
      <c r="C11" s="35" t="s">
        <v>232</v>
      </c>
      <c r="D11" s="35">
        <v>2</v>
      </c>
      <c r="E11" s="60" t="s">
        <v>243</v>
      </c>
      <c r="F11" s="60">
        <v>3</v>
      </c>
      <c r="G11" s="60" t="s">
        <v>161</v>
      </c>
      <c r="H11" s="60" t="s">
        <v>246</v>
      </c>
      <c r="I11" s="60" t="s">
        <v>19</v>
      </c>
      <c r="J11" s="61">
        <v>46139</v>
      </c>
      <c r="K11" s="62" t="s">
        <v>164</v>
      </c>
      <c r="L11" s="62" t="s">
        <v>169</v>
      </c>
      <c r="M11" s="59" t="s">
        <v>172</v>
      </c>
      <c r="N11" s="100" t="s">
        <v>43</v>
      </c>
      <c r="O11" s="175" t="s">
        <v>477</v>
      </c>
      <c r="P11" s="190" t="s">
        <v>66</v>
      </c>
      <c r="Q11" s="187" t="s">
        <v>486</v>
      </c>
      <c r="R11" s="133" t="s">
        <v>175</v>
      </c>
    </row>
    <row r="12" spans="1:18" ht="39.75" customHeight="1" x14ac:dyDescent="0.25">
      <c r="A12" s="77">
        <v>10</v>
      </c>
      <c r="B12" s="57" t="s">
        <v>48</v>
      </c>
      <c r="C12" s="35" t="s">
        <v>233</v>
      </c>
      <c r="D12" s="35">
        <v>3</v>
      </c>
      <c r="E12" s="60" t="s">
        <v>243</v>
      </c>
      <c r="F12" s="60">
        <v>3</v>
      </c>
      <c r="G12" s="60" t="s">
        <v>161</v>
      </c>
      <c r="H12" s="59" t="s">
        <v>217</v>
      </c>
      <c r="I12" s="60" t="s">
        <v>19</v>
      </c>
      <c r="J12" s="61">
        <v>46147</v>
      </c>
      <c r="K12" s="62" t="s">
        <v>164</v>
      </c>
      <c r="L12" s="62" t="s">
        <v>169</v>
      </c>
      <c r="M12" s="59" t="s">
        <v>175</v>
      </c>
      <c r="N12" s="100" t="s">
        <v>43</v>
      </c>
      <c r="O12" s="175" t="s">
        <v>477</v>
      </c>
      <c r="P12" s="190" t="s">
        <v>66</v>
      </c>
      <c r="Q12" s="187" t="s">
        <v>486</v>
      </c>
      <c r="R12" s="133" t="s">
        <v>175</v>
      </c>
    </row>
    <row r="13" spans="1:18" ht="39.75" customHeight="1" x14ac:dyDescent="0.25">
      <c r="A13" s="77">
        <v>11</v>
      </c>
      <c r="B13" s="57" t="s">
        <v>48</v>
      </c>
      <c r="C13" s="35" t="s">
        <v>234</v>
      </c>
      <c r="D13" s="35">
        <v>1</v>
      </c>
      <c r="E13" s="60" t="s">
        <v>249</v>
      </c>
      <c r="F13" s="60">
        <v>2</v>
      </c>
      <c r="G13" s="60" t="s">
        <v>161</v>
      </c>
      <c r="H13" s="60" t="s">
        <v>250</v>
      </c>
      <c r="I13" s="60" t="s">
        <v>19</v>
      </c>
      <c r="J13" s="61">
        <v>46139</v>
      </c>
      <c r="K13" s="62" t="s">
        <v>164</v>
      </c>
      <c r="L13" s="62" t="s">
        <v>169</v>
      </c>
      <c r="M13" s="59" t="s">
        <v>172</v>
      </c>
      <c r="N13" s="100" t="s">
        <v>43</v>
      </c>
      <c r="O13" s="175" t="s">
        <v>477</v>
      </c>
      <c r="P13" s="190" t="s">
        <v>66</v>
      </c>
      <c r="Q13" s="187" t="s">
        <v>486</v>
      </c>
      <c r="R13" s="133" t="s">
        <v>175</v>
      </c>
    </row>
    <row r="14" spans="1:18" ht="39.75" customHeight="1" x14ac:dyDescent="0.25">
      <c r="A14" s="77">
        <v>12</v>
      </c>
      <c r="B14" s="57" t="s">
        <v>48</v>
      </c>
      <c r="C14" s="35" t="s">
        <v>235</v>
      </c>
      <c r="D14" s="35">
        <v>1</v>
      </c>
      <c r="E14" s="60" t="s">
        <v>252</v>
      </c>
      <c r="F14" s="60">
        <v>2</v>
      </c>
      <c r="G14" s="60" t="s">
        <v>161</v>
      </c>
      <c r="H14" s="60" t="s">
        <v>253</v>
      </c>
      <c r="I14" s="60" t="s">
        <v>19</v>
      </c>
      <c r="J14" s="61">
        <v>46139</v>
      </c>
      <c r="K14" s="62" t="s">
        <v>164</v>
      </c>
      <c r="L14" s="62" t="s">
        <v>169</v>
      </c>
      <c r="M14" s="59" t="s">
        <v>172</v>
      </c>
      <c r="N14" s="100" t="s">
        <v>43</v>
      </c>
      <c r="O14" s="175" t="s">
        <v>477</v>
      </c>
      <c r="P14" s="190" t="s">
        <v>66</v>
      </c>
      <c r="Q14" s="187" t="s">
        <v>486</v>
      </c>
      <c r="R14" s="133" t="s">
        <v>175</v>
      </c>
    </row>
    <row r="15" spans="1:18" ht="39.75" customHeight="1" x14ac:dyDescent="0.25">
      <c r="A15" s="77">
        <v>13</v>
      </c>
      <c r="B15" s="57" t="s">
        <v>48</v>
      </c>
      <c r="C15" s="35" t="s">
        <v>239</v>
      </c>
      <c r="D15" s="35">
        <v>1</v>
      </c>
      <c r="E15" s="60" t="s">
        <v>306</v>
      </c>
      <c r="F15" s="60">
        <v>2</v>
      </c>
      <c r="G15" s="60" t="s">
        <v>161</v>
      </c>
      <c r="H15" s="60" t="s">
        <v>255</v>
      </c>
      <c r="I15" s="60" t="s">
        <v>19</v>
      </c>
      <c r="J15" s="61">
        <v>46141</v>
      </c>
      <c r="K15" s="62" t="s">
        <v>164</v>
      </c>
      <c r="L15" s="62" t="s">
        <v>169</v>
      </c>
      <c r="M15" s="59" t="s">
        <v>175</v>
      </c>
      <c r="N15" s="100" t="s">
        <v>43</v>
      </c>
      <c r="O15" s="175" t="s">
        <v>477</v>
      </c>
      <c r="P15" s="190" t="s">
        <v>66</v>
      </c>
      <c r="Q15" s="187" t="s">
        <v>486</v>
      </c>
      <c r="R15" s="133" t="s">
        <v>175</v>
      </c>
    </row>
    <row r="16" spans="1:18" ht="39.75" customHeight="1" x14ac:dyDescent="0.25">
      <c r="A16" s="77">
        <v>14</v>
      </c>
      <c r="B16" s="57" t="s">
        <v>48</v>
      </c>
      <c r="C16" s="35" t="s">
        <v>241</v>
      </c>
      <c r="D16" s="35">
        <v>1</v>
      </c>
      <c r="E16" s="60" t="s">
        <v>305</v>
      </c>
      <c r="F16" s="60">
        <v>2</v>
      </c>
      <c r="G16" s="60" t="s">
        <v>161</v>
      </c>
      <c r="H16" s="64" t="s">
        <v>179</v>
      </c>
      <c r="I16" s="60" t="s">
        <v>19</v>
      </c>
      <c r="J16" s="61">
        <v>46139</v>
      </c>
      <c r="K16" s="62" t="s">
        <v>164</v>
      </c>
      <c r="L16" s="62" t="s">
        <v>169</v>
      </c>
      <c r="M16" s="57" t="s">
        <v>175</v>
      </c>
      <c r="N16" s="100" t="s">
        <v>43</v>
      </c>
      <c r="O16" s="175" t="s">
        <v>477</v>
      </c>
      <c r="P16" s="190" t="s">
        <v>66</v>
      </c>
      <c r="Q16" s="187" t="s">
        <v>486</v>
      </c>
      <c r="R16" s="133" t="s">
        <v>175</v>
      </c>
    </row>
    <row r="17" spans="1:18" ht="39.75" customHeight="1" x14ac:dyDescent="0.25">
      <c r="A17" s="77">
        <v>15</v>
      </c>
      <c r="B17" s="57" t="s">
        <v>48</v>
      </c>
      <c r="C17" s="35" t="s">
        <v>242</v>
      </c>
      <c r="D17" s="35">
        <v>1</v>
      </c>
      <c r="E17" s="60" t="s">
        <v>257</v>
      </c>
      <c r="F17" s="60">
        <v>2</v>
      </c>
      <c r="G17" s="60" t="s">
        <v>161</v>
      </c>
      <c r="H17" s="60" t="s">
        <v>255</v>
      </c>
      <c r="I17" s="60" t="s">
        <v>19</v>
      </c>
      <c r="J17" s="61">
        <v>46144</v>
      </c>
      <c r="K17" s="62" t="s">
        <v>164</v>
      </c>
      <c r="L17" s="62" t="s">
        <v>169</v>
      </c>
      <c r="M17" s="57" t="s">
        <v>175</v>
      </c>
      <c r="N17" s="100" t="s">
        <v>43</v>
      </c>
      <c r="O17" s="175" t="s">
        <v>477</v>
      </c>
      <c r="P17" s="190" t="s">
        <v>66</v>
      </c>
      <c r="Q17" s="187" t="s">
        <v>486</v>
      </c>
      <c r="R17" s="133" t="s">
        <v>175</v>
      </c>
    </row>
    <row r="18" spans="1:18" ht="39.75" customHeight="1" x14ac:dyDescent="0.25">
      <c r="A18" s="77">
        <v>16</v>
      </c>
      <c r="B18" s="57" t="s">
        <v>48</v>
      </c>
      <c r="C18" s="35" t="s">
        <v>245</v>
      </c>
      <c r="D18" s="35">
        <v>2</v>
      </c>
      <c r="E18" s="60" t="s">
        <v>229</v>
      </c>
      <c r="F18" s="57">
        <v>2</v>
      </c>
      <c r="G18" s="57" t="s">
        <v>161</v>
      </c>
      <c r="H18" s="60" t="s">
        <v>261</v>
      </c>
      <c r="I18" s="65" t="s">
        <v>19</v>
      </c>
      <c r="J18" s="66">
        <v>46144</v>
      </c>
      <c r="K18" s="62" t="s">
        <v>164</v>
      </c>
      <c r="L18" s="62" t="s">
        <v>169</v>
      </c>
      <c r="M18" s="57" t="s">
        <v>175</v>
      </c>
      <c r="N18" s="100" t="s">
        <v>43</v>
      </c>
      <c r="O18" s="175" t="s">
        <v>477</v>
      </c>
      <c r="P18" s="190" t="s">
        <v>66</v>
      </c>
      <c r="Q18" s="188" t="s">
        <v>486</v>
      </c>
      <c r="R18" s="133" t="s">
        <v>175</v>
      </c>
    </row>
    <row r="19" spans="1:18" ht="39.75" customHeight="1" x14ac:dyDescent="0.25">
      <c r="A19" s="77">
        <v>17</v>
      </c>
      <c r="B19" s="57" t="s">
        <v>48</v>
      </c>
      <c r="C19" s="35" t="s">
        <v>247</v>
      </c>
      <c r="D19" s="35">
        <v>1</v>
      </c>
      <c r="E19" s="60" t="s">
        <v>263</v>
      </c>
      <c r="F19" s="57">
        <v>2</v>
      </c>
      <c r="G19" s="82" t="s">
        <v>185</v>
      </c>
      <c r="H19" s="60" t="s">
        <v>186</v>
      </c>
      <c r="I19" s="65" t="s">
        <v>19</v>
      </c>
      <c r="J19" s="66">
        <v>46147</v>
      </c>
      <c r="K19" s="62" t="s">
        <v>164</v>
      </c>
      <c r="L19" s="62" t="s">
        <v>169</v>
      </c>
      <c r="M19" s="57" t="s">
        <v>175</v>
      </c>
      <c r="N19" s="100" t="s">
        <v>43</v>
      </c>
      <c r="O19" s="175" t="s">
        <v>477</v>
      </c>
      <c r="P19" s="190" t="s">
        <v>66</v>
      </c>
      <c r="Q19" s="188" t="s">
        <v>486</v>
      </c>
      <c r="R19" s="133" t="s">
        <v>175</v>
      </c>
    </row>
    <row r="20" spans="1:18" ht="39.75" customHeight="1" x14ac:dyDescent="0.25">
      <c r="A20" s="77">
        <v>18</v>
      </c>
      <c r="B20" s="57" t="s">
        <v>48</v>
      </c>
      <c r="C20" s="35" t="s">
        <v>248</v>
      </c>
      <c r="D20" s="35">
        <v>1</v>
      </c>
      <c r="E20" s="60" t="s">
        <v>265</v>
      </c>
      <c r="F20" s="57">
        <v>2</v>
      </c>
      <c r="G20" s="82" t="s">
        <v>185</v>
      </c>
      <c r="H20" s="60" t="s">
        <v>186</v>
      </c>
      <c r="I20" s="65" t="s">
        <v>19</v>
      </c>
      <c r="J20" s="66">
        <v>46147</v>
      </c>
      <c r="K20" s="62" t="s">
        <v>164</v>
      </c>
      <c r="L20" s="62" t="s">
        <v>169</v>
      </c>
      <c r="M20" s="57" t="s">
        <v>175</v>
      </c>
      <c r="N20" s="100" t="s">
        <v>43</v>
      </c>
      <c r="O20" s="175" t="s">
        <v>477</v>
      </c>
      <c r="P20" s="190" t="s">
        <v>66</v>
      </c>
      <c r="Q20" s="188" t="s">
        <v>486</v>
      </c>
      <c r="R20" s="133" t="s">
        <v>175</v>
      </c>
    </row>
    <row r="21" spans="1:18" ht="39.75" customHeight="1" x14ac:dyDescent="0.25">
      <c r="A21" s="77">
        <v>19</v>
      </c>
      <c r="B21" s="57" t="s">
        <v>48</v>
      </c>
      <c r="C21" s="35" t="s">
        <v>251</v>
      </c>
      <c r="D21" s="35">
        <v>2</v>
      </c>
      <c r="E21" s="60" t="s">
        <v>226</v>
      </c>
      <c r="F21" s="57">
        <v>8</v>
      </c>
      <c r="G21" s="82" t="s">
        <v>189</v>
      </c>
      <c r="H21" s="60" t="s">
        <v>304</v>
      </c>
      <c r="I21" s="65" t="s">
        <v>19</v>
      </c>
      <c r="J21" s="66">
        <v>46152</v>
      </c>
      <c r="K21" s="62" t="s">
        <v>164</v>
      </c>
      <c r="L21" s="62" t="s">
        <v>169</v>
      </c>
      <c r="M21" s="57" t="s">
        <v>175</v>
      </c>
      <c r="N21" s="100" t="s">
        <v>43</v>
      </c>
      <c r="O21" s="175" t="s">
        <v>477</v>
      </c>
      <c r="P21" s="190" t="s">
        <v>66</v>
      </c>
      <c r="Q21" s="188" t="s">
        <v>486</v>
      </c>
      <c r="R21" s="133" t="s">
        <v>175</v>
      </c>
    </row>
    <row r="22" spans="1:18" ht="39.75" customHeight="1" x14ac:dyDescent="0.25">
      <c r="A22" s="77">
        <v>20</v>
      </c>
      <c r="B22" s="57" t="s">
        <v>48</v>
      </c>
      <c r="C22" s="35" t="s">
        <v>254</v>
      </c>
      <c r="D22" s="35">
        <v>2</v>
      </c>
      <c r="E22" s="60" t="s">
        <v>257</v>
      </c>
      <c r="F22" s="57">
        <v>2</v>
      </c>
      <c r="G22" s="60" t="s">
        <v>270</v>
      </c>
      <c r="H22" s="64" t="s">
        <v>186</v>
      </c>
      <c r="I22" s="65" t="s">
        <v>19</v>
      </c>
      <c r="J22" s="61">
        <v>46153</v>
      </c>
      <c r="K22" s="62" t="s">
        <v>164</v>
      </c>
      <c r="L22" s="62" t="s">
        <v>169</v>
      </c>
      <c r="M22" s="57" t="s">
        <v>175</v>
      </c>
      <c r="N22" s="100" t="s">
        <v>43</v>
      </c>
      <c r="O22" s="175" t="s">
        <v>477</v>
      </c>
      <c r="P22" s="190" t="s">
        <v>66</v>
      </c>
      <c r="Q22" s="188" t="s">
        <v>486</v>
      </c>
      <c r="R22" s="133" t="s">
        <v>175</v>
      </c>
    </row>
    <row r="23" spans="1:18" ht="39.75" customHeight="1" x14ac:dyDescent="0.25">
      <c r="A23" s="77">
        <v>21</v>
      </c>
      <c r="B23" s="57" t="s">
        <v>48</v>
      </c>
      <c r="C23" s="35" t="s">
        <v>256</v>
      </c>
      <c r="D23" s="35">
        <v>4</v>
      </c>
      <c r="E23" s="60" t="s">
        <v>243</v>
      </c>
      <c r="F23" s="57">
        <v>3</v>
      </c>
      <c r="G23" s="57" t="s">
        <v>161</v>
      </c>
      <c r="H23" s="64" t="s">
        <v>186</v>
      </c>
      <c r="I23" s="65" t="s">
        <v>19</v>
      </c>
      <c r="J23" s="61">
        <v>46153</v>
      </c>
      <c r="K23" s="62" t="s">
        <v>164</v>
      </c>
      <c r="L23" s="62" t="s">
        <v>169</v>
      </c>
      <c r="M23" s="57" t="s">
        <v>175</v>
      </c>
      <c r="N23" s="100" t="s">
        <v>43</v>
      </c>
      <c r="O23" s="175" t="s">
        <v>477</v>
      </c>
      <c r="P23" s="190" t="s">
        <v>66</v>
      </c>
      <c r="Q23" s="188" t="s">
        <v>486</v>
      </c>
      <c r="R23" s="133" t="s">
        <v>175</v>
      </c>
    </row>
    <row r="24" spans="1:18" ht="39.75" customHeight="1" x14ac:dyDescent="0.25">
      <c r="A24" s="77">
        <v>22</v>
      </c>
      <c r="B24" s="57" t="s">
        <v>48</v>
      </c>
      <c r="C24" s="35" t="s">
        <v>258</v>
      </c>
      <c r="D24" s="35">
        <v>3</v>
      </c>
      <c r="E24" s="60" t="s">
        <v>257</v>
      </c>
      <c r="F24" s="57">
        <v>2</v>
      </c>
      <c r="G24" s="57" t="s">
        <v>161</v>
      </c>
      <c r="H24" s="64" t="s">
        <v>186</v>
      </c>
      <c r="I24" s="65" t="s">
        <v>19</v>
      </c>
      <c r="J24" s="61">
        <v>46153</v>
      </c>
      <c r="K24" s="62" t="s">
        <v>164</v>
      </c>
      <c r="L24" s="62" t="s">
        <v>169</v>
      </c>
      <c r="M24" s="57" t="s">
        <v>175</v>
      </c>
      <c r="N24" s="100" t="s">
        <v>43</v>
      </c>
      <c r="O24" s="175" t="s">
        <v>477</v>
      </c>
      <c r="P24" s="190" t="s">
        <v>66</v>
      </c>
      <c r="Q24" s="188" t="s">
        <v>486</v>
      </c>
      <c r="R24" s="133" t="s">
        <v>175</v>
      </c>
    </row>
    <row r="25" spans="1:18" ht="39.75" customHeight="1" x14ac:dyDescent="0.25">
      <c r="A25" s="77">
        <v>23</v>
      </c>
      <c r="B25" s="57" t="s">
        <v>48</v>
      </c>
      <c r="C25" s="35" t="s">
        <v>259</v>
      </c>
      <c r="D25" s="35">
        <v>3</v>
      </c>
      <c r="E25" s="60" t="s">
        <v>229</v>
      </c>
      <c r="F25" s="57">
        <v>2</v>
      </c>
      <c r="G25" s="57" t="s">
        <v>161</v>
      </c>
      <c r="H25" s="64" t="s">
        <v>186</v>
      </c>
      <c r="I25" s="65" t="s">
        <v>19</v>
      </c>
      <c r="J25" s="61">
        <v>46153</v>
      </c>
      <c r="K25" s="62" t="s">
        <v>164</v>
      </c>
      <c r="L25" s="62" t="s">
        <v>169</v>
      </c>
      <c r="M25" s="57" t="s">
        <v>175</v>
      </c>
      <c r="N25" s="100" t="s">
        <v>43</v>
      </c>
      <c r="O25" s="175" t="s">
        <v>477</v>
      </c>
      <c r="P25" s="190" t="s">
        <v>66</v>
      </c>
      <c r="Q25" s="188" t="s">
        <v>486</v>
      </c>
      <c r="R25" s="133" t="s">
        <v>175</v>
      </c>
    </row>
    <row r="26" spans="1:18" ht="39.75" customHeight="1" x14ac:dyDescent="0.25">
      <c r="A26" s="77">
        <v>24</v>
      </c>
      <c r="B26" s="57" t="s">
        <v>48</v>
      </c>
      <c r="C26" s="35" t="s">
        <v>260</v>
      </c>
      <c r="D26" s="35">
        <v>4</v>
      </c>
      <c r="E26" s="60" t="s">
        <v>257</v>
      </c>
      <c r="F26" s="57">
        <v>2</v>
      </c>
      <c r="G26" s="57" t="s">
        <v>161</v>
      </c>
      <c r="H26" s="64" t="s">
        <v>186</v>
      </c>
      <c r="I26" s="65" t="s">
        <v>19</v>
      </c>
      <c r="J26" s="61">
        <v>46154</v>
      </c>
      <c r="K26" s="62" t="s">
        <v>164</v>
      </c>
      <c r="L26" s="62" t="s">
        <v>169</v>
      </c>
      <c r="M26" s="57" t="s">
        <v>175</v>
      </c>
      <c r="N26" s="100" t="s">
        <v>43</v>
      </c>
      <c r="O26" s="175" t="s">
        <v>477</v>
      </c>
      <c r="P26" s="190" t="s">
        <v>66</v>
      </c>
      <c r="Q26" s="188" t="s">
        <v>486</v>
      </c>
      <c r="R26" s="133" t="s">
        <v>175</v>
      </c>
    </row>
    <row r="27" spans="1:18" ht="39.75" customHeight="1" x14ac:dyDescent="0.25">
      <c r="A27" s="77">
        <v>25</v>
      </c>
      <c r="B27" s="57" t="s">
        <v>48</v>
      </c>
      <c r="C27" s="35" t="s">
        <v>262</v>
      </c>
      <c r="D27" s="35">
        <v>4</v>
      </c>
      <c r="E27" s="60" t="s">
        <v>229</v>
      </c>
      <c r="F27" s="57">
        <v>2</v>
      </c>
      <c r="G27" s="57" t="s">
        <v>161</v>
      </c>
      <c r="H27" s="64" t="s">
        <v>186</v>
      </c>
      <c r="I27" s="65" t="s">
        <v>19</v>
      </c>
      <c r="J27" s="61">
        <v>46154</v>
      </c>
      <c r="K27" s="62" t="s">
        <v>164</v>
      </c>
      <c r="L27" s="62" t="s">
        <v>169</v>
      </c>
      <c r="M27" s="57" t="s">
        <v>175</v>
      </c>
      <c r="N27" s="100" t="s">
        <v>43</v>
      </c>
      <c r="O27" s="175" t="s">
        <v>477</v>
      </c>
      <c r="P27" s="190" t="s">
        <v>66</v>
      </c>
      <c r="Q27" s="188" t="s">
        <v>486</v>
      </c>
      <c r="R27" s="133" t="s">
        <v>175</v>
      </c>
    </row>
    <row r="28" spans="1:18" ht="39.75" customHeight="1" x14ac:dyDescent="0.25">
      <c r="A28" s="77">
        <v>26</v>
      </c>
      <c r="B28" s="57" t="s">
        <v>48</v>
      </c>
      <c r="C28" s="35" t="s">
        <v>264</v>
      </c>
      <c r="D28" s="35">
        <v>1</v>
      </c>
      <c r="E28" s="60" t="s">
        <v>299</v>
      </c>
      <c r="F28" s="57">
        <v>2</v>
      </c>
      <c r="G28" s="57" t="s">
        <v>161</v>
      </c>
      <c r="H28" s="64" t="s">
        <v>186</v>
      </c>
      <c r="I28" s="65" t="s">
        <v>19</v>
      </c>
      <c r="J28" s="61">
        <v>46153</v>
      </c>
      <c r="K28" s="62" t="s">
        <v>164</v>
      </c>
      <c r="L28" s="62" t="s">
        <v>169</v>
      </c>
      <c r="M28" s="57" t="s">
        <v>175</v>
      </c>
      <c r="N28" s="100" t="s">
        <v>43</v>
      </c>
      <c r="O28" s="175" t="s">
        <v>477</v>
      </c>
      <c r="P28" s="190" t="s">
        <v>66</v>
      </c>
      <c r="Q28" s="189" t="s">
        <v>486</v>
      </c>
      <c r="R28" s="133" t="s">
        <v>175</v>
      </c>
    </row>
    <row r="29" spans="1:18" ht="39.75" customHeight="1" x14ac:dyDescent="0.25">
      <c r="A29" s="77">
        <v>27</v>
      </c>
      <c r="B29" s="57" t="s">
        <v>48</v>
      </c>
      <c r="C29" s="35" t="s">
        <v>303</v>
      </c>
      <c r="D29" s="35">
        <v>1</v>
      </c>
      <c r="E29" s="60" t="s">
        <v>297</v>
      </c>
      <c r="F29" s="57">
        <v>2</v>
      </c>
      <c r="G29" s="57" t="s">
        <v>161</v>
      </c>
      <c r="H29" s="64" t="s">
        <v>186</v>
      </c>
      <c r="I29" s="65" t="s">
        <v>19</v>
      </c>
      <c r="J29" s="61">
        <v>46153</v>
      </c>
      <c r="K29" s="62" t="s">
        <v>164</v>
      </c>
      <c r="L29" s="62" t="s">
        <v>169</v>
      </c>
      <c r="M29" s="57" t="s">
        <v>175</v>
      </c>
      <c r="N29" s="100" t="s">
        <v>43</v>
      </c>
      <c r="O29" s="175" t="s">
        <v>477</v>
      </c>
      <c r="P29" s="190" t="s">
        <v>66</v>
      </c>
      <c r="Q29" s="189" t="s">
        <v>486</v>
      </c>
      <c r="R29" s="133" t="s">
        <v>175</v>
      </c>
    </row>
    <row r="30" spans="1:18" ht="39.75" customHeight="1" x14ac:dyDescent="0.25">
      <c r="A30" s="77">
        <v>28</v>
      </c>
      <c r="B30" s="57" t="s">
        <v>48</v>
      </c>
      <c r="C30" s="35" t="s">
        <v>302</v>
      </c>
      <c r="D30" s="35">
        <v>2</v>
      </c>
      <c r="E30" s="60" t="s">
        <v>299</v>
      </c>
      <c r="F30" s="57">
        <v>2</v>
      </c>
      <c r="G30" s="57" t="s">
        <v>161</v>
      </c>
      <c r="H30" s="64" t="s">
        <v>186</v>
      </c>
      <c r="I30" s="65" t="s">
        <v>19</v>
      </c>
      <c r="J30" s="61">
        <v>46153</v>
      </c>
      <c r="K30" s="62" t="s">
        <v>164</v>
      </c>
      <c r="L30" s="62" t="s">
        <v>169</v>
      </c>
      <c r="M30" s="57" t="s">
        <v>175</v>
      </c>
      <c r="N30" s="100" t="s">
        <v>43</v>
      </c>
      <c r="O30" s="175" t="s">
        <v>477</v>
      </c>
      <c r="P30" s="190" t="s">
        <v>66</v>
      </c>
      <c r="Q30" s="189" t="s">
        <v>486</v>
      </c>
      <c r="R30" s="133" t="s">
        <v>175</v>
      </c>
    </row>
    <row r="31" spans="1:18" ht="39.75" customHeight="1" x14ac:dyDescent="0.25">
      <c r="A31" s="77">
        <v>29</v>
      </c>
      <c r="B31" s="57" t="s">
        <v>48</v>
      </c>
      <c r="C31" s="35" t="s">
        <v>301</v>
      </c>
      <c r="D31" s="35">
        <v>2</v>
      </c>
      <c r="E31" s="60" t="s">
        <v>297</v>
      </c>
      <c r="F31" s="57">
        <v>2</v>
      </c>
      <c r="G31" s="57" t="s">
        <v>161</v>
      </c>
      <c r="H31" s="64" t="s">
        <v>186</v>
      </c>
      <c r="I31" s="65" t="s">
        <v>19</v>
      </c>
      <c r="J31" s="61">
        <v>46153</v>
      </c>
      <c r="K31" s="62" t="s">
        <v>164</v>
      </c>
      <c r="L31" s="62" t="s">
        <v>169</v>
      </c>
      <c r="M31" s="57" t="s">
        <v>175</v>
      </c>
      <c r="N31" s="100" t="s">
        <v>43</v>
      </c>
      <c r="O31" s="175" t="s">
        <v>477</v>
      </c>
      <c r="P31" s="190" t="s">
        <v>66</v>
      </c>
      <c r="Q31" s="189" t="s">
        <v>486</v>
      </c>
      <c r="R31" s="133" t="s">
        <v>175</v>
      </c>
    </row>
    <row r="32" spans="1:18" ht="39.75" customHeight="1" x14ac:dyDescent="0.25">
      <c r="A32" s="77">
        <v>30</v>
      </c>
      <c r="B32" s="57" t="s">
        <v>48</v>
      </c>
      <c r="C32" s="35" t="s">
        <v>300</v>
      </c>
      <c r="D32" s="35">
        <v>3</v>
      </c>
      <c r="E32" s="60" t="s">
        <v>299</v>
      </c>
      <c r="F32" s="57">
        <v>2</v>
      </c>
      <c r="G32" s="57" t="s">
        <v>161</v>
      </c>
      <c r="H32" s="64" t="s">
        <v>186</v>
      </c>
      <c r="I32" s="65" t="s">
        <v>19</v>
      </c>
      <c r="J32" s="61">
        <v>46153</v>
      </c>
      <c r="K32" s="62" t="s">
        <v>164</v>
      </c>
      <c r="L32" s="62" t="s">
        <v>169</v>
      </c>
      <c r="M32" s="57" t="s">
        <v>175</v>
      </c>
      <c r="N32" s="100" t="s">
        <v>43</v>
      </c>
      <c r="O32" s="175" t="s">
        <v>477</v>
      </c>
      <c r="P32" s="190" t="s">
        <v>66</v>
      </c>
      <c r="Q32" s="189" t="s">
        <v>486</v>
      </c>
      <c r="R32" s="133" t="s">
        <v>175</v>
      </c>
    </row>
    <row r="33" spans="1:18" ht="39.75" customHeight="1" x14ac:dyDescent="0.25">
      <c r="A33" s="77">
        <v>31</v>
      </c>
      <c r="B33" s="57" t="s">
        <v>48</v>
      </c>
      <c r="C33" s="35" t="s">
        <v>298</v>
      </c>
      <c r="D33" s="35">
        <v>3</v>
      </c>
      <c r="E33" s="60" t="s">
        <v>297</v>
      </c>
      <c r="F33" s="57">
        <v>2</v>
      </c>
      <c r="G33" s="57" t="s">
        <v>161</v>
      </c>
      <c r="H33" s="64" t="s">
        <v>186</v>
      </c>
      <c r="I33" s="65" t="s">
        <v>19</v>
      </c>
      <c r="J33" s="61">
        <v>46153</v>
      </c>
      <c r="K33" s="62" t="s">
        <v>164</v>
      </c>
      <c r="L33" s="62" t="s">
        <v>169</v>
      </c>
      <c r="M33" s="57" t="s">
        <v>175</v>
      </c>
      <c r="N33" s="100" t="s">
        <v>43</v>
      </c>
      <c r="O33" s="175" t="s">
        <v>477</v>
      </c>
      <c r="P33" s="190" t="s">
        <v>66</v>
      </c>
      <c r="Q33" s="189" t="s">
        <v>486</v>
      </c>
      <c r="R33" s="133" t="s">
        <v>175</v>
      </c>
    </row>
    <row r="34" spans="1:18" ht="54.75" customHeight="1" x14ac:dyDescent="0.25">
      <c r="A34" s="82">
        <v>32</v>
      </c>
      <c r="B34" s="58" t="s">
        <v>48</v>
      </c>
      <c r="C34" s="35" t="s">
        <v>327</v>
      </c>
      <c r="D34" s="35">
        <v>5</v>
      </c>
      <c r="E34" s="60" t="s">
        <v>257</v>
      </c>
      <c r="F34" s="57">
        <v>2</v>
      </c>
      <c r="G34" s="57" t="s">
        <v>161</v>
      </c>
      <c r="H34" s="112" t="s">
        <v>317</v>
      </c>
      <c r="I34" s="65" t="s">
        <v>19</v>
      </c>
      <c r="J34" s="61">
        <v>46160</v>
      </c>
      <c r="K34" s="62" t="s">
        <v>318</v>
      </c>
      <c r="L34" s="62" t="s">
        <v>319</v>
      </c>
      <c r="M34" s="57" t="s">
        <v>175</v>
      </c>
      <c r="N34" s="100" t="s">
        <v>43</v>
      </c>
      <c r="O34" s="175" t="s">
        <v>477</v>
      </c>
      <c r="P34" s="190" t="s">
        <v>66</v>
      </c>
      <c r="Q34" s="189" t="s">
        <v>486</v>
      </c>
      <c r="R34" s="133" t="s">
        <v>175</v>
      </c>
    </row>
    <row r="35" spans="1:18" ht="53.25" customHeight="1" x14ac:dyDescent="0.25">
      <c r="A35" s="114">
        <v>33</v>
      </c>
      <c r="B35" s="147" t="s">
        <v>48</v>
      </c>
      <c r="C35" s="116" t="s">
        <v>328</v>
      </c>
      <c r="D35" s="116">
        <v>5</v>
      </c>
      <c r="E35" s="117" t="s">
        <v>229</v>
      </c>
      <c r="F35" s="115">
        <v>2</v>
      </c>
      <c r="G35" s="115" t="s">
        <v>161</v>
      </c>
      <c r="H35" s="118" t="s">
        <v>317</v>
      </c>
      <c r="I35" s="119" t="s">
        <v>19</v>
      </c>
      <c r="J35" s="120">
        <v>46160</v>
      </c>
      <c r="K35" s="121" t="s">
        <v>318</v>
      </c>
      <c r="L35" s="121" t="s">
        <v>319</v>
      </c>
      <c r="M35" s="57" t="s">
        <v>175</v>
      </c>
      <c r="N35" s="100" t="s">
        <v>43</v>
      </c>
      <c r="O35" s="175" t="s">
        <v>477</v>
      </c>
      <c r="P35" s="190" t="s">
        <v>66</v>
      </c>
      <c r="Q35" s="189" t="s">
        <v>486</v>
      </c>
      <c r="R35" s="133" t="s">
        <v>175</v>
      </c>
    </row>
    <row r="36" spans="1:18" ht="45.75" customHeight="1" x14ac:dyDescent="0.25">
      <c r="A36" s="82">
        <v>34</v>
      </c>
      <c r="B36" s="147" t="s">
        <v>48</v>
      </c>
      <c r="C36" s="35" t="s">
        <v>334</v>
      </c>
      <c r="D36" s="116">
        <v>4</v>
      </c>
      <c r="E36" s="117" t="s">
        <v>297</v>
      </c>
      <c r="F36" s="115">
        <v>2</v>
      </c>
      <c r="G36" s="115" t="s">
        <v>161</v>
      </c>
      <c r="H36" s="118" t="s">
        <v>317</v>
      </c>
      <c r="I36" s="119" t="s">
        <v>19</v>
      </c>
      <c r="J36" s="61">
        <v>46162</v>
      </c>
      <c r="K36" s="121" t="s">
        <v>318</v>
      </c>
      <c r="L36" s="121" t="s">
        <v>319</v>
      </c>
      <c r="M36" s="57" t="s">
        <v>175</v>
      </c>
      <c r="N36" s="138" t="s">
        <v>175</v>
      </c>
      <c r="O36" s="184" t="s">
        <v>483</v>
      </c>
      <c r="P36" s="190" t="s">
        <v>66</v>
      </c>
      <c r="Q36" s="190" t="s">
        <v>66</v>
      </c>
      <c r="R36" s="133" t="s">
        <v>175</v>
      </c>
    </row>
    <row r="37" spans="1:18" ht="39.75" customHeight="1" x14ac:dyDescent="0.25">
      <c r="A37" s="82">
        <v>35</v>
      </c>
      <c r="B37" s="147" t="s">
        <v>48</v>
      </c>
      <c r="C37" s="113" t="s">
        <v>337</v>
      </c>
      <c r="D37" s="126">
        <v>4</v>
      </c>
      <c r="E37" s="117" t="s">
        <v>299</v>
      </c>
      <c r="F37" s="57">
        <v>2</v>
      </c>
      <c r="G37" s="115" t="s">
        <v>161</v>
      </c>
      <c r="H37" s="118" t="s">
        <v>317</v>
      </c>
      <c r="I37" s="119" t="s">
        <v>19</v>
      </c>
      <c r="J37" s="61">
        <v>46162</v>
      </c>
      <c r="K37" s="121" t="s">
        <v>318</v>
      </c>
      <c r="L37" s="121" t="s">
        <v>319</v>
      </c>
      <c r="M37" s="57" t="s">
        <v>175</v>
      </c>
      <c r="N37" s="100" t="s">
        <v>43</v>
      </c>
      <c r="O37" s="175" t="s">
        <v>477</v>
      </c>
      <c r="P37" s="190" t="s">
        <v>66</v>
      </c>
      <c r="Q37" s="189" t="s">
        <v>486</v>
      </c>
      <c r="R37" s="133" t="s">
        <v>175</v>
      </c>
    </row>
    <row r="38" spans="1:18" ht="40.5" customHeight="1" x14ac:dyDescent="0.25">
      <c r="A38" s="82">
        <v>36</v>
      </c>
      <c r="B38" s="147" t="s">
        <v>48</v>
      </c>
      <c r="C38" s="113" t="s">
        <v>338</v>
      </c>
      <c r="D38" s="126">
        <v>4</v>
      </c>
      <c r="E38" s="117" t="s">
        <v>236</v>
      </c>
      <c r="F38" s="57">
        <v>3</v>
      </c>
      <c r="G38" s="115" t="s">
        <v>161</v>
      </c>
      <c r="H38" s="118" t="s">
        <v>317</v>
      </c>
      <c r="I38" s="119" t="s">
        <v>19</v>
      </c>
      <c r="J38" s="61">
        <v>46162</v>
      </c>
      <c r="K38" s="121" t="s">
        <v>318</v>
      </c>
      <c r="L38" s="121" t="s">
        <v>319</v>
      </c>
      <c r="M38" s="57" t="s">
        <v>175</v>
      </c>
      <c r="N38" s="100" t="s">
        <v>43</v>
      </c>
      <c r="O38" s="175" t="s">
        <v>477</v>
      </c>
      <c r="P38" s="190" t="s">
        <v>66</v>
      </c>
      <c r="Q38" s="189" t="s">
        <v>486</v>
      </c>
      <c r="R38" s="133" t="s">
        <v>175</v>
      </c>
    </row>
    <row r="39" spans="1:18" ht="40.5" customHeight="1" x14ac:dyDescent="0.25">
      <c r="A39" s="82">
        <v>37</v>
      </c>
      <c r="B39" s="58" t="s">
        <v>48</v>
      </c>
      <c r="C39" s="113" t="s">
        <v>349</v>
      </c>
      <c r="D39" s="113">
        <v>5</v>
      </c>
      <c r="E39" s="60" t="s">
        <v>297</v>
      </c>
      <c r="F39" s="57">
        <v>2</v>
      </c>
      <c r="G39" s="57" t="s">
        <v>161</v>
      </c>
      <c r="H39" s="112" t="s">
        <v>350</v>
      </c>
      <c r="I39" s="65" t="s">
        <v>19</v>
      </c>
      <c r="J39" s="61">
        <v>46165</v>
      </c>
      <c r="K39" s="62" t="s">
        <v>318</v>
      </c>
      <c r="L39" s="62" t="s">
        <v>319</v>
      </c>
      <c r="M39" s="57" t="s">
        <v>175</v>
      </c>
      <c r="N39" s="100" t="s">
        <v>43</v>
      </c>
      <c r="O39" s="175" t="s">
        <v>477</v>
      </c>
      <c r="P39" s="190" t="s">
        <v>66</v>
      </c>
      <c r="Q39" s="189" t="s">
        <v>486</v>
      </c>
      <c r="R39" s="133" t="s">
        <v>175</v>
      </c>
    </row>
    <row r="40" spans="1:18" ht="40.5" customHeight="1" x14ac:dyDescent="0.25">
      <c r="A40" s="82">
        <v>38</v>
      </c>
      <c r="B40" s="58" t="s">
        <v>48</v>
      </c>
      <c r="C40" s="113" t="s">
        <v>354</v>
      </c>
      <c r="D40" s="113">
        <v>5</v>
      </c>
      <c r="E40" s="60" t="s">
        <v>299</v>
      </c>
      <c r="F40" s="57">
        <v>2</v>
      </c>
      <c r="G40" s="57" t="s">
        <v>161</v>
      </c>
      <c r="H40" s="112" t="s">
        <v>355</v>
      </c>
      <c r="I40" s="65" t="s">
        <v>19</v>
      </c>
      <c r="J40" s="61">
        <v>46165</v>
      </c>
      <c r="K40" s="62" t="s">
        <v>318</v>
      </c>
      <c r="L40" s="62" t="s">
        <v>319</v>
      </c>
      <c r="M40" s="57" t="s">
        <v>175</v>
      </c>
      <c r="N40" s="100" t="s">
        <v>43</v>
      </c>
      <c r="O40" s="175" t="s">
        <v>477</v>
      </c>
      <c r="P40" s="190" t="s">
        <v>66</v>
      </c>
      <c r="Q40" s="189" t="s">
        <v>486</v>
      </c>
      <c r="R40" s="133" t="s">
        <v>175</v>
      </c>
    </row>
    <row r="41" spans="1:18" ht="40.5" customHeight="1" x14ac:dyDescent="0.25">
      <c r="A41" s="82">
        <v>39</v>
      </c>
      <c r="B41" s="58" t="s">
        <v>48</v>
      </c>
      <c r="C41" s="113" t="s">
        <v>371</v>
      </c>
      <c r="D41" s="113">
        <v>1</v>
      </c>
      <c r="E41" s="60" t="s">
        <v>357</v>
      </c>
      <c r="F41" s="57">
        <v>2</v>
      </c>
      <c r="G41" s="57" t="s">
        <v>161</v>
      </c>
      <c r="H41" s="112" t="s">
        <v>358</v>
      </c>
      <c r="I41" s="65" t="s">
        <v>19</v>
      </c>
      <c r="J41" s="61">
        <v>46165</v>
      </c>
      <c r="K41" s="62" t="s">
        <v>318</v>
      </c>
      <c r="L41" s="62" t="s">
        <v>319</v>
      </c>
      <c r="M41" s="57" t="s">
        <v>175</v>
      </c>
      <c r="N41" s="138" t="s">
        <v>175</v>
      </c>
      <c r="O41" s="184" t="s">
        <v>483</v>
      </c>
      <c r="P41" s="190" t="s">
        <v>66</v>
      </c>
      <c r="Q41" s="190" t="s">
        <v>66</v>
      </c>
      <c r="R41" s="133" t="s">
        <v>175</v>
      </c>
    </row>
    <row r="42" spans="1:18" ht="40.5" customHeight="1" x14ac:dyDescent="0.25">
      <c r="A42" s="82">
        <v>40</v>
      </c>
      <c r="B42" s="58" t="s">
        <v>48</v>
      </c>
      <c r="C42" s="113" t="s">
        <v>356</v>
      </c>
      <c r="D42" s="113">
        <v>6</v>
      </c>
      <c r="E42" s="60" t="s">
        <v>299</v>
      </c>
      <c r="F42" s="57">
        <v>2</v>
      </c>
      <c r="G42" s="57" t="s">
        <v>161</v>
      </c>
      <c r="H42" s="112" t="s">
        <v>363</v>
      </c>
      <c r="I42" s="65" t="s">
        <v>19</v>
      </c>
      <c r="J42" s="61">
        <v>46173</v>
      </c>
      <c r="K42" s="62" t="s">
        <v>318</v>
      </c>
      <c r="L42" s="62" t="s">
        <v>360</v>
      </c>
      <c r="M42" s="57" t="s">
        <v>175</v>
      </c>
      <c r="N42" s="138" t="s">
        <v>43</v>
      </c>
      <c r="O42" s="175" t="s">
        <v>477</v>
      </c>
      <c r="P42" s="190" t="s">
        <v>66</v>
      </c>
      <c r="Q42" s="189" t="s">
        <v>486</v>
      </c>
      <c r="R42" s="133" t="s">
        <v>175</v>
      </c>
    </row>
    <row r="43" spans="1:18" ht="40.5" customHeight="1" x14ac:dyDescent="0.25">
      <c r="A43" s="49">
        <v>41</v>
      </c>
      <c r="B43" s="58" t="s">
        <v>48</v>
      </c>
      <c r="C43" s="113" t="s">
        <v>362</v>
      </c>
      <c r="D43" s="113">
        <v>6</v>
      </c>
      <c r="E43" s="60" t="s">
        <v>297</v>
      </c>
      <c r="F43" s="57">
        <v>2</v>
      </c>
      <c r="G43" s="57" t="s">
        <v>161</v>
      </c>
      <c r="H43" s="112" t="s">
        <v>363</v>
      </c>
      <c r="I43" s="65" t="s">
        <v>19</v>
      </c>
      <c r="J43" s="61">
        <v>46173</v>
      </c>
      <c r="K43" s="62" t="s">
        <v>318</v>
      </c>
      <c r="L43" s="62" t="s">
        <v>360</v>
      </c>
      <c r="M43" s="57" t="s">
        <v>175</v>
      </c>
      <c r="N43" s="138" t="s">
        <v>43</v>
      </c>
      <c r="O43" s="175" t="s">
        <v>477</v>
      </c>
      <c r="P43" s="190" t="s">
        <v>66</v>
      </c>
      <c r="Q43" s="189" t="s">
        <v>486</v>
      </c>
      <c r="R43" s="133" t="s">
        <v>175</v>
      </c>
    </row>
    <row r="44" spans="1:18" ht="40.5" customHeight="1" x14ac:dyDescent="0.25">
      <c r="A44" s="49">
        <v>42</v>
      </c>
      <c r="B44" s="58" t="s">
        <v>48</v>
      </c>
      <c r="C44" s="113" t="s">
        <v>364</v>
      </c>
      <c r="D44" s="113">
        <v>7</v>
      </c>
      <c r="E44" s="60" t="s">
        <v>299</v>
      </c>
      <c r="F44" s="57">
        <v>2</v>
      </c>
      <c r="G44" s="57" t="s">
        <v>161</v>
      </c>
      <c r="H44" s="112" t="s">
        <v>363</v>
      </c>
      <c r="I44" s="65" t="s">
        <v>19</v>
      </c>
      <c r="J44" s="61">
        <v>46173</v>
      </c>
      <c r="K44" s="62" t="s">
        <v>318</v>
      </c>
      <c r="L44" s="62" t="s">
        <v>360</v>
      </c>
      <c r="M44" s="57" t="s">
        <v>175</v>
      </c>
      <c r="N44" s="100" t="s">
        <v>43</v>
      </c>
      <c r="O44" s="175" t="s">
        <v>477</v>
      </c>
      <c r="P44" s="190" t="s">
        <v>66</v>
      </c>
      <c r="Q44" s="189" t="s">
        <v>486</v>
      </c>
      <c r="R44" s="133" t="s">
        <v>175</v>
      </c>
    </row>
    <row r="45" spans="1:18" ht="40.5" customHeight="1" x14ac:dyDescent="0.25">
      <c r="A45" s="49">
        <v>43</v>
      </c>
      <c r="B45" s="58" t="s">
        <v>48</v>
      </c>
      <c r="C45" s="113" t="s">
        <v>370</v>
      </c>
      <c r="D45" s="113">
        <v>7</v>
      </c>
      <c r="E45" s="60" t="s">
        <v>297</v>
      </c>
      <c r="F45" s="57">
        <v>2</v>
      </c>
      <c r="G45" s="57" t="s">
        <v>161</v>
      </c>
      <c r="H45" s="112" t="s">
        <v>363</v>
      </c>
      <c r="I45" s="65" t="s">
        <v>19</v>
      </c>
      <c r="J45" s="61">
        <v>46173</v>
      </c>
      <c r="K45" s="62" t="s">
        <v>318</v>
      </c>
      <c r="L45" s="62" t="s">
        <v>360</v>
      </c>
      <c r="M45" s="57" t="s">
        <v>175</v>
      </c>
      <c r="N45" s="100" t="s">
        <v>43</v>
      </c>
      <c r="O45" s="175" t="s">
        <v>477</v>
      </c>
      <c r="P45" s="190" t="s">
        <v>66</v>
      </c>
      <c r="Q45" s="189" t="s">
        <v>486</v>
      </c>
      <c r="R45" s="133" t="s">
        <v>175</v>
      </c>
    </row>
    <row r="46" spans="1:18" ht="40.5" customHeight="1" x14ac:dyDescent="0.25">
      <c r="A46" s="49">
        <v>44</v>
      </c>
      <c r="B46" s="58" t="s">
        <v>48</v>
      </c>
      <c r="C46" s="113" t="s">
        <v>375</v>
      </c>
      <c r="D46" s="113">
        <v>8</v>
      </c>
      <c r="E46" s="60" t="s">
        <v>299</v>
      </c>
      <c r="F46" s="57">
        <v>2</v>
      </c>
      <c r="G46" s="57" t="s">
        <v>161</v>
      </c>
      <c r="H46" s="112" t="s">
        <v>363</v>
      </c>
      <c r="I46" s="65" t="s">
        <v>19</v>
      </c>
      <c r="J46" s="61">
        <v>46173</v>
      </c>
      <c r="K46" s="62" t="s">
        <v>318</v>
      </c>
      <c r="L46" s="62" t="s">
        <v>360</v>
      </c>
      <c r="M46" s="57" t="s">
        <v>175</v>
      </c>
      <c r="N46" s="100" t="s">
        <v>43</v>
      </c>
      <c r="O46" s="175" t="s">
        <v>477</v>
      </c>
      <c r="P46" s="190" t="s">
        <v>66</v>
      </c>
      <c r="Q46" s="189" t="s">
        <v>486</v>
      </c>
      <c r="R46" s="133" t="s">
        <v>175</v>
      </c>
    </row>
    <row r="47" spans="1:18" ht="40.5" customHeight="1" x14ac:dyDescent="0.25">
      <c r="A47" s="49">
        <v>45</v>
      </c>
      <c r="B47" s="58" t="s">
        <v>48</v>
      </c>
      <c r="C47" s="113" t="s">
        <v>376</v>
      </c>
      <c r="D47" s="113">
        <v>8</v>
      </c>
      <c r="E47" s="60" t="s">
        <v>297</v>
      </c>
      <c r="F47" s="57">
        <v>2</v>
      </c>
      <c r="G47" s="57" t="s">
        <v>161</v>
      </c>
      <c r="H47" s="112" t="s">
        <v>363</v>
      </c>
      <c r="I47" s="65" t="s">
        <v>19</v>
      </c>
      <c r="J47" s="61">
        <v>46173</v>
      </c>
      <c r="K47" s="62" t="s">
        <v>318</v>
      </c>
      <c r="L47" s="62" t="s">
        <v>360</v>
      </c>
      <c r="M47" s="57" t="s">
        <v>175</v>
      </c>
      <c r="N47" s="100" t="s">
        <v>43</v>
      </c>
      <c r="O47" s="175" t="s">
        <v>477</v>
      </c>
      <c r="P47" s="190" t="s">
        <v>66</v>
      </c>
      <c r="Q47" s="189" t="s">
        <v>486</v>
      </c>
      <c r="R47" s="133" t="s">
        <v>175</v>
      </c>
    </row>
    <row r="48" spans="1:18" ht="40.5" customHeight="1" x14ac:dyDescent="0.25">
      <c r="A48" s="49">
        <v>46</v>
      </c>
      <c r="B48" s="58" t="s">
        <v>48</v>
      </c>
      <c r="C48" s="113" t="s">
        <v>380</v>
      </c>
      <c r="D48" s="113">
        <v>9</v>
      </c>
      <c r="E48" s="60" t="s">
        <v>299</v>
      </c>
      <c r="F48" s="57">
        <v>2</v>
      </c>
      <c r="G48" s="57" t="s">
        <v>161</v>
      </c>
      <c r="H48" s="112" t="s">
        <v>363</v>
      </c>
      <c r="I48" s="65" t="s">
        <v>19</v>
      </c>
      <c r="J48" s="61">
        <v>46173</v>
      </c>
      <c r="K48" s="62" t="s">
        <v>318</v>
      </c>
      <c r="L48" s="62" t="s">
        <v>360</v>
      </c>
      <c r="M48" s="57" t="s">
        <v>175</v>
      </c>
      <c r="N48" s="100" t="s">
        <v>43</v>
      </c>
      <c r="O48" s="175" t="s">
        <v>477</v>
      </c>
      <c r="P48" s="190" t="s">
        <v>66</v>
      </c>
      <c r="Q48" s="189" t="s">
        <v>486</v>
      </c>
      <c r="R48" s="133" t="s">
        <v>175</v>
      </c>
    </row>
    <row r="49" spans="1:18" ht="41.25" customHeight="1" x14ac:dyDescent="0.25">
      <c r="A49" s="49">
        <v>47</v>
      </c>
      <c r="B49" s="58" t="s">
        <v>48</v>
      </c>
      <c r="C49" s="113" t="s">
        <v>381</v>
      </c>
      <c r="D49" s="113">
        <v>9</v>
      </c>
      <c r="E49" s="60" t="s">
        <v>297</v>
      </c>
      <c r="F49" s="57">
        <v>2</v>
      </c>
      <c r="G49" s="57" t="s">
        <v>161</v>
      </c>
      <c r="H49" s="112" t="s">
        <v>363</v>
      </c>
      <c r="I49" s="65" t="s">
        <v>19</v>
      </c>
      <c r="J49" s="61">
        <v>46173</v>
      </c>
      <c r="K49" s="62" t="s">
        <v>318</v>
      </c>
      <c r="L49" s="62" t="s">
        <v>360</v>
      </c>
      <c r="M49" s="57" t="s">
        <v>175</v>
      </c>
      <c r="N49" s="100" t="s">
        <v>43</v>
      </c>
      <c r="O49" s="175" t="s">
        <v>477</v>
      </c>
      <c r="P49" s="190" t="s">
        <v>66</v>
      </c>
      <c r="Q49" s="189" t="s">
        <v>486</v>
      </c>
      <c r="R49" s="133" t="s">
        <v>175</v>
      </c>
    </row>
    <row r="50" spans="1:18" ht="41.25" customHeight="1" x14ac:dyDescent="0.25">
      <c r="A50" s="49">
        <v>48</v>
      </c>
      <c r="B50" s="58" t="s">
        <v>48</v>
      </c>
      <c r="C50" s="113" t="s">
        <v>472</v>
      </c>
      <c r="D50" s="113" t="s">
        <v>175</v>
      </c>
      <c r="E50" s="60" t="s">
        <v>226</v>
      </c>
      <c r="F50" s="57">
        <v>10</v>
      </c>
      <c r="G50" s="57" t="s">
        <v>189</v>
      </c>
      <c r="H50" s="112" t="s">
        <v>473</v>
      </c>
      <c r="I50" s="65" t="s">
        <v>19</v>
      </c>
      <c r="J50" s="61">
        <v>46197</v>
      </c>
      <c r="K50" s="62" t="s">
        <v>164</v>
      </c>
      <c r="L50" s="62" t="s">
        <v>318</v>
      </c>
      <c r="M50" s="57" t="s">
        <v>175</v>
      </c>
      <c r="N50" s="100" t="s">
        <v>43</v>
      </c>
      <c r="O50" s="175" t="s">
        <v>477</v>
      </c>
      <c r="P50" s="190" t="s">
        <v>66</v>
      </c>
      <c r="Q50" s="189" t="s">
        <v>486</v>
      </c>
      <c r="R50" s="133" t="s">
        <v>175</v>
      </c>
    </row>
    <row r="51" spans="1:18" ht="42" customHeight="1" x14ac:dyDescent="0.25">
      <c r="A51" s="49">
        <v>49</v>
      </c>
      <c r="B51" s="58" t="s">
        <v>48</v>
      </c>
      <c r="C51" s="113" t="s">
        <v>475</v>
      </c>
      <c r="D51" s="113" t="s">
        <v>175</v>
      </c>
      <c r="E51" s="60" t="s">
        <v>226</v>
      </c>
      <c r="F51" s="57">
        <v>10</v>
      </c>
      <c r="G51" s="57" t="s">
        <v>189</v>
      </c>
      <c r="H51" s="112" t="s">
        <v>476</v>
      </c>
      <c r="I51" s="65" t="s">
        <v>19</v>
      </c>
      <c r="J51" s="61">
        <v>46203</v>
      </c>
      <c r="K51" s="62" t="s">
        <v>164</v>
      </c>
      <c r="L51" s="62" t="s">
        <v>318</v>
      </c>
      <c r="M51" s="57" t="s">
        <v>175</v>
      </c>
      <c r="N51" s="100" t="s">
        <v>43</v>
      </c>
      <c r="O51" s="175" t="s">
        <v>477</v>
      </c>
      <c r="P51" s="190" t="s">
        <v>66</v>
      </c>
      <c r="Q51" s="189" t="s">
        <v>486</v>
      </c>
      <c r="R51" s="133" t="s">
        <v>175</v>
      </c>
    </row>
    <row r="52" spans="1:18" ht="42" customHeight="1" x14ac:dyDescent="0.25">
      <c r="A52" s="49">
        <v>50</v>
      </c>
      <c r="B52" s="58" t="s">
        <v>48</v>
      </c>
      <c r="C52" s="113" t="s">
        <v>489</v>
      </c>
      <c r="D52" s="49" t="s">
        <v>175</v>
      </c>
      <c r="E52" s="60" t="s">
        <v>226</v>
      </c>
      <c r="F52" s="57">
        <v>10</v>
      </c>
      <c r="G52" s="57" t="s">
        <v>189</v>
      </c>
      <c r="H52" s="112" t="s">
        <v>490</v>
      </c>
      <c r="I52" s="65" t="s">
        <v>19</v>
      </c>
      <c r="J52" s="123">
        <v>46216</v>
      </c>
      <c r="K52" s="62" t="s">
        <v>164</v>
      </c>
      <c r="L52" s="62" t="s">
        <v>318</v>
      </c>
      <c r="M52" s="57" t="s">
        <v>175</v>
      </c>
      <c r="N52" s="100" t="s">
        <v>43</v>
      </c>
      <c r="O52" s="175" t="s">
        <v>477</v>
      </c>
      <c r="P52" s="190" t="s">
        <v>66</v>
      </c>
      <c r="Q52" s="189" t="s">
        <v>486</v>
      </c>
      <c r="R52" s="133" t="s">
        <v>175</v>
      </c>
    </row>
    <row r="53" spans="1:18" ht="42" customHeight="1" x14ac:dyDescent="0.25">
      <c r="A53" s="49">
        <v>51</v>
      </c>
      <c r="B53" s="58" t="s">
        <v>48</v>
      </c>
      <c r="C53" s="113" t="s">
        <v>515</v>
      </c>
      <c r="D53" s="49" t="s">
        <v>175</v>
      </c>
      <c r="E53" s="60" t="s">
        <v>226</v>
      </c>
      <c r="F53" s="57">
        <v>10</v>
      </c>
      <c r="G53" s="57" t="s">
        <v>189</v>
      </c>
      <c r="H53" s="112" t="s">
        <v>516</v>
      </c>
      <c r="I53" s="65" t="s">
        <v>19</v>
      </c>
      <c r="J53" s="123">
        <v>46238</v>
      </c>
      <c r="K53" s="62" t="s">
        <v>164</v>
      </c>
      <c r="L53" s="62" t="s">
        <v>319</v>
      </c>
      <c r="M53" s="57" t="s">
        <v>175</v>
      </c>
      <c r="N53" s="100" t="s">
        <v>175</v>
      </c>
      <c r="O53" s="184" t="s">
        <v>483</v>
      </c>
      <c r="P53" s="190" t="s">
        <v>66</v>
      </c>
      <c r="Q53" s="190" t="s">
        <v>66</v>
      </c>
      <c r="R53" s="133" t="s">
        <v>175</v>
      </c>
    </row>
    <row r="54" spans="1:18" ht="42" customHeight="1" x14ac:dyDescent="0.25">
      <c r="A54" s="49">
        <v>52</v>
      </c>
      <c r="B54" s="58" t="s">
        <v>48</v>
      </c>
      <c r="C54" s="113" t="s">
        <v>491</v>
      </c>
      <c r="D54" s="49" t="s">
        <v>175</v>
      </c>
      <c r="E54" s="60" t="s">
        <v>492</v>
      </c>
      <c r="F54" s="49">
        <v>3</v>
      </c>
      <c r="G54" s="57" t="s">
        <v>189</v>
      </c>
      <c r="H54" s="112" t="s">
        <v>490</v>
      </c>
      <c r="I54" s="65" t="s">
        <v>19</v>
      </c>
      <c r="J54" s="123">
        <v>46216</v>
      </c>
      <c r="K54" s="62" t="s">
        <v>164</v>
      </c>
      <c r="L54" s="62" t="s">
        <v>318</v>
      </c>
      <c r="M54" s="57" t="s">
        <v>175</v>
      </c>
      <c r="N54" s="100" t="s">
        <v>43</v>
      </c>
      <c r="O54" s="175" t="s">
        <v>477</v>
      </c>
      <c r="P54" s="190" t="s">
        <v>66</v>
      </c>
      <c r="Q54" s="189" t="s">
        <v>486</v>
      </c>
      <c r="R54" s="133" t="s">
        <v>175</v>
      </c>
    </row>
    <row r="55" spans="1:18" ht="49.5" customHeight="1" x14ac:dyDescent="0.25">
      <c r="A55" s="49">
        <v>53</v>
      </c>
      <c r="B55" s="58" t="s">
        <v>48</v>
      </c>
      <c r="C55" s="113" t="s">
        <v>508</v>
      </c>
      <c r="D55" s="49" t="s">
        <v>175</v>
      </c>
      <c r="E55" s="60" t="s">
        <v>507</v>
      </c>
      <c r="F55" s="49">
        <v>7</v>
      </c>
      <c r="G55" s="49" t="s">
        <v>161</v>
      </c>
      <c r="H55" s="112" t="s">
        <v>490</v>
      </c>
      <c r="I55" s="65" t="s">
        <v>19</v>
      </c>
      <c r="J55" s="123">
        <v>46232</v>
      </c>
      <c r="K55" s="62" t="s">
        <v>164</v>
      </c>
      <c r="L55" s="62" t="s">
        <v>318</v>
      </c>
      <c r="M55" s="57" t="s">
        <v>175</v>
      </c>
      <c r="N55" s="100" t="s">
        <v>43</v>
      </c>
      <c r="O55" s="206" t="s">
        <v>513</v>
      </c>
      <c r="P55" s="190" t="s">
        <v>66</v>
      </c>
      <c r="Q55" s="190" t="s">
        <v>66</v>
      </c>
      <c r="R55" s="205" t="s">
        <v>512</v>
      </c>
    </row>
    <row r="56" spans="1:18" ht="49.5" customHeight="1" x14ac:dyDescent="0.25">
      <c r="A56" s="49">
        <v>54</v>
      </c>
      <c r="B56" s="58" t="s">
        <v>48</v>
      </c>
      <c r="C56" s="113" t="s">
        <v>519</v>
      </c>
      <c r="D56" s="49" t="s">
        <v>175</v>
      </c>
      <c r="E56" s="60" t="s">
        <v>518</v>
      </c>
      <c r="F56" s="49">
        <v>4</v>
      </c>
      <c r="G56" s="49" t="s">
        <v>161</v>
      </c>
      <c r="H56" s="112" t="s">
        <v>520</v>
      </c>
      <c r="I56" s="65" t="s">
        <v>19</v>
      </c>
      <c r="J56" s="123">
        <v>46250</v>
      </c>
      <c r="K56" s="62" t="s">
        <v>164</v>
      </c>
      <c r="L56" s="62" t="s">
        <v>164</v>
      </c>
      <c r="M56" s="57" t="s">
        <v>175</v>
      </c>
      <c r="N56" s="100"/>
      <c r="O56" s="206"/>
      <c r="P56" s="190"/>
      <c r="Q56" s="190"/>
      <c r="R56" s="205"/>
    </row>
  </sheetData>
  <autoFilter ref="A2:R49" xr:uid="{00000000-0009-0000-0000-000000000000}"/>
  <mergeCells count="1">
    <mergeCell ref="A1:R1"/>
  </mergeCells>
  <phoneticPr fontId="4" type="noConversion"/>
  <hyperlinks>
    <hyperlink ref="C3" r:id="rId1" xr:uid="{8D9715C0-97EF-488A-9562-B079CF1DA37D}"/>
    <hyperlink ref="C4" r:id="rId2" xr:uid="{1B113DED-B02E-407E-A294-84BB492D1932}"/>
    <hyperlink ref="C5" r:id="rId3" xr:uid="{E27A59D1-93B0-4E0D-9DCD-8B9B85213847}"/>
    <hyperlink ref="C6" r:id="rId4" xr:uid="{D8176630-5BE5-4B28-9085-0CF483EFB7C8}"/>
    <hyperlink ref="C7" r:id="rId5" xr:uid="{484E5886-5A75-459F-8267-3B095386D59C}"/>
    <hyperlink ref="C8" r:id="rId6" xr:uid="{EA779847-B280-4C32-B0E4-878806C64127}"/>
    <hyperlink ref="C9" r:id="rId7" xr:uid="{A94E98E7-60E0-41FB-AF50-5447BA0D2EA6}"/>
    <hyperlink ref="C10" r:id="rId8" xr:uid="{55A77211-CE26-4864-96AF-16FE0B73762E}"/>
    <hyperlink ref="C11" r:id="rId9" xr:uid="{E98B7302-2D00-4D97-80D3-3102156BFE0F}"/>
    <hyperlink ref="C12" r:id="rId10" xr:uid="{A51070F8-777E-4F56-BF01-4FA1FEB34C4A}"/>
    <hyperlink ref="C13" r:id="rId11" xr:uid="{B8ED2A89-BBC2-4A48-86AE-CC0E5E3EA51B}"/>
    <hyperlink ref="C14" r:id="rId12" xr:uid="{0B6C4C69-6802-46BE-A256-C7FC56E6FBFB}"/>
    <hyperlink ref="C15" r:id="rId13" xr:uid="{81A3EB6C-DAB9-45EC-9695-78FA9A890E99}"/>
    <hyperlink ref="C16" r:id="rId14" xr:uid="{0A68B72B-F3F4-405F-A2A6-0663CA803A0D}"/>
    <hyperlink ref="C17" r:id="rId15" xr:uid="{26EF38EF-7E01-4263-8211-3E9C96545478}"/>
    <hyperlink ref="C18" r:id="rId16" xr:uid="{C1DCFEFB-D642-4944-AF56-FF92E1A7F1C1}"/>
    <hyperlink ref="C19" r:id="rId17" xr:uid="{17F6EB9A-8E78-4E9F-85F0-E7BB7736A866}"/>
    <hyperlink ref="C20" r:id="rId18" xr:uid="{230573B9-F528-48A7-836B-F62E546AB1E0}"/>
    <hyperlink ref="C21" r:id="rId19" xr:uid="{28060AF9-3908-42D8-8E6B-C4694417A003}"/>
    <hyperlink ref="C22" r:id="rId20" xr:uid="{14507C55-7047-4F33-9DB3-580D51AE33DE}"/>
    <hyperlink ref="C23" r:id="rId21" xr:uid="{52FBDD38-B5B2-442B-86D8-F4313BE8F0F8}"/>
    <hyperlink ref="C24" r:id="rId22" xr:uid="{0ADA4D4C-DB90-401D-8E84-96D4B810889A}"/>
    <hyperlink ref="C25" r:id="rId23" xr:uid="{39F42A6A-B2CC-4931-AA28-6E59709A5B7A}"/>
    <hyperlink ref="C26" r:id="rId24" xr:uid="{DFAA9E59-0600-4504-81BA-4E54F239AE0B}"/>
    <hyperlink ref="C27" r:id="rId25" xr:uid="{0B1449EF-1530-4B36-91CA-6DE1088FAFBB}"/>
    <hyperlink ref="C28" r:id="rId26" xr:uid="{FEE423BB-D12B-475F-8BCE-90BFA406590E}"/>
    <hyperlink ref="C29" r:id="rId27" xr:uid="{346F69B1-98F3-4F11-B4D3-2D9BFF43CB2B}"/>
    <hyperlink ref="C30" r:id="rId28" xr:uid="{D73779FD-39EF-4F42-A356-9D92433A3264}"/>
    <hyperlink ref="C31" r:id="rId29" xr:uid="{443FBDE7-BC82-4BBB-8EDA-421E80198317}"/>
    <hyperlink ref="C32" r:id="rId30" xr:uid="{8436D85D-27A7-4B43-B270-D73FAE6D9885}"/>
    <hyperlink ref="C33" r:id="rId31" xr:uid="{059D9C6D-3B0E-4001-9447-C2038A0A7E3C}"/>
    <hyperlink ref="C34" r:id="rId32" display="FHD-ELE-RLD-0031" xr:uid="{EB042ED0-685A-47F7-AE4D-ED06EC62D0EF}"/>
    <hyperlink ref="C35" r:id="rId33" display="FHD-ELE-RLD-0031" xr:uid="{AA34742C-CA5F-40E7-8F9F-6AFD7CB9C414}"/>
    <hyperlink ref="C36" r:id="rId34" display="FHD-ELE-RLD-0031" xr:uid="{4C3B8BCD-2988-4806-9D1C-351B05D5426D}"/>
  </hyperlinks>
  <printOptions horizontalCentered="1"/>
  <pageMargins left="0.25" right="0.25" top="0.25" bottom="0.25" header="0" footer="0"/>
  <pageSetup paperSize="8" scale="46" fitToHeight="0" orientation="landscape" r:id="rId35"/>
  <headerFooter>
    <oddFooter>&amp;Lby Ahmed Mohamed 
&amp;CPage (&amp;P of &amp;N)&amp;R&amp;D</oddFooter>
  </headerFooter>
  <drawing r:id="rId3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EDBA3-FBF6-4C6B-AD6E-1F4405830E73}">
  <sheetPr>
    <pageSetUpPr fitToPage="1"/>
  </sheetPr>
  <dimension ref="A1:R31"/>
  <sheetViews>
    <sheetView showGridLines="0" tabSelected="1" zoomScale="55" zoomScaleNormal="55" zoomScaleSheetLayoutView="85" workbookViewId="0">
      <pane ySplit="2" topLeftCell="A11" activePane="bottomLeft" state="frozen"/>
      <selection activeCell="Q1" sqref="Q1"/>
      <selection pane="bottomLeft" activeCell="Q2" sqref="Q1:Q1048576"/>
    </sheetView>
  </sheetViews>
  <sheetFormatPr defaultColWidth="9.140625" defaultRowHeight="12.75" x14ac:dyDescent="0.25"/>
  <cols>
    <col min="1" max="1" width="12.85546875" style="33" bestFit="1" customWidth="1"/>
    <col min="2" max="2" width="18.7109375" style="33" bestFit="1" customWidth="1"/>
    <col min="3" max="3" width="29.28515625" style="33" customWidth="1"/>
    <col min="4" max="4" width="16.7109375" style="33" customWidth="1"/>
    <col min="5" max="5" width="59.28515625" style="33" customWidth="1"/>
    <col min="6" max="6" width="15.7109375" style="33" customWidth="1"/>
    <col min="7" max="7" width="17.140625" style="33" customWidth="1"/>
    <col min="8" max="8" width="60.7109375" style="37" customWidth="1"/>
    <col min="9" max="9" width="16.5703125" style="33" customWidth="1"/>
    <col min="10" max="10" width="15.5703125" style="33" customWidth="1"/>
    <col min="11" max="11" width="17.7109375" style="33" customWidth="1"/>
    <col min="12" max="12" width="20.5703125" style="33" customWidth="1"/>
    <col min="13" max="13" width="20.140625" style="33" customWidth="1"/>
    <col min="14" max="16" width="24.28515625" style="33" customWidth="1"/>
    <col min="17" max="17" width="34.85546875" style="33" hidden="1" customWidth="1"/>
    <col min="18" max="18" width="33" style="33" customWidth="1"/>
    <col min="19" max="16384" width="9.140625" style="33"/>
  </cols>
  <sheetData>
    <row r="1" spans="1:18" ht="117.75" customHeight="1" thickBot="1" x14ac:dyDescent="0.3">
      <c r="A1" s="209" t="s">
        <v>312</v>
      </c>
      <c r="B1" s="209"/>
      <c r="C1" s="209"/>
      <c r="D1" s="209"/>
      <c r="E1" s="209"/>
      <c r="F1" s="209"/>
      <c r="G1" s="209"/>
      <c r="H1" s="209"/>
      <c r="I1" s="209"/>
      <c r="J1" s="209"/>
      <c r="K1" s="209"/>
      <c r="L1" s="209"/>
      <c r="M1" s="209"/>
      <c r="N1" s="209"/>
      <c r="O1" s="209"/>
      <c r="P1" s="209"/>
      <c r="Q1" s="209"/>
      <c r="R1" s="209"/>
    </row>
    <row r="2" spans="1:18" ht="65.25" customHeight="1" thickBot="1" x14ac:dyDescent="0.3">
      <c r="A2" s="53" t="s">
        <v>32</v>
      </c>
      <c r="B2" s="54" t="s">
        <v>34</v>
      </c>
      <c r="C2" s="54" t="s">
        <v>41</v>
      </c>
      <c r="D2" s="54" t="s">
        <v>383</v>
      </c>
      <c r="E2" s="54" t="s">
        <v>35</v>
      </c>
      <c r="F2" s="54" t="s">
        <v>45</v>
      </c>
      <c r="G2" s="54" t="s">
        <v>46</v>
      </c>
      <c r="H2" s="55" t="s">
        <v>36</v>
      </c>
      <c r="I2" s="54" t="s">
        <v>38</v>
      </c>
      <c r="J2" s="54" t="s">
        <v>40</v>
      </c>
      <c r="K2" s="54" t="s">
        <v>37</v>
      </c>
      <c r="L2" s="54" t="s">
        <v>47</v>
      </c>
      <c r="M2" s="54" t="s">
        <v>39</v>
      </c>
      <c r="N2" s="54" t="s">
        <v>39</v>
      </c>
      <c r="O2" s="137" t="s">
        <v>484</v>
      </c>
      <c r="P2" s="198" t="s">
        <v>315</v>
      </c>
      <c r="Q2" s="101" t="s">
        <v>509</v>
      </c>
      <c r="R2" s="56" t="s">
        <v>20</v>
      </c>
    </row>
    <row r="3" spans="1:18" ht="39.75" customHeight="1" x14ac:dyDescent="0.25">
      <c r="A3" s="75">
        <v>1</v>
      </c>
      <c r="B3" s="75" t="s">
        <v>48</v>
      </c>
      <c r="C3" s="35" t="s">
        <v>211</v>
      </c>
      <c r="D3" s="35">
        <v>1</v>
      </c>
      <c r="E3" s="75" t="s">
        <v>384</v>
      </c>
      <c r="F3" s="75">
        <v>2</v>
      </c>
      <c r="G3" s="75" t="s">
        <v>314</v>
      </c>
      <c r="H3" s="75" t="s">
        <v>190</v>
      </c>
      <c r="I3" s="75" t="s">
        <v>212</v>
      </c>
      <c r="J3" s="74">
        <v>46039</v>
      </c>
      <c r="K3" s="72" t="s">
        <v>164</v>
      </c>
      <c r="L3" s="72" t="s">
        <v>165</v>
      </c>
      <c r="M3" s="72" t="s">
        <v>175</v>
      </c>
      <c r="N3" s="72" t="s">
        <v>43</v>
      </c>
      <c r="O3" s="175" t="s">
        <v>478</v>
      </c>
      <c r="P3" s="152" t="s">
        <v>66</v>
      </c>
      <c r="Q3" s="141" t="s">
        <v>66</v>
      </c>
      <c r="R3" s="133" t="s">
        <v>175</v>
      </c>
    </row>
    <row r="4" spans="1:18" ht="39.75" customHeight="1" x14ac:dyDescent="0.25">
      <c r="A4" s="75">
        <v>2</v>
      </c>
      <c r="B4" s="75" t="s">
        <v>48</v>
      </c>
      <c r="C4" s="35" t="s">
        <v>213</v>
      </c>
      <c r="D4" s="35">
        <v>1</v>
      </c>
      <c r="E4" s="75" t="s">
        <v>323</v>
      </c>
      <c r="F4" s="75">
        <v>2</v>
      </c>
      <c r="G4" s="75" t="s">
        <v>161</v>
      </c>
      <c r="H4" s="75" t="s">
        <v>190</v>
      </c>
      <c r="I4" s="75" t="s">
        <v>212</v>
      </c>
      <c r="J4" s="74">
        <v>46039</v>
      </c>
      <c r="K4" s="72" t="s">
        <v>164</v>
      </c>
      <c r="L4" s="72" t="s">
        <v>165</v>
      </c>
      <c r="M4" s="72" t="s">
        <v>175</v>
      </c>
      <c r="N4" s="72" t="s">
        <v>43</v>
      </c>
      <c r="O4" s="175" t="s">
        <v>478</v>
      </c>
      <c r="P4" s="152" t="s">
        <v>66</v>
      </c>
      <c r="Q4" s="128" t="s">
        <v>66</v>
      </c>
      <c r="R4" s="133" t="s">
        <v>175</v>
      </c>
    </row>
    <row r="5" spans="1:18" ht="39.75" customHeight="1" x14ac:dyDescent="0.25">
      <c r="A5" s="57">
        <v>3</v>
      </c>
      <c r="B5" s="57" t="s">
        <v>48</v>
      </c>
      <c r="C5" s="35" t="s">
        <v>214</v>
      </c>
      <c r="D5" s="35">
        <v>1</v>
      </c>
      <c r="E5" s="60" t="s">
        <v>215</v>
      </c>
      <c r="F5" s="60">
        <v>3</v>
      </c>
      <c r="G5" s="60" t="s">
        <v>161</v>
      </c>
      <c r="H5" s="60" t="s">
        <v>296</v>
      </c>
      <c r="I5" s="60" t="s">
        <v>212</v>
      </c>
      <c r="J5" s="61">
        <v>46139</v>
      </c>
      <c r="K5" s="62" t="s">
        <v>164</v>
      </c>
      <c r="L5" s="62" t="s">
        <v>169</v>
      </c>
      <c r="M5" s="59" t="s">
        <v>172</v>
      </c>
      <c r="N5" s="62" t="s">
        <v>43</v>
      </c>
      <c r="O5" s="175" t="s">
        <v>478</v>
      </c>
      <c r="P5" s="152" t="s">
        <v>66</v>
      </c>
      <c r="Q5" s="196" t="s">
        <v>66</v>
      </c>
      <c r="R5" s="133" t="s">
        <v>175</v>
      </c>
    </row>
    <row r="6" spans="1:18" ht="39.75" customHeight="1" x14ac:dyDescent="0.25">
      <c r="A6" s="57">
        <v>4</v>
      </c>
      <c r="B6" s="57" t="s">
        <v>48</v>
      </c>
      <c r="C6" s="35" t="s">
        <v>216</v>
      </c>
      <c r="D6" s="35">
        <v>2</v>
      </c>
      <c r="E6" s="60" t="s">
        <v>215</v>
      </c>
      <c r="F6" s="60">
        <v>3</v>
      </c>
      <c r="G6" s="60" t="s">
        <v>161</v>
      </c>
      <c r="H6" s="60" t="s">
        <v>217</v>
      </c>
      <c r="I6" s="60" t="s">
        <v>212</v>
      </c>
      <c r="J6" s="61">
        <v>46147</v>
      </c>
      <c r="K6" s="62" t="s">
        <v>164</v>
      </c>
      <c r="L6" s="62" t="s">
        <v>169</v>
      </c>
      <c r="M6" s="59" t="s">
        <v>175</v>
      </c>
      <c r="N6" s="62" t="s">
        <v>43</v>
      </c>
      <c r="O6" s="175" t="s">
        <v>478</v>
      </c>
      <c r="P6" s="152" t="s">
        <v>66</v>
      </c>
      <c r="Q6" s="128" t="s">
        <v>66</v>
      </c>
      <c r="R6" s="133" t="s">
        <v>175</v>
      </c>
    </row>
    <row r="7" spans="1:18" ht="39.75" customHeight="1" x14ac:dyDescent="0.25">
      <c r="A7" s="57">
        <v>5</v>
      </c>
      <c r="B7" s="57" t="s">
        <v>48</v>
      </c>
      <c r="C7" s="35" t="s">
        <v>218</v>
      </c>
      <c r="D7" s="35">
        <v>1</v>
      </c>
      <c r="E7" s="60" t="s">
        <v>219</v>
      </c>
      <c r="F7" s="60">
        <v>3</v>
      </c>
      <c r="G7" s="60" t="s">
        <v>161</v>
      </c>
      <c r="H7" s="60" t="s">
        <v>220</v>
      </c>
      <c r="I7" s="60" t="s">
        <v>212</v>
      </c>
      <c r="J7" s="61">
        <v>46139</v>
      </c>
      <c r="K7" s="62" t="s">
        <v>164</v>
      </c>
      <c r="L7" s="62" t="s">
        <v>169</v>
      </c>
      <c r="M7" s="59" t="s">
        <v>172</v>
      </c>
      <c r="N7" s="62" t="s">
        <v>43</v>
      </c>
      <c r="O7" s="175" t="s">
        <v>478</v>
      </c>
      <c r="P7" s="152" t="s">
        <v>66</v>
      </c>
      <c r="Q7" s="128" t="s">
        <v>66</v>
      </c>
      <c r="R7" s="133" t="s">
        <v>175</v>
      </c>
    </row>
    <row r="8" spans="1:18" ht="39.75" customHeight="1" x14ac:dyDescent="0.25">
      <c r="A8" s="57">
        <v>6</v>
      </c>
      <c r="B8" s="57" t="s">
        <v>48</v>
      </c>
      <c r="C8" s="35" t="s">
        <v>221</v>
      </c>
      <c r="D8" s="35">
        <v>2</v>
      </c>
      <c r="E8" s="60" t="s">
        <v>219</v>
      </c>
      <c r="F8" s="60">
        <v>3</v>
      </c>
      <c r="G8" s="60" t="s">
        <v>161</v>
      </c>
      <c r="H8" s="60" t="s">
        <v>217</v>
      </c>
      <c r="I8" s="60" t="s">
        <v>212</v>
      </c>
      <c r="J8" s="61">
        <v>46147</v>
      </c>
      <c r="K8" s="62" t="s">
        <v>164</v>
      </c>
      <c r="L8" s="62" t="s">
        <v>169</v>
      </c>
      <c r="M8" s="59" t="s">
        <v>175</v>
      </c>
      <c r="N8" s="62" t="s">
        <v>43</v>
      </c>
      <c r="O8" s="175" t="s">
        <v>478</v>
      </c>
      <c r="P8" s="152" t="s">
        <v>66</v>
      </c>
      <c r="Q8" s="128" t="s">
        <v>66</v>
      </c>
      <c r="R8" s="133" t="s">
        <v>175</v>
      </c>
    </row>
    <row r="9" spans="1:18" ht="39.75" customHeight="1" x14ac:dyDescent="0.25">
      <c r="A9" s="57">
        <v>7</v>
      </c>
      <c r="B9" s="57" t="s">
        <v>48</v>
      </c>
      <c r="C9" s="35" t="s">
        <v>222</v>
      </c>
      <c r="D9" s="35">
        <v>1</v>
      </c>
      <c r="E9" s="60" t="s">
        <v>58</v>
      </c>
      <c r="F9" s="60">
        <v>2</v>
      </c>
      <c r="G9" s="60" t="s">
        <v>161</v>
      </c>
      <c r="H9" s="60" t="s">
        <v>223</v>
      </c>
      <c r="I9" s="60" t="s">
        <v>212</v>
      </c>
      <c r="J9" s="61">
        <v>46139</v>
      </c>
      <c r="K9" s="62" t="s">
        <v>164</v>
      </c>
      <c r="L9" s="62" t="s">
        <v>169</v>
      </c>
      <c r="M9" s="59" t="s">
        <v>172</v>
      </c>
      <c r="N9" s="62" t="s">
        <v>43</v>
      </c>
      <c r="O9" s="175" t="s">
        <v>478</v>
      </c>
      <c r="P9" s="152" t="s">
        <v>66</v>
      </c>
      <c r="Q9" s="128" t="s">
        <v>66</v>
      </c>
      <c r="R9" s="133" t="s">
        <v>175</v>
      </c>
    </row>
    <row r="10" spans="1:18" ht="39.75" customHeight="1" x14ac:dyDescent="0.25">
      <c r="A10" s="57">
        <v>8</v>
      </c>
      <c r="B10" s="57" t="s">
        <v>48</v>
      </c>
      <c r="C10" s="35" t="s">
        <v>224</v>
      </c>
      <c r="D10" s="35">
        <v>1</v>
      </c>
      <c r="E10" s="60" t="s">
        <v>225</v>
      </c>
      <c r="F10" s="60">
        <v>1</v>
      </c>
      <c r="G10" s="60" t="s">
        <v>185</v>
      </c>
      <c r="H10" s="60" t="s">
        <v>186</v>
      </c>
      <c r="I10" s="60" t="s">
        <v>212</v>
      </c>
      <c r="J10" s="61">
        <v>46147</v>
      </c>
      <c r="K10" s="62" t="s">
        <v>164</v>
      </c>
      <c r="L10" s="62" t="s">
        <v>169</v>
      </c>
      <c r="M10" s="59" t="s">
        <v>175</v>
      </c>
      <c r="N10" s="62" t="s">
        <v>43</v>
      </c>
      <c r="O10" s="175" t="s">
        <v>478</v>
      </c>
      <c r="P10" s="152" t="s">
        <v>66</v>
      </c>
      <c r="Q10" s="197" t="s">
        <v>500</v>
      </c>
      <c r="R10" s="133" t="s">
        <v>175</v>
      </c>
    </row>
    <row r="11" spans="1:18" ht="55.5" customHeight="1" x14ac:dyDescent="0.25">
      <c r="A11" s="57">
        <v>9</v>
      </c>
      <c r="B11" s="57" t="s">
        <v>48</v>
      </c>
      <c r="C11" s="35" t="s">
        <v>295</v>
      </c>
      <c r="D11" s="35">
        <v>2</v>
      </c>
      <c r="E11" s="60" t="s">
        <v>384</v>
      </c>
      <c r="F11" s="60">
        <v>2</v>
      </c>
      <c r="G11" s="57" t="s">
        <v>161</v>
      </c>
      <c r="H11" s="64" t="s">
        <v>186</v>
      </c>
      <c r="I11" s="60" t="s">
        <v>212</v>
      </c>
      <c r="J11" s="61">
        <v>46153</v>
      </c>
      <c r="K11" s="62" t="s">
        <v>164</v>
      </c>
      <c r="L11" s="62" t="s">
        <v>169</v>
      </c>
      <c r="M11" s="59" t="s">
        <v>175</v>
      </c>
      <c r="N11" s="62" t="s">
        <v>43</v>
      </c>
      <c r="O11" s="175" t="s">
        <v>478</v>
      </c>
      <c r="P11" s="152" t="s">
        <v>66</v>
      </c>
      <c r="Q11" s="128" t="s">
        <v>66</v>
      </c>
      <c r="R11" s="133" t="s">
        <v>175</v>
      </c>
    </row>
    <row r="12" spans="1:18" ht="45" customHeight="1" x14ac:dyDescent="0.25">
      <c r="A12" s="57">
        <v>10</v>
      </c>
      <c r="B12" s="57" t="s">
        <v>48</v>
      </c>
      <c r="C12" s="35" t="s">
        <v>294</v>
      </c>
      <c r="D12" s="35">
        <v>1</v>
      </c>
      <c r="E12" s="60" t="s">
        <v>293</v>
      </c>
      <c r="F12" s="35">
        <v>2</v>
      </c>
      <c r="G12" s="60" t="s">
        <v>185</v>
      </c>
      <c r="H12" s="64" t="s">
        <v>186</v>
      </c>
      <c r="I12" s="60" t="s">
        <v>212</v>
      </c>
      <c r="J12" s="61">
        <v>46154</v>
      </c>
      <c r="K12" s="62" t="s">
        <v>164</v>
      </c>
      <c r="L12" s="62" t="s">
        <v>169</v>
      </c>
      <c r="M12" s="59" t="s">
        <v>175</v>
      </c>
      <c r="N12" s="62" t="s">
        <v>43</v>
      </c>
      <c r="O12" s="175" t="s">
        <v>478</v>
      </c>
      <c r="P12" s="152" t="s">
        <v>66</v>
      </c>
      <c r="Q12" s="128" t="s">
        <v>66</v>
      </c>
      <c r="R12" s="133" t="s">
        <v>175</v>
      </c>
    </row>
    <row r="13" spans="1:18" ht="45" customHeight="1" x14ac:dyDescent="0.25">
      <c r="A13" s="57">
        <v>11</v>
      </c>
      <c r="B13" s="57" t="s">
        <v>48</v>
      </c>
      <c r="C13" s="35" t="s">
        <v>292</v>
      </c>
      <c r="D13" s="35">
        <v>1</v>
      </c>
      <c r="E13" s="60" t="s">
        <v>289</v>
      </c>
      <c r="F13" s="35">
        <v>2</v>
      </c>
      <c r="G13" s="60" t="s">
        <v>185</v>
      </c>
      <c r="H13" s="64" t="s">
        <v>186</v>
      </c>
      <c r="I13" s="60" t="s">
        <v>212</v>
      </c>
      <c r="J13" s="61">
        <v>46153</v>
      </c>
      <c r="K13" s="62" t="s">
        <v>164</v>
      </c>
      <c r="L13" s="62" t="s">
        <v>169</v>
      </c>
      <c r="M13" s="59" t="s">
        <v>175</v>
      </c>
      <c r="N13" s="62" t="s">
        <v>43</v>
      </c>
      <c r="O13" s="175" t="s">
        <v>478</v>
      </c>
      <c r="P13" s="152" t="s">
        <v>66</v>
      </c>
      <c r="Q13" s="128" t="s">
        <v>66</v>
      </c>
      <c r="R13" s="133" t="s">
        <v>175</v>
      </c>
    </row>
    <row r="14" spans="1:18" ht="45" customHeight="1" x14ac:dyDescent="0.25">
      <c r="A14" s="57">
        <v>12</v>
      </c>
      <c r="B14" s="57" t="s">
        <v>48</v>
      </c>
      <c r="C14" s="35" t="s">
        <v>291</v>
      </c>
      <c r="D14" s="35">
        <v>1</v>
      </c>
      <c r="E14" s="60" t="s">
        <v>287</v>
      </c>
      <c r="F14" s="35">
        <v>2</v>
      </c>
      <c r="G14" s="60" t="s">
        <v>185</v>
      </c>
      <c r="H14" s="64" t="s">
        <v>186</v>
      </c>
      <c r="I14" s="60" t="s">
        <v>212</v>
      </c>
      <c r="J14" s="61">
        <v>46153</v>
      </c>
      <c r="K14" s="62" t="s">
        <v>164</v>
      </c>
      <c r="L14" s="62" t="s">
        <v>169</v>
      </c>
      <c r="M14" s="59" t="s">
        <v>175</v>
      </c>
      <c r="N14" s="62" t="s">
        <v>43</v>
      </c>
      <c r="O14" s="175" t="s">
        <v>478</v>
      </c>
      <c r="P14" s="152" t="s">
        <v>66</v>
      </c>
      <c r="Q14" s="128" t="s">
        <v>66</v>
      </c>
      <c r="R14" s="133" t="s">
        <v>175</v>
      </c>
    </row>
    <row r="15" spans="1:18" ht="45" customHeight="1" x14ac:dyDescent="0.25">
      <c r="A15" s="57">
        <v>13</v>
      </c>
      <c r="B15" s="57" t="s">
        <v>48</v>
      </c>
      <c r="C15" s="35" t="s">
        <v>290</v>
      </c>
      <c r="D15" s="35">
        <v>2</v>
      </c>
      <c r="E15" s="60" t="s">
        <v>289</v>
      </c>
      <c r="F15" s="35">
        <v>2</v>
      </c>
      <c r="G15" s="60" t="s">
        <v>185</v>
      </c>
      <c r="H15" s="64" t="s">
        <v>186</v>
      </c>
      <c r="I15" s="60" t="s">
        <v>212</v>
      </c>
      <c r="J15" s="61">
        <v>46153</v>
      </c>
      <c r="K15" s="62" t="s">
        <v>164</v>
      </c>
      <c r="L15" s="62" t="s">
        <v>169</v>
      </c>
      <c r="M15" s="59" t="s">
        <v>175</v>
      </c>
      <c r="N15" s="62" t="s">
        <v>43</v>
      </c>
      <c r="O15" s="175" t="s">
        <v>478</v>
      </c>
      <c r="P15" s="152" t="s">
        <v>66</v>
      </c>
      <c r="Q15" s="128" t="s">
        <v>66</v>
      </c>
      <c r="R15" s="133" t="s">
        <v>175</v>
      </c>
    </row>
    <row r="16" spans="1:18" ht="45" customHeight="1" x14ac:dyDescent="0.25">
      <c r="A16" s="57">
        <v>14</v>
      </c>
      <c r="B16" s="57" t="s">
        <v>48</v>
      </c>
      <c r="C16" s="35" t="s">
        <v>288</v>
      </c>
      <c r="D16" s="35">
        <v>2</v>
      </c>
      <c r="E16" s="60" t="s">
        <v>287</v>
      </c>
      <c r="F16" s="35">
        <v>2</v>
      </c>
      <c r="G16" s="60" t="s">
        <v>185</v>
      </c>
      <c r="H16" s="64" t="s">
        <v>186</v>
      </c>
      <c r="I16" s="60" t="s">
        <v>212</v>
      </c>
      <c r="J16" s="61">
        <v>46153</v>
      </c>
      <c r="K16" s="62" t="s">
        <v>164</v>
      </c>
      <c r="L16" s="62" t="s">
        <v>169</v>
      </c>
      <c r="M16" s="59" t="s">
        <v>175</v>
      </c>
      <c r="N16" s="62" t="s">
        <v>43</v>
      </c>
      <c r="O16" s="175" t="s">
        <v>478</v>
      </c>
      <c r="P16" s="152" t="s">
        <v>66</v>
      </c>
      <c r="Q16" s="128" t="s">
        <v>66</v>
      </c>
      <c r="R16" s="133" t="s">
        <v>175</v>
      </c>
    </row>
    <row r="17" spans="1:18" ht="45" customHeight="1" x14ac:dyDescent="0.25">
      <c r="A17" s="35">
        <v>15</v>
      </c>
      <c r="B17" s="58" t="s">
        <v>48</v>
      </c>
      <c r="C17" s="35" t="s">
        <v>324</v>
      </c>
      <c r="D17" s="35">
        <v>2</v>
      </c>
      <c r="E17" s="60" t="s">
        <v>323</v>
      </c>
      <c r="F17" s="35">
        <v>2</v>
      </c>
      <c r="G17" s="57" t="s">
        <v>161</v>
      </c>
      <c r="H17" s="64" t="s">
        <v>186</v>
      </c>
      <c r="I17" s="65" t="s">
        <v>212</v>
      </c>
      <c r="J17" s="51">
        <v>46160</v>
      </c>
      <c r="K17" s="62" t="s">
        <v>164</v>
      </c>
      <c r="L17" s="62" t="s">
        <v>169</v>
      </c>
      <c r="M17" s="59" t="s">
        <v>175</v>
      </c>
      <c r="N17" s="62" t="s">
        <v>43</v>
      </c>
      <c r="O17" s="175" t="s">
        <v>478</v>
      </c>
      <c r="P17" s="152" t="s">
        <v>66</v>
      </c>
      <c r="Q17" s="128" t="s">
        <v>66</v>
      </c>
      <c r="R17" s="133" t="s">
        <v>175</v>
      </c>
    </row>
    <row r="18" spans="1:18" ht="45" customHeight="1" x14ac:dyDescent="0.25">
      <c r="A18" s="35">
        <v>16</v>
      </c>
      <c r="B18" s="58" t="s">
        <v>48</v>
      </c>
      <c r="C18" s="113" t="s">
        <v>333</v>
      </c>
      <c r="D18" s="113">
        <v>1</v>
      </c>
      <c r="E18" s="60" t="s">
        <v>332</v>
      </c>
      <c r="F18" s="35">
        <v>2</v>
      </c>
      <c r="G18" s="57" t="s">
        <v>161</v>
      </c>
      <c r="H18" s="64" t="s">
        <v>317</v>
      </c>
      <c r="I18" s="65" t="s">
        <v>212</v>
      </c>
      <c r="J18" s="51">
        <v>46162</v>
      </c>
      <c r="K18" s="62" t="s">
        <v>318</v>
      </c>
      <c r="L18" s="35" t="s">
        <v>319</v>
      </c>
      <c r="M18" s="59" t="s">
        <v>175</v>
      </c>
      <c r="N18" s="62" t="s">
        <v>43</v>
      </c>
      <c r="O18" s="175" t="s">
        <v>478</v>
      </c>
      <c r="P18" s="152" t="s">
        <v>66</v>
      </c>
      <c r="Q18" s="128" t="s">
        <v>66</v>
      </c>
      <c r="R18" s="133" t="s">
        <v>175</v>
      </c>
    </row>
    <row r="19" spans="1:18" ht="45" customHeight="1" x14ac:dyDescent="0.25">
      <c r="A19" s="35">
        <v>17</v>
      </c>
      <c r="B19" s="58" t="s">
        <v>48</v>
      </c>
      <c r="C19" s="113" t="s">
        <v>335</v>
      </c>
      <c r="D19" s="113">
        <v>1</v>
      </c>
      <c r="E19" s="60" t="s">
        <v>336</v>
      </c>
      <c r="F19" s="35">
        <v>2</v>
      </c>
      <c r="G19" s="57" t="s">
        <v>161</v>
      </c>
      <c r="H19" s="64" t="s">
        <v>317</v>
      </c>
      <c r="I19" s="65" t="s">
        <v>212</v>
      </c>
      <c r="J19" s="51">
        <v>46162</v>
      </c>
      <c r="K19" s="62" t="s">
        <v>318</v>
      </c>
      <c r="L19" s="35" t="s">
        <v>319</v>
      </c>
      <c r="M19" s="59" t="s">
        <v>175</v>
      </c>
      <c r="N19" s="62" t="s">
        <v>43</v>
      </c>
      <c r="O19" s="175" t="s">
        <v>478</v>
      </c>
      <c r="P19" s="152" t="s">
        <v>66</v>
      </c>
      <c r="Q19" s="128" t="s">
        <v>66</v>
      </c>
      <c r="R19" s="133" t="s">
        <v>175</v>
      </c>
    </row>
    <row r="20" spans="1:18" ht="45" customHeight="1" x14ac:dyDescent="0.25">
      <c r="A20" s="35">
        <v>18</v>
      </c>
      <c r="B20" s="58" t="s">
        <v>48</v>
      </c>
      <c r="C20" s="113" t="s">
        <v>339</v>
      </c>
      <c r="D20" s="113">
        <v>1</v>
      </c>
      <c r="E20" s="60" t="s">
        <v>340</v>
      </c>
      <c r="F20" s="35">
        <v>4</v>
      </c>
      <c r="G20" s="57" t="s">
        <v>161</v>
      </c>
      <c r="H20" s="64" t="s">
        <v>317</v>
      </c>
      <c r="I20" s="65" t="s">
        <v>212</v>
      </c>
      <c r="J20" s="51">
        <v>46162</v>
      </c>
      <c r="K20" s="62" t="s">
        <v>318</v>
      </c>
      <c r="L20" s="35" t="s">
        <v>319</v>
      </c>
      <c r="M20" s="59" t="s">
        <v>175</v>
      </c>
      <c r="N20" s="62" t="s">
        <v>43</v>
      </c>
      <c r="O20" s="175" t="s">
        <v>478</v>
      </c>
      <c r="P20" s="152" t="s">
        <v>66</v>
      </c>
      <c r="Q20" s="128" t="s">
        <v>66</v>
      </c>
      <c r="R20" s="133" t="s">
        <v>175</v>
      </c>
    </row>
    <row r="21" spans="1:18" ht="45" customHeight="1" x14ac:dyDescent="0.25">
      <c r="A21" s="35">
        <v>19</v>
      </c>
      <c r="B21" s="58" t="s">
        <v>48</v>
      </c>
      <c r="C21" s="113" t="s">
        <v>351</v>
      </c>
      <c r="D21" s="113">
        <v>2</v>
      </c>
      <c r="E21" s="60" t="s">
        <v>336</v>
      </c>
      <c r="F21" s="35">
        <v>2</v>
      </c>
      <c r="G21" s="57" t="s">
        <v>161</v>
      </c>
      <c r="H21" s="64" t="s">
        <v>317</v>
      </c>
      <c r="I21" s="65" t="s">
        <v>212</v>
      </c>
      <c r="J21" s="51">
        <v>46165</v>
      </c>
      <c r="K21" s="62" t="s">
        <v>318</v>
      </c>
      <c r="L21" s="35" t="s">
        <v>319</v>
      </c>
      <c r="M21" s="59" t="s">
        <v>175</v>
      </c>
      <c r="N21" s="62" t="s">
        <v>43</v>
      </c>
      <c r="O21" s="175" t="s">
        <v>478</v>
      </c>
      <c r="P21" s="152" t="s">
        <v>66</v>
      </c>
      <c r="Q21" s="128" t="s">
        <v>66</v>
      </c>
      <c r="R21" s="133" t="s">
        <v>175</v>
      </c>
    </row>
    <row r="22" spans="1:18" ht="45" customHeight="1" x14ac:dyDescent="0.25">
      <c r="A22" s="35">
        <v>20</v>
      </c>
      <c r="B22" s="58" t="s">
        <v>48</v>
      </c>
      <c r="C22" s="113" t="s">
        <v>352</v>
      </c>
      <c r="D22" s="113">
        <v>2</v>
      </c>
      <c r="E22" s="60" t="s">
        <v>332</v>
      </c>
      <c r="F22" s="35">
        <v>2</v>
      </c>
      <c r="G22" s="57" t="s">
        <v>161</v>
      </c>
      <c r="H22" s="64" t="s">
        <v>317</v>
      </c>
      <c r="I22" s="65" t="s">
        <v>212</v>
      </c>
      <c r="J22" s="51">
        <v>46165</v>
      </c>
      <c r="K22" s="62" t="s">
        <v>318</v>
      </c>
      <c r="L22" s="35" t="s">
        <v>319</v>
      </c>
      <c r="M22" s="59" t="s">
        <v>175</v>
      </c>
      <c r="N22" s="62" t="s">
        <v>43</v>
      </c>
      <c r="O22" s="175" t="s">
        <v>478</v>
      </c>
      <c r="P22" s="152" t="s">
        <v>66</v>
      </c>
      <c r="Q22" s="128" t="s">
        <v>66</v>
      </c>
      <c r="R22" s="133" t="s">
        <v>175</v>
      </c>
    </row>
    <row r="23" spans="1:18" ht="45" customHeight="1" x14ac:dyDescent="0.25">
      <c r="A23" s="35">
        <v>21</v>
      </c>
      <c r="B23" s="58" t="s">
        <v>48</v>
      </c>
      <c r="C23" s="113" t="s">
        <v>359</v>
      </c>
      <c r="D23" s="113">
        <v>3</v>
      </c>
      <c r="E23" s="60" t="s">
        <v>336</v>
      </c>
      <c r="F23" s="35">
        <v>2</v>
      </c>
      <c r="G23" s="57" t="s">
        <v>161</v>
      </c>
      <c r="H23" s="64" t="s">
        <v>317</v>
      </c>
      <c r="I23" s="65" t="s">
        <v>212</v>
      </c>
      <c r="J23" s="51">
        <v>46173</v>
      </c>
      <c r="K23" s="62" t="s">
        <v>318</v>
      </c>
      <c r="L23" s="35" t="s">
        <v>360</v>
      </c>
      <c r="M23" s="59" t="s">
        <v>175</v>
      </c>
      <c r="N23" s="35" t="s">
        <v>43</v>
      </c>
      <c r="O23" s="175" t="s">
        <v>478</v>
      </c>
      <c r="P23" s="152" t="s">
        <v>66</v>
      </c>
      <c r="Q23" s="128" t="s">
        <v>66</v>
      </c>
      <c r="R23" s="133" t="s">
        <v>175</v>
      </c>
    </row>
    <row r="24" spans="1:18" ht="45" customHeight="1" x14ac:dyDescent="0.25">
      <c r="A24" s="35">
        <v>22</v>
      </c>
      <c r="B24" s="58" t="s">
        <v>48</v>
      </c>
      <c r="C24" s="113" t="s">
        <v>367</v>
      </c>
      <c r="D24" s="113">
        <v>4</v>
      </c>
      <c r="E24" s="60" t="s">
        <v>336</v>
      </c>
      <c r="F24" s="35">
        <v>2</v>
      </c>
      <c r="G24" s="57" t="s">
        <v>161</v>
      </c>
      <c r="H24" s="64" t="s">
        <v>317</v>
      </c>
      <c r="I24" s="65" t="s">
        <v>212</v>
      </c>
      <c r="J24" s="51">
        <v>46173</v>
      </c>
      <c r="K24" s="62" t="s">
        <v>318</v>
      </c>
      <c r="L24" s="35" t="s">
        <v>360</v>
      </c>
      <c r="M24" s="59" t="s">
        <v>175</v>
      </c>
      <c r="N24" s="59" t="s">
        <v>43</v>
      </c>
      <c r="O24" s="175" t="s">
        <v>478</v>
      </c>
      <c r="P24" s="152" t="s">
        <v>66</v>
      </c>
      <c r="Q24" s="128" t="s">
        <v>66</v>
      </c>
      <c r="R24" s="133" t="s">
        <v>175</v>
      </c>
    </row>
    <row r="25" spans="1:18" ht="45" customHeight="1" x14ac:dyDescent="0.25">
      <c r="A25" s="35">
        <v>23</v>
      </c>
      <c r="B25" s="58" t="s">
        <v>48</v>
      </c>
      <c r="C25" s="113" t="s">
        <v>368</v>
      </c>
      <c r="D25" s="113">
        <v>3</v>
      </c>
      <c r="E25" s="60" t="s">
        <v>332</v>
      </c>
      <c r="F25" s="35">
        <v>2</v>
      </c>
      <c r="G25" s="57" t="s">
        <v>161</v>
      </c>
      <c r="H25" s="64" t="s">
        <v>317</v>
      </c>
      <c r="I25" s="65" t="s">
        <v>212</v>
      </c>
      <c r="J25" s="51">
        <v>46173</v>
      </c>
      <c r="K25" s="62" t="s">
        <v>318</v>
      </c>
      <c r="L25" s="35" t="s">
        <v>360</v>
      </c>
      <c r="M25" s="59" t="s">
        <v>175</v>
      </c>
      <c r="N25" s="59" t="s">
        <v>43</v>
      </c>
      <c r="O25" s="175" t="s">
        <v>478</v>
      </c>
      <c r="P25" s="152" t="s">
        <v>66</v>
      </c>
      <c r="Q25" s="128" t="s">
        <v>66</v>
      </c>
      <c r="R25" s="133" t="s">
        <v>175</v>
      </c>
    </row>
    <row r="26" spans="1:18" ht="45" customHeight="1" x14ac:dyDescent="0.25">
      <c r="A26" s="35">
        <v>24</v>
      </c>
      <c r="B26" s="58" t="s">
        <v>48</v>
      </c>
      <c r="C26" s="113" t="s">
        <v>372</v>
      </c>
      <c r="D26" s="113">
        <v>5</v>
      </c>
      <c r="E26" s="60" t="s">
        <v>336</v>
      </c>
      <c r="F26" s="35">
        <v>2</v>
      </c>
      <c r="G26" s="57" t="s">
        <v>161</v>
      </c>
      <c r="H26" s="64" t="s">
        <v>317</v>
      </c>
      <c r="I26" s="65" t="s">
        <v>212</v>
      </c>
      <c r="J26" s="51">
        <v>46173</v>
      </c>
      <c r="K26" s="62" t="s">
        <v>318</v>
      </c>
      <c r="L26" s="35" t="s">
        <v>360</v>
      </c>
      <c r="M26" s="59" t="s">
        <v>175</v>
      </c>
      <c r="N26" s="59" t="s">
        <v>43</v>
      </c>
      <c r="O26" s="175" t="s">
        <v>478</v>
      </c>
      <c r="P26" s="152" t="s">
        <v>66</v>
      </c>
      <c r="Q26" s="128" t="s">
        <v>66</v>
      </c>
      <c r="R26" s="133" t="s">
        <v>175</v>
      </c>
    </row>
    <row r="27" spans="1:18" ht="45" customHeight="1" x14ac:dyDescent="0.25">
      <c r="A27" s="35">
        <v>25</v>
      </c>
      <c r="B27" s="58" t="s">
        <v>48</v>
      </c>
      <c r="C27" s="113" t="s">
        <v>373</v>
      </c>
      <c r="D27" s="113">
        <v>4</v>
      </c>
      <c r="E27" s="60" t="s">
        <v>332</v>
      </c>
      <c r="F27" s="35">
        <v>2</v>
      </c>
      <c r="G27" s="57" t="s">
        <v>161</v>
      </c>
      <c r="H27" s="64" t="s">
        <v>317</v>
      </c>
      <c r="I27" s="65" t="s">
        <v>212</v>
      </c>
      <c r="J27" s="51">
        <v>46173</v>
      </c>
      <c r="K27" s="62" t="s">
        <v>318</v>
      </c>
      <c r="L27" s="35" t="s">
        <v>360</v>
      </c>
      <c r="M27" s="59" t="s">
        <v>175</v>
      </c>
      <c r="N27" s="59" t="s">
        <v>43</v>
      </c>
      <c r="O27" s="175" t="s">
        <v>478</v>
      </c>
      <c r="P27" s="152" t="s">
        <v>66</v>
      </c>
      <c r="Q27" s="128" t="s">
        <v>66</v>
      </c>
      <c r="R27" s="133" t="s">
        <v>175</v>
      </c>
    </row>
    <row r="28" spans="1:18" ht="45" customHeight="1" x14ac:dyDescent="0.25">
      <c r="A28" s="35">
        <v>26</v>
      </c>
      <c r="B28" s="58" t="s">
        <v>48</v>
      </c>
      <c r="C28" s="113" t="s">
        <v>377</v>
      </c>
      <c r="D28" s="113">
        <v>6</v>
      </c>
      <c r="E28" s="60" t="s">
        <v>336</v>
      </c>
      <c r="F28" s="35">
        <v>2</v>
      </c>
      <c r="G28" s="57" t="s">
        <v>161</v>
      </c>
      <c r="H28" s="64" t="s">
        <v>317</v>
      </c>
      <c r="I28" s="65" t="s">
        <v>212</v>
      </c>
      <c r="J28" s="51">
        <v>46173</v>
      </c>
      <c r="K28" s="62" t="s">
        <v>318</v>
      </c>
      <c r="L28" s="35" t="s">
        <v>360</v>
      </c>
      <c r="M28" s="59" t="s">
        <v>175</v>
      </c>
      <c r="N28" s="59" t="s">
        <v>43</v>
      </c>
      <c r="O28" s="175" t="s">
        <v>478</v>
      </c>
      <c r="P28" s="152" t="s">
        <v>66</v>
      </c>
      <c r="Q28" s="128" t="s">
        <v>66</v>
      </c>
      <c r="R28" s="133" t="s">
        <v>175</v>
      </c>
    </row>
    <row r="29" spans="1:18" ht="45" customHeight="1" x14ac:dyDescent="0.25">
      <c r="A29" s="35">
        <v>27</v>
      </c>
      <c r="B29" s="58" t="s">
        <v>48</v>
      </c>
      <c r="C29" s="113" t="s">
        <v>378</v>
      </c>
      <c r="D29" s="113">
        <v>5</v>
      </c>
      <c r="E29" s="60" t="s">
        <v>332</v>
      </c>
      <c r="F29" s="35">
        <v>2</v>
      </c>
      <c r="G29" s="57" t="s">
        <v>161</v>
      </c>
      <c r="H29" s="64" t="s">
        <v>317</v>
      </c>
      <c r="I29" s="65" t="s">
        <v>212</v>
      </c>
      <c r="J29" s="51">
        <v>46173</v>
      </c>
      <c r="K29" s="62" t="s">
        <v>318</v>
      </c>
      <c r="L29" s="35" t="s">
        <v>360</v>
      </c>
      <c r="M29" s="59" t="s">
        <v>175</v>
      </c>
      <c r="N29" s="59" t="s">
        <v>43</v>
      </c>
      <c r="O29" s="175" t="s">
        <v>478</v>
      </c>
      <c r="P29" s="152" t="s">
        <v>66</v>
      </c>
      <c r="Q29" s="128" t="s">
        <v>66</v>
      </c>
      <c r="R29" s="133" t="s">
        <v>175</v>
      </c>
    </row>
    <row r="30" spans="1:18" ht="45" customHeight="1" x14ac:dyDescent="0.25">
      <c r="A30" s="35"/>
      <c r="B30" s="57"/>
      <c r="C30" s="113"/>
      <c r="D30" s="113"/>
      <c r="E30" s="60"/>
      <c r="F30" s="35"/>
      <c r="G30" s="57"/>
      <c r="H30" s="64"/>
      <c r="I30" s="65"/>
      <c r="J30" s="51"/>
      <c r="K30" s="62"/>
      <c r="L30" s="35"/>
      <c r="M30" s="59"/>
      <c r="N30" s="35"/>
      <c r="O30" s="35"/>
      <c r="P30" s="35"/>
      <c r="Q30" s="124"/>
      <c r="R30" s="125"/>
    </row>
    <row r="31" spans="1:18" ht="42" customHeight="1" x14ac:dyDescent="0.25">
      <c r="A31" s="49"/>
      <c r="B31" s="49"/>
      <c r="C31" s="49"/>
      <c r="D31" s="49"/>
      <c r="E31" s="35"/>
      <c r="F31" s="49"/>
      <c r="G31" s="49"/>
      <c r="H31" s="122"/>
      <c r="I31" s="49"/>
      <c r="J31" s="49"/>
      <c r="K31" s="49"/>
      <c r="L31" s="49"/>
      <c r="M31" s="49"/>
      <c r="N31" s="49"/>
      <c r="O31" s="49"/>
      <c r="P31" s="49"/>
      <c r="Q31" s="49"/>
      <c r="R31" s="49"/>
    </row>
  </sheetData>
  <autoFilter ref="A2:R29" xr:uid="{00000000-0009-0000-0000-000000000000}"/>
  <mergeCells count="1">
    <mergeCell ref="A1:R1"/>
  </mergeCells>
  <phoneticPr fontId="4" type="noConversion"/>
  <hyperlinks>
    <hyperlink ref="C3" r:id="rId1" xr:uid="{E0C65C31-9304-4528-94D1-5B968B755CE6}"/>
    <hyperlink ref="C4" r:id="rId2" xr:uid="{6A6CF80A-48AD-4B18-A2C8-68F2BF08A158}"/>
    <hyperlink ref="C5" r:id="rId3" xr:uid="{87D9DCD5-BC08-4C2E-82E7-4F86B3D76D19}"/>
    <hyperlink ref="C6" r:id="rId4" xr:uid="{28FA01AD-1E50-4F48-AF37-69A3CF9A6625}"/>
    <hyperlink ref="C7" r:id="rId5" xr:uid="{31BB6166-F684-4C26-B1E5-95DC25DAF713}"/>
    <hyperlink ref="C8" r:id="rId6" xr:uid="{CA21BD53-8E47-491B-8E01-672EA147F00A}"/>
    <hyperlink ref="C9" r:id="rId7" xr:uid="{4899FA51-0F6C-4FDD-B999-13FE6001E41F}"/>
    <hyperlink ref="C10" r:id="rId8" xr:uid="{1EC3517C-3628-4A71-8E6B-FBF682D48F79}"/>
    <hyperlink ref="C11" r:id="rId9" xr:uid="{58F15D4F-7921-4AA2-8E72-64F89881F5B4}"/>
    <hyperlink ref="C12" r:id="rId10" xr:uid="{F753E2AC-A3AB-440C-8B04-48BC85D1737A}"/>
    <hyperlink ref="C13" r:id="rId11" xr:uid="{0FE25D81-B3AD-474A-8BAB-F6489C9FFABA}"/>
    <hyperlink ref="C14" r:id="rId12" xr:uid="{117267C0-0698-4140-81D7-F0D52374099D}"/>
    <hyperlink ref="C15" r:id="rId13" xr:uid="{8247980E-4FC9-41D1-B44D-331672E4C934}"/>
    <hyperlink ref="C16" r:id="rId14" xr:uid="{384F10E8-41BC-4630-B2FB-89977FF5B5F1}"/>
    <hyperlink ref="C17" r:id="rId15" display="FHD-ELV-RLD-0014" xr:uid="{10C85596-28F4-4DF0-B024-1BEAE5D5C852}"/>
  </hyperlinks>
  <printOptions horizontalCentered="1"/>
  <pageMargins left="0.25" right="0.25" top="0.25" bottom="0.25" header="0" footer="0"/>
  <pageSetup paperSize="8" scale="57" fitToHeight="0" orientation="landscape" r:id="rId16"/>
  <headerFooter>
    <oddFooter>&amp;Lby Ahmed Mohamed 
&amp;CPage (&amp;P of &amp;N)&amp;R&amp;D</oddFooter>
  </headerFooter>
  <drawing r:id="rId1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F10ED-2CDA-405A-A0D7-BC86D4480EEB}">
  <sheetPr>
    <pageSetUpPr fitToPage="1"/>
  </sheetPr>
  <dimension ref="A1:R45"/>
  <sheetViews>
    <sheetView showGridLines="0" topLeftCell="E1" zoomScale="70" zoomScaleNormal="70" zoomScaleSheetLayoutView="85" workbookViewId="0">
      <pane ySplit="2" topLeftCell="A20" activePane="bottomLeft" state="frozen"/>
      <selection activeCell="Q1" sqref="Q1"/>
      <selection pane="bottomLeft" activeCell="R31" sqref="R31"/>
    </sheetView>
  </sheetViews>
  <sheetFormatPr defaultColWidth="9.140625" defaultRowHeight="12.75" x14ac:dyDescent="0.25"/>
  <cols>
    <col min="1" max="1" width="12.85546875" style="33" bestFit="1" customWidth="1"/>
    <col min="2" max="2" width="18.7109375" style="33" bestFit="1" customWidth="1"/>
    <col min="3" max="3" width="29.28515625" style="33" customWidth="1"/>
    <col min="4" max="4" width="16.5703125" style="33" customWidth="1"/>
    <col min="5" max="5" width="55.5703125" style="33" customWidth="1"/>
    <col min="6" max="6" width="15.7109375" style="33" customWidth="1"/>
    <col min="7" max="7" width="20.140625" style="33" customWidth="1"/>
    <col min="8" max="8" width="60.7109375" style="37" customWidth="1"/>
    <col min="9" max="9" width="16.5703125" style="33" customWidth="1"/>
    <col min="10" max="10" width="15.5703125" style="33" customWidth="1"/>
    <col min="11" max="11" width="17.7109375" style="33" customWidth="1"/>
    <col min="12" max="12" width="20.5703125" style="33" customWidth="1"/>
    <col min="13" max="13" width="20.140625" style="33" customWidth="1"/>
    <col min="14" max="16" width="24.28515625" style="33" customWidth="1"/>
    <col min="17" max="17" width="35.140625" style="33" hidden="1" customWidth="1"/>
    <col min="18" max="18" width="38.85546875" style="33" customWidth="1"/>
    <col min="19" max="16384" width="9.140625" style="33"/>
  </cols>
  <sheetData>
    <row r="1" spans="1:18" ht="90.75" customHeight="1" thickBot="1" x14ac:dyDescent="0.3">
      <c r="A1" s="209" t="s">
        <v>310</v>
      </c>
      <c r="B1" s="209"/>
      <c r="C1" s="209"/>
      <c r="D1" s="209"/>
      <c r="E1" s="209"/>
      <c r="F1" s="209"/>
      <c r="G1" s="209"/>
      <c r="H1" s="209"/>
      <c r="I1" s="209"/>
      <c r="J1" s="209"/>
      <c r="K1" s="209"/>
      <c r="L1" s="209"/>
      <c r="M1" s="209"/>
      <c r="N1" s="209"/>
      <c r="O1" s="209"/>
      <c r="P1" s="209"/>
      <c r="Q1" s="209"/>
      <c r="R1" s="209"/>
    </row>
    <row r="2" spans="1:18" ht="65.25" customHeight="1" thickBot="1" x14ac:dyDescent="0.3">
      <c r="A2" s="53" t="s">
        <v>32</v>
      </c>
      <c r="B2" s="54" t="s">
        <v>34</v>
      </c>
      <c r="C2" s="54" t="s">
        <v>41</v>
      </c>
      <c r="D2" s="54" t="s">
        <v>383</v>
      </c>
      <c r="E2" s="54" t="s">
        <v>35</v>
      </c>
      <c r="F2" s="54" t="s">
        <v>45</v>
      </c>
      <c r="G2" s="54" t="s">
        <v>46</v>
      </c>
      <c r="H2" s="55" t="s">
        <v>36</v>
      </c>
      <c r="I2" s="54" t="s">
        <v>38</v>
      </c>
      <c r="J2" s="54" t="s">
        <v>40</v>
      </c>
      <c r="K2" s="54" t="s">
        <v>37</v>
      </c>
      <c r="L2" s="54" t="s">
        <v>47</v>
      </c>
      <c r="M2" s="54" t="s">
        <v>39</v>
      </c>
      <c r="N2" s="54" t="s">
        <v>39</v>
      </c>
      <c r="O2" s="137" t="s">
        <v>480</v>
      </c>
      <c r="P2" s="198" t="s">
        <v>315</v>
      </c>
      <c r="Q2" s="198" t="s">
        <v>509</v>
      </c>
      <c r="R2" s="56" t="s">
        <v>20</v>
      </c>
    </row>
    <row r="3" spans="1:18" s="79" customFormat="1" ht="39.75" customHeight="1" x14ac:dyDescent="0.25">
      <c r="A3" s="82">
        <v>1</v>
      </c>
      <c r="B3" s="82" t="s">
        <v>48</v>
      </c>
      <c r="C3" s="35" t="s">
        <v>192</v>
      </c>
      <c r="D3" s="35">
        <v>1</v>
      </c>
      <c r="E3" s="82" t="s">
        <v>193</v>
      </c>
      <c r="F3" s="62">
        <v>1</v>
      </c>
      <c r="G3" s="62" t="s">
        <v>314</v>
      </c>
      <c r="H3" s="62" t="s">
        <v>190</v>
      </c>
      <c r="I3" s="62" t="s">
        <v>200</v>
      </c>
      <c r="J3" s="81">
        <v>45991</v>
      </c>
      <c r="K3" s="62" t="s">
        <v>164</v>
      </c>
      <c r="L3" s="80" t="s">
        <v>165</v>
      </c>
      <c r="M3" s="62" t="s">
        <v>175</v>
      </c>
      <c r="N3" s="62" t="s">
        <v>43</v>
      </c>
      <c r="O3" s="175" t="s">
        <v>478</v>
      </c>
      <c r="P3" s="152" t="s">
        <v>66</v>
      </c>
      <c r="Q3" s="201" t="s">
        <v>500</v>
      </c>
      <c r="R3" s="133" t="s">
        <v>175</v>
      </c>
    </row>
    <row r="4" spans="1:18" s="79" customFormat="1" ht="45" x14ac:dyDescent="0.25">
      <c r="A4" s="82">
        <v>2</v>
      </c>
      <c r="B4" s="82" t="s">
        <v>48</v>
      </c>
      <c r="C4" s="35" t="s">
        <v>194</v>
      </c>
      <c r="D4" s="35">
        <v>2</v>
      </c>
      <c r="E4" s="82" t="s">
        <v>193</v>
      </c>
      <c r="F4" s="62">
        <v>1</v>
      </c>
      <c r="G4" s="62" t="s">
        <v>285</v>
      </c>
      <c r="H4" s="62" t="s">
        <v>190</v>
      </c>
      <c r="I4" s="62" t="s">
        <v>200</v>
      </c>
      <c r="J4" s="81">
        <v>45991</v>
      </c>
      <c r="K4" s="62" t="s">
        <v>164</v>
      </c>
      <c r="L4" s="80" t="s">
        <v>165</v>
      </c>
      <c r="M4" s="62" t="s">
        <v>175</v>
      </c>
      <c r="N4" s="62" t="s">
        <v>43</v>
      </c>
      <c r="O4" s="175" t="s">
        <v>478</v>
      </c>
      <c r="P4" s="152" t="s">
        <v>66</v>
      </c>
      <c r="Q4" s="201" t="s">
        <v>500</v>
      </c>
      <c r="R4" s="133" t="s">
        <v>175</v>
      </c>
    </row>
    <row r="5" spans="1:18" s="79" customFormat="1" ht="63.75" customHeight="1" x14ac:dyDescent="0.25">
      <c r="A5" s="82">
        <v>3</v>
      </c>
      <c r="B5" s="82" t="s">
        <v>48</v>
      </c>
      <c r="C5" s="35" t="s">
        <v>195</v>
      </c>
      <c r="D5" s="35">
        <v>1</v>
      </c>
      <c r="E5" s="82" t="s">
        <v>196</v>
      </c>
      <c r="F5" s="62">
        <v>1</v>
      </c>
      <c r="G5" s="62" t="s">
        <v>284</v>
      </c>
      <c r="H5" s="62" t="s">
        <v>162</v>
      </c>
      <c r="I5" s="62" t="s">
        <v>200</v>
      </c>
      <c r="J5" s="81">
        <v>46039</v>
      </c>
      <c r="K5" s="62" t="s">
        <v>164</v>
      </c>
      <c r="L5" s="80" t="s">
        <v>165</v>
      </c>
      <c r="M5" s="62" t="s">
        <v>175</v>
      </c>
      <c r="N5" s="62" t="s">
        <v>43</v>
      </c>
      <c r="O5" s="175" t="s">
        <v>478</v>
      </c>
      <c r="P5" s="152" t="s">
        <v>66</v>
      </c>
      <c r="Q5" s="152" t="s">
        <v>66</v>
      </c>
      <c r="R5" s="133" t="s">
        <v>175</v>
      </c>
    </row>
    <row r="6" spans="1:18" ht="50.25" customHeight="1" x14ac:dyDescent="0.25">
      <c r="A6" s="57">
        <v>4</v>
      </c>
      <c r="B6" s="57" t="s">
        <v>48</v>
      </c>
      <c r="C6" s="35" t="s">
        <v>197</v>
      </c>
      <c r="D6" s="35">
        <v>1</v>
      </c>
      <c r="E6" s="60" t="s">
        <v>198</v>
      </c>
      <c r="F6" s="60">
        <v>1</v>
      </c>
      <c r="G6" s="59" t="s">
        <v>161</v>
      </c>
      <c r="H6" s="60" t="s">
        <v>199</v>
      </c>
      <c r="I6" s="60" t="s">
        <v>200</v>
      </c>
      <c r="J6" s="61">
        <v>46139</v>
      </c>
      <c r="K6" s="62" t="s">
        <v>164</v>
      </c>
      <c r="L6" s="62" t="s">
        <v>169</v>
      </c>
      <c r="M6" s="59" t="s">
        <v>172</v>
      </c>
      <c r="N6" s="59" t="s">
        <v>43</v>
      </c>
      <c r="O6" s="175" t="s">
        <v>478</v>
      </c>
      <c r="P6" s="152" t="s">
        <v>66</v>
      </c>
      <c r="Q6" s="124" t="s">
        <v>66</v>
      </c>
      <c r="R6" s="133" t="s">
        <v>175</v>
      </c>
    </row>
    <row r="7" spans="1:18" ht="51.75" customHeight="1" x14ac:dyDescent="0.25">
      <c r="A7" s="57">
        <v>5</v>
      </c>
      <c r="B7" s="57" t="s">
        <v>48</v>
      </c>
      <c r="C7" s="35" t="s">
        <v>201</v>
      </c>
      <c r="D7" s="35">
        <v>1</v>
      </c>
      <c r="E7" s="60" t="s">
        <v>283</v>
      </c>
      <c r="F7" s="57">
        <v>2</v>
      </c>
      <c r="G7" s="59" t="s">
        <v>161</v>
      </c>
      <c r="H7" s="64" t="s">
        <v>203</v>
      </c>
      <c r="I7" s="65" t="s">
        <v>200</v>
      </c>
      <c r="J7" s="66">
        <v>46141</v>
      </c>
      <c r="K7" s="62" t="s">
        <v>164</v>
      </c>
      <c r="L7" s="62" t="s">
        <v>169</v>
      </c>
      <c r="M7" s="57" t="s">
        <v>175</v>
      </c>
      <c r="N7" s="59" t="s">
        <v>43</v>
      </c>
      <c r="O7" s="175" t="s">
        <v>478</v>
      </c>
      <c r="P7" s="152" t="s">
        <v>66</v>
      </c>
      <c r="Q7" s="124" t="s">
        <v>66</v>
      </c>
      <c r="R7" s="133" t="s">
        <v>175</v>
      </c>
    </row>
    <row r="8" spans="1:18" ht="51.75" customHeight="1" x14ac:dyDescent="0.25">
      <c r="A8" s="57">
        <v>6</v>
      </c>
      <c r="B8" s="57" t="s">
        <v>48</v>
      </c>
      <c r="C8" s="35" t="s">
        <v>204</v>
      </c>
      <c r="D8" s="35">
        <v>1</v>
      </c>
      <c r="E8" s="60" t="s">
        <v>202</v>
      </c>
      <c r="F8" s="57">
        <v>2</v>
      </c>
      <c r="G8" s="59" t="s">
        <v>161</v>
      </c>
      <c r="H8" s="64" t="s">
        <v>205</v>
      </c>
      <c r="I8" s="65" t="s">
        <v>200</v>
      </c>
      <c r="J8" s="66">
        <v>46147</v>
      </c>
      <c r="K8" s="62" t="s">
        <v>164</v>
      </c>
      <c r="L8" s="62" t="s">
        <v>169</v>
      </c>
      <c r="M8" s="57" t="s">
        <v>175</v>
      </c>
      <c r="N8" s="59" t="s">
        <v>43</v>
      </c>
      <c r="O8" s="175" t="s">
        <v>478</v>
      </c>
      <c r="P8" s="152" t="s">
        <v>66</v>
      </c>
      <c r="Q8" s="124" t="s">
        <v>66</v>
      </c>
      <c r="R8" s="133" t="s">
        <v>175</v>
      </c>
    </row>
    <row r="9" spans="1:18" ht="39.75" customHeight="1" x14ac:dyDescent="0.25">
      <c r="A9" s="57">
        <v>7</v>
      </c>
      <c r="B9" s="57" t="s">
        <v>48</v>
      </c>
      <c r="C9" s="35" t="s">
        <v>206</v>
      </c>
      <c r="D9" s="35">
        <v>1</v>
      </c>
      <c r="E9" s="60" t="s">
        <v>207</v>
      </c>
      <c r="F9" s="57">
        <v>2</v>
      </c>
      <c r="G9" s="59" t="s">
        <v>161</v>
      </c>
      <c r="H9" s="64" t="s">
        <v>203</v>
      </c>
      <c r="I9" s="65" t="s">
        <v>200</v>
      </c>
      <c r="J9" s="66">
        <v>46144</v>
      </c>
      <c r="K9" s="62" t="s">
        <v>164</v>
      </c>
      <c r="L9" s="62" t="s">
        <v>169</v>
      </c>
      <c r="M9" s="57" t="s">
        <v>175</v>
      </c>
      <c r="N9" s="59" t="s">
        <v>43</v>
      </c>
      <c r="O9" s="175" t="s">
        <v>478</v>
      </c>
      <c r="P9" s="152" t="s">
        <v>66</v>
      </c>
      <c r="Q9" s="124" t="s">
        <v>66</v>
      </c>
      <c r="R9" s="133" t="s">
        <v>175</v>
      </c>
    </row>
    <row r="10" spans="1:18" ht="49.5" customHeight="1" x14ac:dyDescent="0.25">
      <c r="A10" s="57">
        <v>8</v>
      </c>
      <c r="B10" s="57" t="s">
        <v>48</v>
      </c>
      <c r="C10" s="35" t="s">
        <v>208</v>
      </c>
      <c r="D10" s="35">
        <v>1</v>
      </c>
      <c r="E10" s="60" t="s">
        <v>210</v>
      </c>
      <c r="F10" s="57">
        <v>4</v>
      </c>
      <c r="G10" s="59" t="s">
        <v>185</v>
      </c>
      <c r="H10" s="64" t="s">
        <v>186</v>
      </c>
      <c r="I10" s="65" t="s">
        <v>200</v>
      </c>
      <c r="J10" s="66">
        <v>46147</v>
      </c>
      <c r="K10" s="62" t="s">
        <v>164</v>
      </c>
      <c r="L10" s="62" t="s">
        <v>169</v>
      </c>
      <c r="M10" s="57" t="s">
        <v>175</v>
      </c>
      <c r="N10" s="59" t="s">
        <v>43</v>
      </c>
      <c r="O10" s="175" t="s">
        <v>478</v>
      </c>
      <c r="P10" s="152" t="s">
        <v>66</v>
      </c>
      <c r="Q10" s="201" t="s">
        <v>500</v>
      </c>
      <c r="R10" s="133" t="s">
        <v>175</v>
      </c>
    </row>
    <row r="11" spans="1:18" ht="45" customHeight="1" x14ac:dyDescent="0.25">
      <c r="A11" s="57">
        <v>9</v>
      </c>
      <c r="B11" s="57" t="s">
        <v>48</v>
      </c>
      <c r="C11" s="35" t="s">
        <v>209</v>
      </c>
      <c r="D11" s="35">
        <v>2</v>
      </c>
      <c r="E11" s="60" t="s">
        <v>207</v>
      </c>
      <c r="F11" s="57">
        <v>2</v>
      </c>
      <c r="G11" s="59" t="s">
        <v>270</v>
      </c>
      <c r="H11" s="64" t="s">
        <v>186</v>
      </c>
      <c r="I11" s="65" t="s">
        <v>200</v>
      </c>
      <c r="J11" s="61">
        <v>46153</v>
      </c>
      <c r="K11" s="62" t="s">
        <v>164</v>
      </c>
      <c r="L11" s="62" t="s">
        <v>169</v>
      </c>
      <c r="M11" s="57" t="s">
        <v>175</v>
      </c>
      <c r="N11" s="59" t="s">
        <v>43</v>
      </c>
      <c r="O11" s="175" t="s">
        <v>478</v>
      </c>
      <c r="P11" s="152" t="s">
        <v>66</v>
      </c>
      <c r="Q11" s="124" t="s">
        <v>66</v>
      </c>
      <c r="R11" s="133" t="s">
        <v>175</v>
      </c>
    </row>
    <row r="12" spans="1:18" ht="45" customHeight="1" x14ac:dyDescent="0.25">
      <c r="A12" s="57">
        <v>10</v>
      </c>
      <c r="B12" s="57" t="s">
        <v>48</v>
      </c>
      <c r="C12" s="35" t="s">
        <v>282</v>
      </c>
      <c r="D12" s="35">
        <v>1</v>
      </c>
      <c r="E12" s="60" t="s">
        <v>275</v>
      </c>
      <c r="F12" s="57">
        <v>3</v>
      </c>
      <c r="G12" s="57" t="s">
        <v>161</v>
      </c>
      <c r="H12" s="64" t="s">
        <v>186</v>
      </c>
      <c r="I12" s="65" t="s">
        <v>200</v>
      </c>
      <c r="J12" s="61">
        <v>46153</v>
      </c>
      <c r="K12" s="62" t="s">
        <v>164</v>
      </c>
      <c r="L12" s="62" t="s">
        <v>169</v>
      </c>
      <c r="M12" s="57" t="s">
        <v>175</v>
      </c>
      <c r="N12" s="59" t="s">
        <v>43</v>
      </c>
      <c r="O12" s="199" t="s">
        <v>481</v>
      </c>
      <c r="P12" s="152" t="s">
        <v>66</v>
      </c>
      <c r="Q12" s="124" t="s">
        <v>66</v>
      </c>
      <c r="R12" s="140" t="s">
        <v>482</v>
      </c>
    </row>
    <row r="13" spans="1:18" ht="45" customHeight="1" x14ac:dyDescent="0.25">
      <c r="A13" s="57">
        <v>11</v>
      </c>
      <c r="B13" s="57" t="s">
        <v>48</v>
      </c>
      <c r="C13" s="35" t="s">
        <v>281</v>
      </c>
      <c r="D13" s="35">
        <v>2</v>
      </c>
      <c r="E13" s="60" t="s">
        <v>275</v>
      </c>
      <c r="F13" s="57">
        <v>3</v>
      </c>
      <c r="G13" s="57" t="s">
        <v>161</v>
      </c>
      <c r="H13" s="64" t="s">
        <v>186</v>
      </c>
      <c r="I13" s="65" t="s">
        <v>200</v>
      </c>
      <c r="J13" s="61">
        <v>46154</v>
      </c>
      <c r="K13" s="62" t="s">
        <v>164</v>
      </c>
      <c r="L13" s="62" t="s">
        <v>169</v>
      </c>
      <c r="M13" s="57" t="s">
        <v>175</v>
      </c>
      <c r="N13" s="59" t="s">
        <v>43</v>
      </c>
      <c r="O13" s="199" t="s">
        <v>481</v>
      </c>
      <c r="P13" s="152" t="s">
        <v>66</v>
      </c>
      <c r="Q13" s="124" t="s">
        <v>66</v>
      </c>
      <c r="R13" s="32" t="s">
        <v>345</v>
      </c>
    </row>
    <row r="14" spans="1:18" ht="45" customHeight="1" x14ac:dyDescent="0.25">
      <c r="A14" s="57">
        <v>12</v>
      </c>
      <c r="B14" s="57" t="s">
        <v>48</v>
      </c>
      <c r="C14" s="35" t="s">
        <v>280</v>
      </c>
      <c r="D14" s="35">
        <v>1</v>
      </c>
      <c r="E14" s="60" t="s">
        <v>277</v>
      </c>
      <c r="F14" s="60">
        <v>1</v>
      </c>
      <c r="G14" s="57" t="s">
        <v>161</v>
      </c>
      <c r="H14" s="64" t="s">
        <v>186</v>
      </c>
      <c r="I14" s="65" t="s">
        <v>200</v>
      </c>
      <c r="J14" s="61">
        <v>46153</v>
      </c>
      <c r="K14" s="62" t="s">
        <v>164</v>
      </c>
      <c r="L14" s="62" t="s">
        <v>169</v>
      </c>
      <c r="M14" s="57" t="s">
        <v>175</v>
      </c>
      <c r="N14" s="59" t="s">
        <v>43</v>
      </c>
      <c r="O14" s="199" t="s">
        <v>481</v>
      </c>
      <c r="P14" s="152" t="s">
        <v>66</v>
      </c>
      <c r="Q14" s="124" t="s">
        <v>66</v>
      </c>
      <c r="R14" s="32" t="s">
        <v>345</v>
      </c>
    </row>
    <row r="15" spans="1:18" ht="45" customHeight="1" x14ac:dyDescent="0.25">
      <c r="A15" s="57">
        <v>13</v>
      </c>
      <c r="B15" s="57" t="s">
        <v>48</v>
      </c>
      <c r="C15" s="35" t="s">
        <v>279</v>
      </c>
      <c r="D15" s="35">
        <v>2</v>
      </c>
      <c r="E15" s="60" t="s">
        <v>277</v>
      </c>
      <c r="F15" s="60">
        <v>1</v>
      </c>
      <c r="G15" s="57" t="s">
        <v>161</v>
      </c>
      <c r="H15" s="64" t="s">
        <v>186</v>
      </c>
      <c r="I15" s="65" t="s">
        <v>200</v>
      </c>
      <c r="J15" s="61">
        <v>46153</v>
      </c>
      <c r="K15" s="62" t="s">
        <v>164</v>
      </c>
      <c r="L15" s="62" t="s">
        <v>169</v>
      </c>
      <c r="M15" s="57" t="s">
        <v>175</v>
      </c>
      <c r="N15" s="59" t="s">
        <v>43</v>
      </c>
      <c r="O15" s="199" t="s">
        <v>481</v>
      </c>
      <c r="P15" s="152" t="s">
        <v>66</v>
      </c>
      <c r="Q15" s="124" t="s">
        <v>66</v>
      </c>
      <c r="R15" s="32" t="s">
        <v>345</v>
      </c>
    </row>
    <row r="16" spans="1:18" ht="45" customHeight="1" x14ac:dyDescent="0.25">
      <c r="A16" s="57">
        <v>14</v>
      </c>
      <c r="B16" s="57" t="s">
        <v>48</v>
      </c>
      <c r="C16" s="148" t="s">
        <v>278</v>
      </c>
      <c r="D16" s="35">
        <v>3</v>
      </c>
      <c r="E16" s="60" t="s">
        <v>277</v>
      </c>
      <c r="F16" s="60">
        <v>1</v>
      </c>
      <c r="G16" s="57" t="s">
        <v>161</v>
      </c>
      <c r="H16" s="64" t="s">
        <v>186</v>
      </c>
      <c r="I16" s="65" t="s">
        <v>200</v>
      </c>
      <c r="J16" s="61">
        <v>46153</v>
      </c>
      <c r="K16" s="62" t="s">
        <v>164</v>
      </c>
      <c r="L16" s="62" t="s">
        <v>169</v>
      </c>
      <c r="M16" s="57" t="s">
        <v>175</v>
      </c>
      <c r="N16" s="59" t="s">
        <v>43</v>
      </c>
      <c r="O16" s="199" t="s">
        <v>481</v>
      </c>
      <c r="P16" s="152" t="s">
        <v>66</v>
      </c>
      <c r="Q16" s="124" t="s">
        <v>66</v>
      </c>
      <c r="R16" s="32" t="s">
        <v>345</v>
      </c>
    </row>
    <row r="17" spans="1:18" ht="45" customHeight="1" x14ac:dyDescent="0.25">
      <c r="A17" s="57">
        <v>15</v>
      </c>
      <c r="B17" s="57" t="s">
        <v>48</v>
      </c>
      <c r="C17" s="35" t="s">
        <v>276</v>
      </c>
      <c r="D17" s="35">
        <v>3</v>
      </c>
      <c r="E17" s="60" t="s">
        <v>275</v>
      </c>
      <c r="F17" s="57">
        <v>3</v>
      </c>
      <c r="G17" s="57" t="s">
        <v>161</v>
      </c>
      <c r="H17" s="64" t="s">
        <v>186</v>
      </c>
      <c r="I17" s="65" t="s">
        <v>200</v>
      </c>
      <c r="J17" s="61">
        <v>46158</v>
      </c>
      <c r="K17" s="62" t="s">
        <v>164</v>
      </c>
      <c r="L17" s="62" t="s">
        <v>169</v>
      </c>
      <c r="M17" s="57" t="s">
        <v>175</v>
      </c>
      <c r="N17" s="59" t="s">
        <v>43</v>
      </c>
      <c r="O17" s="175" t="s">
        <v>478</v>
      </c>
      <c r="P17" s="152" t="s">
        <v>66</v>
      </c>
      <c r="Q17" s="124" t="s">
        <v>66</v>
      </c>
      <c r="R17" s="133" t="s">
        <v>175</v>
      </c>
    </row>
    <row r="18" spans="1:18" ht="45" customHeight="1" x14ac:dyDescent="0.25">
      <c r="A18" s="35">
        <v>16</v>
      </c>
      <c r="B18" s="57" t="s">
        <v>48</v>
      </c>
      <c r="C18" s="113" t="s">
        <v>316</v>
      </c>
      <c r="D18" s="111">
        <v>1</v>
      </c>
      <c r="E18" s="60" t="s">
        <v>322</v>
      </c>
      <c r="F18" s="35">
        <v>2</v>
      </c>
      <c r="G18" s="57" t="s">
        <v>161</v>
      </c>
      <c r="H18" s="64" t="s">
        <v>317</v>
      </c>
      <c r="I18" s="65" t="s">
        <v>200</v>
      </c>
      <c r="J18" s="51">
        <v>46153</v>
      </c>
      <c r="K18" s="35" t="s">
        <v>318</v>
      </c>
      <c r="L18" s="35" t="s">
        <v>319</v>
      </c>
      <c r="M18" s="57" t="s">
        <v>175</v>
      </c>
      <c r="N18" s="59" t="s">
        <v>43</v>
      </c>
      <c r="O18" s="175" t="s">
        <v>478</v>
      </c>
      <c r="P18" s="152" t="s">
        <v>66</v>
      </c>
      <c r="Q18" s="124" t="s">
        <v>66</v>
      </c>
      <c r="R18" s="133" t="s">
        <v>175</v>
      </c>
    </row>
    <row r="19" spans="1:18" ht="45" customHeight="1" x14ac:dyDescent="0.25">
      <c r="A19" s="35">
        <v>17</v>
      </c>
      <c r="B19" s="57" t="s">
        <v>48</v>
      </c>
      <c r="C19" s="113" t="s">
        <v>320</v>
      </c>
      <c r="D19" s="111">
        <v>2</v>
      </c>
      <c r="E19" s="60" t="s">
        <v>322</v>
      </c>
      <c r="F19" s="35">
        <v>2</v>
      </c>
      <c r="G19" s="57" t="s">
        <v>161</v>
      </c>
      <c r="H19" s="64" t="s">
        <v>317</v>
      </c>
      <c r="I19" s="65" t="s">
        <v>200</v>
      </c>
      <c r="J19" s="51">
        <v>46153</v>
      </c>
      <c r="K19" s="35" t="s">
        <v>318</v>
      </c>
      <c r="L19" s="35" t="s">
        <v>319</v>
      </c>
      <c r="M19" s="57" t="s">
        <v>175</v>
      </c>
      <c r="N19" s="59" t="s">
        <v>43</v>
      </c>
      <c r="O19" s="175" t="s">
        <v>478</v>
      </c>
      <c r="P19" s="152" t="s">
        <v>66</v>
      </c>
      <c r="Q19" s="124" t="s">
        <v>66</v>
      </c>
      <c r="R19" s="133" t="s">
        <v>175</v>
      </c>
    </row>
    <row r="20" spans="1:18" ht="45" customHeight="1" x14ac:dyDescent="0.25">
      <c r="A20" s="35">
        <v>18</v>
      </c>
      <c r="B20" s="57" t="s">
        <v>48</v>
      </c>
      <c r="C20" s="113" t="s">
        <v>321</v>
      </c>
      <c r="D20" s="111">
        <v>3</v>
      </c>
      <c r="E20" s="60" t="s">
        <v>322</v>
      </c>
      <c r="F20" s="35">
        <v>2</v>
      </c>
      <c r="G20" s="57" t="s">
        <v>161</v>
      </c>
      <c r="H20" s="64" t="s">
        <v>317</v>
      </c>
      <c r="I20" s="65" t="s">
        <v>200</v>
      </c>
      <c r="J20" s="51">
        <v>46158</v>
      </c>
      <c r="K20" s="35" t="s">
        <v>318</v>
      </c>
      <c r="L20" s="35" t="s">
        <v>319</v>
      </c>
      <c r="M20" s="57" t="s">
        <v>175</v>
      </c>
      <c r="N20" s="59" t="s">
        <v>43</v>
      </c>
      <c r="O20" s="175" t="s">
        <v>478</v>
      </c>
      <c r="P20" s="152" t="s">
        <v>66</v>
      </c>
      <c r="Q20" s="124" t="s">
        <v>66</v>
      </c>
      <c r="R20" s="133" t="s">
        <v>175</v>
      </c>
    </row>
    <row r="21" spans="1:18" ht="45" customHeight="1" x14ac:dyDescent="0.25">
      <c r="A21" s="35">
        <v>19</v>
      </c>
      <c r="B21" s="57" t="s">
        <v>48</v>
      </c>
      <c r="C21" s="113" t="s">
        <v>326</v>
      </c>
      <c r="D21" s="113">
        <v>1</v>
      </c>
      <c r="E21" s="60" t="s">
        <v>325</v>
      </c>
      <c r="F21" s="35">
        <v>3</v>
      </c>
      <c r="G21" s="57" t="s">
        <v>161</v>
      </c>
      <c r="H21" s="64" t="s">
        <v>317</v>
      </c>
      <c r="I21" s="65" t="s">
        <v>200</v>
      </c>
      <c r="J21" s="51">
        <v>46160</v>
      </c>
      <c r="K21" s="35" t="s">
        <v>318</v>
      </c>
      <c r="L21" s="35" t="s">
        <v>319</v>
      </c>
      <c r="M21" s="57" t="s">
        <v>175</v>
      </c>
      <c r="N21" s="59" t="s">
        <v>43</v>
      </c>
      <c r="O21" s="175" t="s">
        <v>478</v>
      </c>
      <c r="P21" s="152" t="s">
        <v>66</v>
      </c>
      <c r="Q21" s="124" t="s">
        <v>66</v>
      </c>
      <c r="R21" s="133" t="s">
        <v>175</v>
      </c>
    </row>
    <row r="22" spans="1:18" ht="45" customHeight="1" x14ac:dyDescent="0.25">
      <c r="A22" s="35">
        <v>20</v>
      </c>
      <c r="B22" s="57" t="s">
        <v>48</v>
      </c>
      <c r="C22" s="113" t="s">
        <v>330</v>
      </c>
      <c r="D22" s="113">
        <v>1</v>
      </c>
      <c r="E22" s="60" t="s">
        <v>331</v>
      </c>
      <c r="F22" s="35">
        <v>2</v>
      </c>
      <c r="G22" s="57" t="s">
        <v>161</v>
      </c>
      <c r="H22" s="64" t="s">
        <v>317</v>
      </c>
      <c r="I22" s="65" t="s">
        <v>200</v>
      </c>
      <c r="J22" s="51">
        <v>46162</v>
      </c>
      <c r="K22" s="35" t="s">
        <v>318</v>
      </c>
      <c r="L22" s="35" t="s">
        <v>319</v>
      </c>
      <c r="M22" s="57" t="s">
        <v>175</v>
      </c>
      <c r="N22" s="59" t="s">
        <v>43</v>
      </c>
      <c r="O22" s="175" t="s">
        <v>478</v>
      </c>
      <c r="P22" s="152" t="s">
        <v>66</v>
      </c>
      <c r="Q22" s="124" t="s">
        <v>66</v>
      </c>
      <c r="R22" s="133" t="s">
        <v>175</v>
      </c>
    </row>
    <row r="23" spans="1:18" ht="45" customHeight="1" x14ac:dyDescent="0.25">
      <c r="A23" s="35">
        <v>21</v>
      </c>
      <c r="B23" s="57" t="s">
        <v>48</v>
      </c>
      <c r="C23" s="113" t="s">
        <v>343</v>
      </c>
      <c r="D23" s="113">
        <v>2</v>
      </c>
      <c r="E23" s="60" t="s">
        <v>325</v>
      </c>
      <c r="F23" s="35">
        <v>3</v>
      </c>
      <c r="G23" s="57" t="s">
        <v>161</v>
      </c>
      <c r="H23" s="64" t="s">
        <v>317</v>
      </c>
      <c r="I23" s="65" t="s">
        <v>200</v>
      </c>
      <c r="J23" s="51">
        <v>46162</v>
      </c>
      <c r="K23" s="35" t="s">
        <v>318</v>
      </c>
      <c r="L23" s="35" t="s">
        <v>319</v>
      </c>
      <c r="M23" s="57" t="s">
        <v>175</v>
      </c>
      <c r="N23" s="35" t="s">
        <v>175</v>
      </c>
      <c r="O23" s="200" t="s">
        <v>483</v>
      </c>
      <c r="P23" s="152" t="s">
        <v>66</v>
      </c>
      <c r="Q23" s="124" t="s">
        <v>66</v>
      </c>
      <c r="R23" s="142">
        <v>46166</v>
      </c>
    </row>
    <row r="24" spans="1:18" ht="48" customHeight="1" x14ac:dyDescent="0.25">
      <c r="A24" s="35">
        <v>22</v>
      </c>
      <c r="B24" s="57" t="s">
        <v>48</v>
      </c>
      <c r="C24" s="113" t="s">
        <v>353</v>
      </c>
      <c r="D24" s="113">
        <v>2</v>
      </c>
      <c r="E24" s="60" t="s">
        <v>331</v>
      </c>
      <c r="F24" s="35">
        <v>2</v>
      </c>
      <c r="G24" s="57" t="s">
        <v>161</v>
      </c>
      <c r="H24" s="64" t="s">
        <v>350</v>
      </c>
      <c r="I24" s="65" t="s">
        <v>200</v>
      </c>
      <c r="J24" s="51">
        <v>46165</v>
      </c>
      <c r="K24" s="35" t="s">
        <v>318</v>
      </c>
      <c r="L24" s="35" t="s">
        <v>319</v>
      </c>
      <c r="M24" s="57" t="s">
        <v>175</v>
      </c>
      <c r="N24" s="35" t="s">
        <v>43</v>
      </c>
      <c r="O24" s="175" t="s">
        <v>478</v>
      </c>
      <c r="P24" s="152" t="s">
        <v>66</v>
      </c>
      <c r="Q24" s="124" t="s">
        <v>66</v>
      </c>
      <c r="R24" s="133" t="s">
        <v>175</v>
      </c>
    </row>
    <row r="25" spans="1:18" ht="48" customHeight="1" x14ac:dyDescent="0.25">
      <c r="A25" s="49">
        <v>23</v>
      </c>
      <c r="B25" s="57" t="s">
        <v>48</v>
      </c>
      <c r="C25" s="113" t="s">
        <v>361</v>
      </c>
      <c r="D25" s="113">
        <v>3</v>
      </c>
      <c r="E25" s="60" t="s">
        <v>331</v>
      </c>
      <c r="F25" s="35">
        <v>2</v>
      </c>
      <c r="G25" s="57" t="s">
        <v>161</v>
      </c>
      <c r="H25" s="64" t="s">
        <v>350</v>
      </c>
      <c r="I25" s="65" t="s">
        <v>200</v>
      </c>
      <c r="J25" s="123">
        <v>46173</v>
      </c>
      <c r="K25" s="35" t="s">
        <v>318</v>
      </c>
      <c r="L25" s="35" t="s">
        <v>360</v>
      </c>
      <c r="M25" s="57" t="s">
        <v>175</v>
      </c>
      <c r="N25" s="122" t="s">
        <v>43</v>
      </c>
      <c r="O25" s="175" t="s">
        <v>478</v>
      </c>
      <c r="P25" s="152" t="s">
        <v>66</v>
      </c>
      <c r="Q25" s="124" t="s">
        <v>66</v>
      </c>
      <c r="R25" s="133" t="s">
        <v>175</v>
      </c>
    </row>
    <row r="26" spans="1:18" ht="48" customHeight="1" x14ac:dyDescent="0.25">
      <c r="A26" s="49">
        <v>24</v>
      </c>
      <c r="B26" s="57" t="s">
        <v>48</v>
      </c>
      <c r="C26" s="113" t="s">
        <v>369</v>
      </c>
      <c r="D26" s="113">
        <v>4</v>
      </c>
      <c r="E26" s="60" t="s">
        <v>331</v>
      </c>
      <c r="F26" s="35">
        <v>2</v>
      </c>
      <c r="G26" s="57" t="s">
        <v>161</v>
      </c>
      <c r="H26" s="64" t="s">
        <v>317</v>
      </c>
      <c r="I26" s="65" t="s">
        <v>200</v>
      </c>
      <c r="J26" s="123">
        <v>46173</v>
      </c>
      <c r="K26" s="35" t="s">
        <v>318</v>
      </c>
      <c r="L26" s="35" t="s">
        <v>360</v>
      </c>
      <c r="M26" s="57" t="s">
        <v>175</v>
      </c>
      <c r="N26" s="59" t="s">
        <v>43</v>
      </c>
      <c r="O26" s="175" t="s">
        <v>478</v>
      </c>
      <c r="P26" s="152" t="s">
        <v>66</v>
      </c>
      <c r="Q26" s="124" t="s">
        <v>66</v>
      </c>
      <c r="R26" s="133" t="s">
        <v>175</v>
      </c>
    </row>
    <row r="27" spans="1:18" ht="48" customHeight="1" x14ac:dyDescent="0.25">
      <c r="A27" s="49">
        <v>25</v>
      </c>
      <c r="B27" s="57" t="s">
        <v>48</v>
      </c>
      <c r="C27" s="113" t="s">
        <v>374</v>
      </c>
      <c r="D27" s="113">
        <v>5</v>
      </c>
      <c r="E27" s="60" t="s">
        <v>331</v>
      </c>
      <c r="F27" s="35">
        <v>2</v>
      </c>
      <c r="G27" s="57" t="s">
        <v>161</v>
      </c>
      <c r="H27" s="64" t="s">
        <v>317</v>
      </c>
      <c r="I27" s="65" t="s">
        <v>200</v>
      </c>
      <c r="J27" s="123">
        <v>46173</v>
      </c>
      <c r="K27" s="35" t="s">
        <v>318</v>
      </c>
      <c r="L27" s="35" t="s">
        <v>360</v>
      </c>
      <c r="M27" s="57" t="s">
        <v>175</v>
      </c>
      <c r="N27" s="59" t="s">
        <v>43</v>
      </c>
      <c r="O27" s="175" t="s">
        <v>478</v>
      </c>
      <c r="P27" s="152" t="s">
        <v>66</v>
      </c>
      <c r="Q27" s="124" t="s">
        <v>66</v>
      </c>
      <c r="R27" s="133" t="s">
        <v>175</v>
      </c>
    </row>
    <row r="28" spans="1:18" ht="48" customHeight="1" x14ac:dyDescent="0.25">
      <c r="A28" s="49">
        <v>26</v>
      </c>
      <c r="B28" s="57" t="s">
        <v>48</v>
      </c>
      <c r="C28" s="113" t="s">
        <v>379</v>
      </c>
      <c r="D28" s="113">
        <v>6</v>
      </c>
      <c r="E28" s="60" t="s">
        <v>331</v>
      </c>
      <c r="F28" s="35">
        <v>2</v>
      </c>
      <c r="G28" s="57" t="s">
        <v>161</v>
      </c>
      <c r="H28" s="64" t="s">
        <v>317</v>
      </c>
      <c r="I28" s="65" t="s">
        <v>200</v>
      </c>
      <c r="J28" s="123">
        <v>46173</v>
      </c>
      <c r="K28" s="35" t="s">
        <v>318</v>
      </c>
      <c r="L28" s="35" t="s">
        <v>360</v>
      </c>
      <c r="M28" s="57" t="s">
        <v>175</v>
      </c>
      <c r="N28" s="59" t="s">
        <v>43</v>
      </c>
      <c r="O28" s="175" t="s">
        <v>478</v>
      </c>
      <c r="P28" s="152" t="s">
        <v>66</v>
      </c>
      <c r="Q28" s="124" t="s">
        <v>66</v>
      </c>
      <c r="R28" s="133" t="s">
        <v>175</v>
      </c>
    </row>
    <row r="29" spans="1:18" ht="48" customHeight="1" x14ac:dyDescent="0.25">
      <c r="A29" s="49">
        <v>27</v>
      </c>
      <c r="B29" s="57" t="s">
        <v>48</v>
      </c>
      <c r="C29" s="113" t="s">
        <v>504</v>
      </c>
      <c r="D29" s="49" t="s">
        <v>175</v>
      </c>
      <c r="E29" s="60" t="s">
        <v>210</v>
      </c>
      <c r="F29" s="49">
        <v>4</v>
      </c>
      <c r="G29" s="49" t="s">
        <v>503</v>
      </c>
      <c r="H29" s="64" t="s">
        <v>505</v>
      </c>
      <c r="I29" s="65" t="s">
        <v>200</v>
      </c>
      <c r="J29" s="123">
        <v>46232</v>
      </c>
      <c r="K29" s="49" t="s">
        <v>506</v>
      </c>
      <c r="L29" s="35" t="s">
        <v>318</v>
      </c>
      <c r="M29" s="49" t="s">
        <v>175</v>
      </c>
      <c r="N29" s="59" t="s">
        <v>43</v>
      </c>
      <c r="O29" s="208" t="s">
        <v>513</v>
      </c>
      <c r="P29" s="152" t="s">
        <v>66</v>
      </c>
      <c r="Q29" s="124" t="s">
        <v>66</v>
      </c>
      <c r="R29" s="207" t="s">
        <v>514</v>
      </c>
    </row>
    <row r="30" spans="1:18" ht="48" customHeight="1" x14ac:dyDescent="0.25">
      <c r="N30" s="37"/>
      <c r="O30" s="37"/>
      <c r="P30" s="37"/>
    </row>
    <row r="31" spans="1:18" ht="48" customHeight="1" x14ac:dyDescent="0.25">
      <c r="N31" s="37"/>
      <c r="O31" s="37"/>
      <c r="P31" s="37"/>
    </row>
    <row r="32" spans="1:18" ht="48" customHeight="1" x14ac:dyDescent="0.25">
      <c r="N32" s="37"/>
      <c r="O32" s="37"/>
      <c r="P32" s="37"/>
    </row>
    <row r="33" spans="14:16" x14ac:dyDescent="0.25">
      <c r="N33" s="37"/>
      <c r="O33" s="37"/>
      <c r="P33" s="37"/>
    </row>
    <row r="34" spans="14:16" x14ac:dyDescent="0.25">
      <c r="N34" s="37"/>
      <c r="O34" s="37"/>
      <c r="P34" s="37"/>
    </row>
    <row r="35" spans="14:16" x14ac:dyDescent="0.25">
      <c r="N35" s="37"/>
      <c r="O35" s="37"/>
      <c r="P35" s="37"/>
    </row>
    <row r="36" spans="14:16" x14ac:dyDescent="0.25">
      <c r="N36" s="37"/>
      <c r="O36" s="37"/>
      <c r="P36" s="37"/>
    </row>
    <row r="37" spans="14:16" x14ac:dyDescent="0.25">
      <c r="N37" s="37"/>
      <c r="O37" s="37"/>
      <c r="P37" s="37"/>
    </row>
    <row r="38" spans="14:16" x14ac:dyDescent="0.25">
      <c r="N38" s="37"/>
      <c r="O38" s="37"/>
      <c r="P38" s="37"/>
    </row>
    <row r="39" spans="14:16" x14ac:dyDescent="0.25">
      <c r="N39" s="37"/>
      <c r="O39" s="37"/>
      <c r="P39" s="37"/>
    </row>
    <row r="40" spans="14:16" x14ac:dyDescent="0.25">
      <c r="N40" s="37"/>
      <c r="O40" s="37"/>
      <c r="P40" s="37"/>
    </row>
    <row r="41" spans="14:16" x14ac:dyDescent="0.25">
      <c r="N41" s="37"/>
      <c r="O41" s="37"/>
      <c r="P41" s="37"/>
    </row>
    <row r="42" spans="14:16" x14ac:dyDescent="0.25">
      <c r="N42" s="37"/>
      <c r="O42" s="37"/>
      <c r="P42" s="37"/>
    </row>
    <row r="43" spans="14:16" x14ac:dyDescent="0.25">
      <c r="N43" s="37"/>
      <c r="O43" s="37"/>
      <c r="P43" s="37"/>
    </row>
    <row r="44" spans="14:16" x14ac:dyDescent="0.25">
      <c r="N44" s="37"/>
      <c r="O44" s="37"/>
      <c r="P44" s="37"/>
    </row>
    <row r="45" spans="14:16" x14ac:dyDescent="0.25">
      <c r="N45" s="37"/>
      <c r="O45" s="37"/>
      <c r="P45" s="37"/>
    </row>
  </sheetData>
  <autoFilter ref="A2:R28" xr:uid="{00000000-0009-0000-0000-000000000000}"/>
  <mergeCells count="1">
    <mergeCell ref="A1:R1"/>
  </mergeCells>
  <phoneticPr fontId="4" type="noConversion"/>
  <hyperlinks>
    <hyperlink ref="C3" r:id="rId1" xr:uid="{2030D7BC-FC5F-4BF8-BF98-E367735DD5F9}"/>
    <hyperlink ref="C4" r:id="rId2" xr:uid="{F4D5DE36-BF67-49AE-B68F-B8765809C02E}"/>
    <hyperlink ref="C5" r:id="rId3" xr:uid="{DCA96C88-978F-4E2A-90D2-1AF4202555C3}"/>
    <hyperlink ref="C6" r:id="rId4" xr:uid="{E9753078-240D-42AB-ABB7-7A9F0E3728C8}"/>
    <hyperlink ref="C7" r:id="rId5" xr:uid="{3D52DB3C-45C2-45EE-A69B-2C1AA5443C58}"/>
    <hyperlink ref="C8" r:id="rId6" xr:uid="{4EDC4378-E3A1-425F-9209-D7425B8E391D}"/>
    <hyperlink ref="C9" r:id="rId7" xr:uid="{E7771462-9E42-42A6-9E86-70EEAA76EAE2}"/>
    <hyperlink ref="C10" r:id="rId8" xr:uid="{5B393C76-216D-4A6C-B81B-6770AA9A89D1}"/>
    <hyperlink ref="C11" r:id="rId9" xr:uid="{7B553945-07FB-425C-BDFF-15170D7C2939}"/>
    <hyperlink ref="C12" r:id="rId10" xr:uid="{9F27AC68-C3BF-461A-B5C4-B06F097630AC}"/>
    <hyperlink ref="C13" r:id="rId11" xr:uid="{FE872F96-5415-4B14-A8DB-A83C2F908391}"/>
    <hyperlink ref="C14" r:id="rId12" xr:uid="{440D6423-EE40-436A-BEAB-B5E29856CB13}"/>
    <hyperlink ref="C15" r:id="rId13" xr:uid="{0EA626C2-CDF6-4CD9-B6B4-AF6E530B863A}"/>
    <hyperlink ref="C16" r:id="rId14" xr:uid="{7E7D2048-B73C-4F65-9E98-E95E26138FB2}"/>
    <hyperlink ref="C17" r:id="rId15" xr:uid="{81960032-03ED-4F7C-85B2-AF031ED2207A}"/>
  </hyperlinks>
  <printOptions horizontalCentered="1"/>
  <pageMargins left="0.25" right="0.25" top="0.25" bottom="0.25" header="0" footer="0"/>
  <pageSetup paperSize="8" scale="57" fitToHeight="0" orientation="landscape" r:id="rId16"/>
  <headerFooter>
    <oddFooter>&amp;Lby Ahmed Mohamed 
&amp;CPage (&amp;P of &amp;N)&amp;R&amp;D</oddFooter>
  </headerFooter>
  <drawing r:id="rId1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6A21F-A9D0-4A7D-8F94-C16CCF7408A3}">
  <sheetPr>
    <pageSetUpPr fitToPage="1"/>
  </sheetPr>
  <dimension ref="A1:R11"/>
  <sheetViews>
    <sheetView showGridLines="0" topLeftCell="D1" zoomScale="70" zoomScaleNormal="70" zoomScaleSheetLayoutView="55" workbookViewId="0">
      <pane ySplit="4" topLeftCell="A5" activePane="bottomLeft" state="frozen"/>
      <selection activeCell="Q1" sqref="Q1"/>
      <selection pane="bottomLeft" activeCell="P4" sqref="P1:P1048576"/>
    </sheetView>
  </sheetViews>
  <sheetFormatPr defaultColWidth="9.140625" defaultRowHeight="12.75" x14ac:dyDescent="0.25"/>
  <cols>
    <col min="1" max="1" width="10.5703125" style="33" bestFit="1" customWidth="1"/>
    <col min="2" max="2" width="16.42578125" style="33" bestFit="1" customWidth="1"/>
    <col min="3" max="3" width="31.85546875" style="33" bestFit="1" customWidth="1"/>
    <col min="4" max="4" width="13.85546875" style="33" customWidth="1"/>
    <col min="5" max="5" width="53.7109375" style="33" customWidth="1"/>
    <col min="6" max="7" width="17.140625" style="33" customWidth="1"/>
    <col min="8" max="8" width="60.7109375" style="37" customWidth="1"/>
    <col min="9" max="10" width="16.5703125" style="33" customWidth="1"/>
    <col min="11" max="11" width="13.7109375" style="33" customWidth="1"/>
    <col min="12" max="12" width="14.85546875" style="33" customWidth="1"/>
    <col min="13" max="13" width="20.140625" style="33" customWidth="1"/>
    <col min="14" max="15" width="26.5703125" style="33" customWidth="1"/>
    <col min="16" max="16" width="34.85546875" style="33" hidden="1" customWidth="1"/>
    <col min="17" max="17" width="33" style="33" customWidth="1"/>
    <col min="18" max="16384" width="9.140625" style="33"/>
  </cols>
  <sheetData>
    <row r="1" spans="1:18" s="70" customFormat="1" ht="27.75" customHeight="1" x14ac:dyDescent="0.25">
      <c r="A1" s="211" t="s">
        <v>308</v>
      </c>
      <c r="B1" s="212"/>
      <c r="C1" s="212"/>
      <c r="D1" s="212"/>
      <c r="E1" s="212"/>
      <c r="F1" s="212"/>
      <c r="G1" s="212"/>
      <c r="H1" s="212"/>
      <c r="I1" s="212"/>
      <c r="J1" s="212"/>
      <c r="K1" s="212"/>
      <c r="L1" s="212"/>
      <c r="M1" s="212"/>
      <c r="N1" s="212"/>
      <c r="O1" s="212"/>
      <c r="P1" s="212"/>
      <c r="Q1" s="212"/>
    </row>
    <row r="2" spans="1:18" s="49" customFormat="1" ht="18.75" customHeight="1" x14ac:dyDescent="0.25">
      <c r="A2" s="213"/>
      <c r="B2" s="214"/>
      <c r="C2" s="214"/>
      <c r="D2" s="214"/>
      <c r="E2" s="214"/>
      <c r="F2" s="214"/>
      <c r="G2" s="214"/>
      <c r="H2" s="214"/>
      <c r="I2" s="214"/>
      <c r="J2" s="214"/>
      <c r="K2" s="214"/>
      <c r="L2" s="214"/>
      <c r="M2" s="214"/>
      <c r="N2" s="214"/>
      <c r="O2" s="214"/>
      <c r="P2" s="214"/>
      <c r="Q2" s="214"/>
    </row>
    <row r="3" spans="1:18" s="49" customFormat="1" ht="41.25" customHeight="1" thickBot="1" x14ac:dyDescent="0.3">
      <c r="A3" s="215"/>
      <c r="B3" s="216"/>
      <c r="C3" s="216"/>
      <c r="D3" s="216"/>
      <c r="E3" s="216"/>
      <c r="F3" s="216"/>
      <c r="G3" s="216"/>
      <c r="H3" s="216"/>
      <c r="I3" s="216"/>
      <c r="J3" s="216"/>
      <c r="K3" s="216"/>
      <c r="L3" s="216"/>
      <c r="M3" s="216"/>
      <c r="N3" s="216"/>
      <c r="O3" s="216"/>
      <c r="P3" s="216"/>
      <c r="Q3" s="216"/>
    </row>
    <row r="4" spans="1:18" s="49" customFormat="1" ht="53.25" customHeight="1" thickBot="1" x14ac:dyDescent="0.3">
      <c r="A4" s="144" t="s">
        <v>32</v>
      </c>
      <c r="B4" s="144" t="s">
        <v>34</v>
      </c>
      <c r="C4" s="144" t="s">
        <v>41</v>
      </c>
      <c r="D4" s="144" t="s">
        <v>383</v>
      </c>
      <c r="E4" s="144" t="s">
        <v>35</v>
      </c>
      <c r="F4" s="144" t="s">
        <v>45</v>
      </c>
      <c r="G4" s="144" t="s">
        <v>46</v>
      </c>
      <c r="H4" s="144" t="s">
        <v>36</v>
      </c>
      <c r="I4" s="144" t="s">
        <v>38</v>
      </c>
      <c r="J4" s="144" t="s">
        <v>40</v>
      </c>
      <c r="K4" s="144" t="s">
        <v>37</v>
      </c>
      <c r="L4" s="144" t="s">
        <v>47</v>
      </c>
      <c r="M4" s="144" t="s">
        <v>39</v>
      </c>
      <c r="N4" s="144" t="s">
        <v>39</v>
      </c>
      <c r="O4" s="202" t="s">
        <v>480</v>
      </c>
      <c r="P4" s="144" t="s">
        <v>315</v>
      </c>
      <c r="Q4" s="144" t="s">
        <v>20</v>
      </c>
      <c r="R4" s="92"/>
    </row>
    <row r="5" spans="1:18" s="49" customFormat="1" ht="55.5" customHeight="1" x14ac:dyDescent="0.25">
      <c r="A5" s="42">
        <v>1</v>
      </c>
      <c r="B5" s="35" t="s">
        <v>48</v>
      </c>
      <c r="C5" s="113" t="s">
        <v>93</v>
      </c>
      <c r="D5" s="35">
        <v>1</v>
      </c>
      <c r="E5" s="38" t="s">
        <v>150</v>
      </c>
      <c r="F5" s="38">
        <v>1</v>
      </c>
      <c r="G5" s="45" t="s">
        <v>97</v>
      </c>
      <c r="H5" s="36" t="s">
        <v>96</v>
      </c>
      <c r="I5" s="36" t="s">
        <v>468</v>
      </c>
      <c r="J5" s="47">
        <v>45728</v>
      </c>
      <c r="K5" s="52" t="s">
        <v>98</v>
      </c>
      <c r="L5" s="52" t="s">
        <v>158</v>
      </c>
      <c r="M5" s="36" t="s">
        <v>78</v>
      </c>
      <c r="N5" s="40" t="s">
        <v>78</v>
      </c>
      <c r="O5" s="186" t="s">
        <v>478</v>
      </c>
      <c r="P5" s="128" t="s">
        <v>66</v>
      </c>
      <c r="Q5" s="94"/>
      <c r="R5" s="92"/>
    </row>
    <row r="6" spans="1:18" s="49" customFormat="1" ht="54" customHeight="1" x14ac:dyDescent="0.25">
      <c r="A6" s="42">
        <v>2</v>
      </c>
      <c r="B6" s="35" t="s">
        <v>48</v>
      </c>
      <c r="C6" s="113" t="s">
        <v>102</v>
      </c>
      <c r="D6" s="35">
        <v>1</v>
      </c>
      <c r="E6" s="36" t="s">
        <v>154</v>
      </c>
      <c r="F6" s="36">
        <v>2</v>
      </c>
      <c r="G6" s="46" t="s">
        <v>111</v>
      </c>
      <c r="H6" s="36" t="s">
        <v>110</v>
      </c>
      <c r="I6" s="36" t="s">
        <v>468</v>
      </c>
      <c r="J6" s="36" t="s">
        <v>108</v>
      </c>
      <c r="K6" s="52" t="s">
        <v>98</v>
      </c>
      <c r="L6" s="52" t="s">
        <v>158</v>
      </c>
      <c r="M6" s="36" t="s">
        <v>78</v>
      </c>
      <c r="N6" s="40" t="s">
        <v>78</v>
      </c>
      <c r="O6" s="186" t="s">
        <v>478</v>
      </c>
      <c r="P6" s="128" t="s">
        <v>66</v>
      </c>
      <c r="Q6" s="95"/>
      <c r="R6" s="92"/>
    </row>
    <row r="7" spans="1:18" s="49" customFormat="1" ht="45" customHeight="1" x14ac:dyDescent="0.25">
      <c r="A7" s="42">
        <v>3</v>
      </c>
      <c r="B7" s="35" t="s">
        <v>48</v>
      </c>
      <c r="C7" s="113" t="s">
        <v>141</v>
      </c>
      <c r="D7" s="35">
        <v>1</v>
      </c>
      <c r="E7" s="49" t="s">
        <v>461</v>
      </c>
      <c r="F7" s="35">
        <v>4</v>
      </c>
      <c r="G7" s="36" t="s">
        <v>100</v>
      </c>
      <c r="H7" s="31" t="s">
        <v>140</v>
      </c>
      <c r="I7" s="36" t="s">
        <v>468</v>
      </c>
      <c r="J7" s="30" t="s">
        <v>139</v>
      </c>
      <c r="K7" s="52" t="s">
        <v>98</v>
      </c>
      <c r="L7" s="52" t="s">
        <v>158</v>
      </c>
      <c r="M7" s="36" t="s">
        <v>78</v>
      </c>
      <c r="N7" s="41" t="s">
        <v>175</v>
      </c>
      <c r="O7" s="186" t="s">
        <v>478</v>
      </c>
      <c r="P7" s="128" t="s">
        <v>66</v>
      </c>
      <c r="Q7" s="32"/>
      <c r="R7" s="92"/>
    </row>
    <row r="8" spans="1:18" s="49" customFormat="1" ht="45" customHeight="1" x14ac:dyDescent="0.25">
      <c r="A8" s="42">
        <v>4</v>
      </c>
      <c r="B8" s="35" t="s">
        <v>48</v>
      </c>
      <c r="C8" s="113" t="s">
        <v>145</v>
      </c>
      <c r="D8" s="35">
        <v>2</v>
      </c>
      <c r="E8" s="49" t="s">
        <v>461</v>
      </c>
      <c r="F8" s="35">
        <v>4</v>
      </c>
      <c r="G8" s="36" t="s">
        <v>100</v>
      </c>
      <c r="H8" s="31" t="s">
        <v>140</v>
      </c>
      <c r="I8" s="36" t="s">
        <v>468</v>
      </c>
      <c r="J8" s="51">
        <v>46116</v>
      </c>
      <c r="K8" s="52" t="s">
        <v>98</v>
      </c>
      <c r="L8" s="52" t="s">
        <v>158</v>
      </c>
      <c r="M8" s="36" t="s">
        <v>78</v>
      </c>
      <c r="N8" s="41" t="s">
        <v>175</v>
      </c>
      <c r="O8" s="186" t="s">
        <v>478</v>
      </c>
      <c r="P8" s="128" t="s">
        <v>66</v>
      </c>
      <c r="Q8" s="32"/>
      <c r="R8" s="92"/>
    </row>
    <row r="9" spans="1:18" ht="45" customHeight="1" x14ac:dyDescent="0.25">
      <c r="A9" s="42">
        <v>5</v>
      </c>
      <c r="B9" s="35" t="s">
        <v>48</v>
      </c>
      <c r="C9" s="113" t="s">
        <v>463</v>
      </c>
      <c r="D9" s="35" t="s">
        <v>175</v>
      </c>
      <c r="E9" s="49" t="s">
        <v>462</v>
      </c>
      <c r="F9" s="35">
        <v>4</v>
      </c>
      <c r="G9" s="35" t="s">
        <v>425</v>
      </c>
      <c r="H9" s="31" t="s">
        <v>467</v>
      </c>
      <c r="I9" s="36" t="s">
        <v>468</v>
      </c>
      <c r="J9" s="51">
        <v>46196</v>
      </c>
      <c r="K9" s="36" t="s">
        <v>469</v>
      </c>
      <c r="L9" s="36" t="s">
        <v>422</v>
      </c>
      <c r="M9" s="35" t="s">
        <v>175</v>
      </c>
      <c r="N9" s="41" t="s">
        <v>175</v>
      </c>
      <c r="O9" s="146" t="s">
        <v>483</v>
      </c>
      <c r="P9" s="128" t="s">
        <v>66</v>
      </c>
      <c r="Q9" s="32"/>
    </row>
    <row r="10" spans="1:18" ht="45" customHeight="1" x14ac:dyDescent="0.25">
      <c r="A10" s="42"/>
      <c r="B10" s="35"/>
      <c r="C10" s="35"/>
      <c r="D10" s="35"/>
      <c r="E10" s="35"/>
      <c r="F10" s="35"/>
      <c r="G10" s="35"/>
      <c r="H10" s="31"/>
      <c r="I10" s="30"/>
      <c r="J10" s="30"/>
      <c r="K10" s="35"/>
      <c r="L10" s="35"/>
      <c r="M10" s="35"/>
      <c r="N10" s="41"/>
      <c r="O10" s="35"/>
      <c r="P10" s="71"/>
      <c r="Q10" s="32"/>
    </row>
    <row r="11" spans="1:18" ht="45" customHeight="1" x14ac:dyDescent="0.25">
      <c r="A11" s="42"/>
      <c r="B11" s="35"/>
      <c r="C11" s="35"/>
      <c r="D11" s="35"/>
      <c r="E11" s="36"/>
      <c r="F11" s="35"/>
      <c r="G11" s="35"/>
      <c r="H11" s="31"/>
      <c r="I11" s="30"/>
      <c r="J11" s="30"/>
      <c r="K11" s="35"/>
      <c r="L11" s="35"/>
      <c r="M11" s="35"/>
      <c r="N11" s="41"/>
      <c r="O11" s="35"/>
      <c r="P11" s="71"/>
      <c r="Q11" s="32"/>
    </row>
  </sheetData>
  <autoFilter ref="A4:Q11" xr:uid="{00000000-0009-0000-0000-000000000000}"/>
  <mergeCells count="1">
    <mergeCell ref="A1:Q3"/>
  </mergeCells>
  <phoneticPr fontId="4" type="noConversion"/>
  <conditionalFormatting sqref="M10:P11 M9">
    <cfRule type="duplicateValues" dxfId="3" priority="9027"/>
  </conditionalFormatting>
  <printOptions horizontalCentered="1"/>
  <pageMargins left="0.25" right="0.25" top="0.25" bottom="0.25" header="0" footer="0"/>
  <pageSetup paperSize="8" scale="52" fitToHeight="0" orientation="landscape" r:id="rId1"/>
  <headerFooter>
    <oddFooter>&amp;Lby Ahmed Mohamed 
&amp;CPage (&amp;P of &amp;N)&amp;R&amp;D</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20759-9255-4CB7-A381-D8069C056FEA}">
  <sheetPr>
    <pageSetUpPr fitToPage="1"/>
  </sheetPr>
  <dimension ref="A1:R9"/>
  <sheetViews>
    <sheetView showGridLines="0" zoomScale="70" zoomScaleNormal="70" zoomScaleSheetLayoutView="85" workbookViewId="0">
      <pane ySplit="2" topLeftCell="A3" activePane="bottomLeft" state="frozen"/>
      <selection activeCell="Q1" sqref="Q1"/>
      <selection pane="bottomLeft" activeCell="K7" sqref="K7"/>
    </sheetView>
  </sheetViews>
  <sheetFormatPr defaultColWidth="9.140625" defaultRowHeight="12.75" x14ac:dyDescent="0.25"/>
  <cols>
    <col min="1" max="1" width="12.85546875" style="33" bestFit="1" customWidth="1"/>
    <col min="2" max="2" width="18.7109375" style="33" bestFit="1" customWidth="1"/>
    <col min="3" max="3" width="29.28515625" style="33" customWidth="1"/>
    <col min="4" max="4" width="18.85546875" style="33" customWidth="1"/>
    <col min="5" max="5" width="77.28515625" style="33" customWidth="1"/>
    <col min="6" max="6" width="15.7109375" style="33" customWidth="1"/>
    <col min="7" max="7" width="17.140625" style="33" customWidth="1"/>
    <col min="8" max="8" width="60.7109375" style="37" customWidth="1"/>
    <col min="9" max="9" width="16.5703125" style="33" customWidth="1"/>
    <col min="10" max="10" width="15.5703125" style="33" customWidth="1"/>
    <col min="11" max="11" width="17.7109375" style="33" customWidth="1"/>
    <col min="12" max="12" width="20.5703125" style="33" customWidth="1"/>
    <col min="13" max="13" width="20.140625" style="33" customWidth="1"/>
    <col min="14" max="16" width="24.28515625" style="33" customWidth="1"/>
    <col min="17" max="17" width="34.85546875" style="33" hidden="1" customWidth="1"/>
    <col min="18" max="18" width="33" style="33" customWidth="1"/>
    <col min="19" max="16384" width="9.140625" style="33"/>
  </cols>
  <sheetData>
    <row r="1" spans="1:18" ht="90.75" customHeight="1" thickBot="1" x14ac:dyDescent="0.3">
      <c r="A1" s="217" t="s">
        <v>311</v>
      </c>
      <c r="B1" s="217"/>
      <c r="C1" s="217"/>
      <c r="D1" s="217"/>
      <c r="E1" s="217"/>
      <c r="F1" s="217"/>
      <c r="G1" s="217"/>
      <c r="H1" s="217"/>
      <c r="I1" s="217"/>
      <c r="J1" s="217"/>
      <c r="K1" s="217"/>
      <c r="L1" s="217"/>
      <c r="M1" s="217"/>
      <c r="N1" s="217"/>
      <c r="O1" s="217"/>
      <c r="P1" s="217"/>
      <c r="Q1" s="217"/>
      <c r="R1" s="217"/>
    </row>
    <row r="2" spans="1:18" ht="65.25" customHeight="1" thickBot="1" x14ac:dyDescent="0.3">
      <c r="A2" s="53" t="s">
        <v>32</v>
      </c>
      <c r="B2" s="54" t="s">
        <v>34</v>
      </c>
      <c r="C2" s="54" t="s">
        <v>41</v>
      </c>
      <c r="D2" s="54" t="s">
        <v>383</v>
      </c>
      <c r="E2" s="54" t="s">
        <v>35</v>
      </c>
      <c r="F2" s="54" t="s">
        <v>45</v>
      </c>
      <c r="G2" s="54" t="s">
        <v>46</v>
      </c>
      <c r="H2" s="55" t="s">
        <v>36</v>
      </c>
      <c r="I2" s="54" t="s">
        <v>38</v>
      </c>
      <c r="J2" s="54" t="s">
        <v>40</v>
      </c>
      <c r="K2" s="54" t="s">
        <v>37</v>
      </c>
      <c r="L2" s="54" t="s">
        <v>47</v>
      </c>
      <c r="M2" s="54" t="s">
        <v>39</v>
      </c>
      <c r="N2" s="54" t="s">
        <v>39</v>
      </c>
      <c r="O2" s="54" t="s">
        <v>480</v>
      </c>
      <c r="P2" s="198" t="s">
        <v>315</v>
      </c>
      <c r="Q2" s="198" t="s">
        <v>509</v>
      </c>
      <c r="R2" s="56" t="s">
        <v>20</v>
      </c>
    </row>
    <row r="3" spans="1:18" ht="39.75" customHeight="1" x14ac:dyDescent="0.25">
      <c r="A3" s="86">
        <v>1</v>
      </c>
      <c r="B3" s="76" t="s">
        <v>48</v>
      </c>
      <c r="C3" s="35" t="s">
        <v>53</v>
      </c>
      <c r="D3" s="35">
        <v>1</v>
      </c>
      <c r="E3" s="76" t="s">
        <v>188</v>
      </c>
      <c r="F3" s="72">
        <v>3</v>
      </c>
      <c r="G3" s="72" t="s">
        <v>189</v>
      </c>
      <c r="H3" s="78" t="s">
        <v>190</v>
      </c>
      <c r="I3" s="72" t="s">
        <v>44</v>
      </c>
      <c r="J3" s="74">
        <v>45971</v>
      </c>
      <c r="K3" s="73" t="s">
        <v>164</v>
      </c>
      <c r="L3" s="76" t="s">
        <v>165</v>
      </c>
      <c r="M3" s="72" t="s">
        <v>175</v>
      </c>
      <c r="N3" s="76" t="s">
        <v>43</v>
      </c>
      <c r="O3" s="175" t="s">
        <v>477</v>
      </c>
      <c r="P3" s="124" t="s">
        <v>66</v>
      </c>
      <c r="Q3" s="204" t="s">
        <v>30</v>
      </c>
      <c r="R3" s="72"/>
    </row>
    <row r="4" spans="1:18" ht="39.75" customHeight="1" x14ac:dyDescent="0.25">
      <c r="A4" s="77">
        <v>2</v>
      </c>
      <c r="B4" s="76" t="s">
        <v>48</v>
      </c>
      <c r="C4" s="35" t="s">
        <v>54</v>
      </c>
      <c r="D4" s="35">
        <v>2</v>
      </c>
      <c r="E4" s="76" t="s">
        <v>188</v>
      </c>
      <c r="F4" s="72">
        <v>5</v>
      </c>
      <c r="G4" s="72" t="s">
        <v>189</v>
      </c>
      <c r="H4" s="78" t="s">
        <v>191</v>
      </c>
      <c r="I4" s="72" t="s">
        <v>44</v>
      </c>
      <c r="J4" s="74">
        <v>45964</v>
      </c>
      <c r="K4" s="73" t="s">
        <v>164</v>
      </c>
      <c r="L4" s="69" t="s">
        <v>169</v>
      </c>
      <c r="M4" s="72" t="s">
        <v>175</v>
      </c>
      <c r="N4" s="76" t="s">
        <v>43</v>
      </c>
      <c r="O4" s="175" t="s">
        <v>477</v>
      </c>
      <c r="P4" s="124" t="s">
        <v>66</v>
      </c>
      <c r="Q4" s="204" t="s">
        <v>30</v>
      </c>
      <c r="R4" s="72"/>
    </row>
    <row r="5" spans="1:18" s="79" customFormat="1" ht="39.75" customHeight="1" x14ac:dyDescent="0.25">
      <c r="A5" s="85">
        <v>3</v>
      </c>
      <c r="B5" s="80" t="s">
        <v>48</v>
      </c>
      <c r="C5" s="35" t="s">
        <v>57</v>
      </c>
      <c r="D5" s="35">
        <v>3</v>
      </c>
      <c r="E5" s="80" t="s">
        <v>188</v>
      </c>
      <c r="F5" s="62">
        <v>5</v>
      </c>
      <c r="G5" s="62" t="s">
        <v>189</v>
      </c>
      <c r="H5" s="62" t="s">
        <v>286</v>
      </c>
      <c r="I5" s="72" t="s">
        <v>44</v>
      </c>
      <c r="J5" s="84">
        <v>46084</v>
      </c>
      <c r="K5" s="83" t="s">
        <v>164</v>
      </c>
      <c r="L5" s="83" t="s">
        <v>169</v>
      </c>
      <c r="M5" s="83" t="s">
        <v>42</v>
      </c>
      <c r="N5" s="80" t="s">
        <v>43</v>
      </c>
      <c r="O5" s="175" t="s">
        <v>477</v>
      </c>
      <c r="P5" s="124" t="s">
        <v>66</v>
      </c>
      <c r="Q5" s="204" t="s">
        <v>30</v>
      </c>
      <c r="R5" s="62"/>
    </row>
    <row r="6" spans="1:18" ht="39.75" customHeight="1" x14ac:dyDescent="0.25">
      <c r="A6" s="57">
        <v>4</v>
      </c>
      <c r="B6" s="80" t="s">
        <v>48</v>
      </c>
      <c r="C6" s="182" t="s">
        <v>487</v>
      </c>
      <c r="D6" s="58" t="s">
        <v>175</v>
      </c>
      <c r="E6" s="80" t="s">
        <v>188</v>
      </c>
      <c r="F6" s="59">
        <v>6</v>
      </c>
      <c r="G6" s="62" t="s">
        <v>189</v>
      </c>
      <c r="H6" s="59" t="s">
        <v>488</v>
      </c>
      <c r="I6" s="72" t="s">
        <v>44</v>
      </c>
      <c r="J6" s="61">
        <v>46216</v>
      </c>
      <c r="K6" s="83" t="s">
        <v>164</v>
      </c>
      <c r="L6" s="83" t="s">
        <v>318</v>
      </c>
      <c r="M6" s="59" t="s">
        <v>175</v>
      </c>
      <c r="N6" s="80" t="s">
        <v>43</v>
      </c>
      <c r="O6" s="175" t="s">
        <v>477</v>
      </c>
      <c r="P6" s="124" t="s">
        <v>66</v>
      </c>
      <c r="Q6" s="124" t="s">
        <v>66</v>
      </c>
      <c r="R6" s="67"/>
    </row>
    <row r="7" spans="1:18" ht="39.75" customHeight="1" x14ac:dyDescent="0.25">
      <c r="A7" s="57">
        <v>5</v>
      </c>
      <c r="B7" s="80" t="s">
        <v>48</v>
      </c>
      <c r="C7" s="113" t="s">
        <v>517</v>
      </c>
      <c r="D7" s="58" t="s">
        <v>175</v>
      </c>
      <c r="E7" s="80" t="s">
        <v>188</v>
      </c>
      <c r="F7" s="59">
        <v>6</v>
      </c>
      <c r="G7" s="62" t="s">
        <v>189</v>
      </c>
      <c r="H7" s="59" t="s">
        <v>516</v>
      </c>
      <c r="I7" s="72" t="s">
        <v>44</v>
      </c>
      <c r="J7" s="61">
        <v>46238</v>
      </c>
      <c r="K7" s="83" t="s">
        <v>164</v>
      </c>
      <c r="L7" s="62" t="s">
        <v>319</v>
      </c>
      <c r="M7" s="59" t="s">
        <v>175</v>
      </c>
      <c r="N7" s="59" t="s">
        <v>175</v>
      </c>
      <c r="O7" s="203" t="s">
        <v>175</v>
      </c>
      <c r="P7" s="124" t="s">
        <v>66</v>
      </c>
      <c r="Q7" s="124" t="s">
        <v>66</v>
      </c>
      <c r="R7" s="67"/>
    </row>
    <row r="8" spans="1:18" ht="39.75" customHeight="1" x14ac:dyDescent="0.25">
      <c r="A8" s="57">
        <v>6</v>
      </c>
      <c r="B8" s="80" t="s">
        <v>48</v>
      </c>
      <c r="C8" s="113" t="s">
        <v>521</v>
      </c>
      <c r="D8" s="58"/>
      <c r="E8" s="59" t="s">
        <v>188</v>
      </c>
      <c r="F8" s="59">
        <v>6</v>
      </c>
      <c r="G8" s="62" t="s">
        <v>189</v>
      </c>
      <c r="H8" s="59" t="s">
        <v>522</v>
      </c>
      <c r="I8" s="72" t="s">
        <v>44</v>
      </c>
      <c r="J8" s="61">
        <v>46250</v>
      </c>
      <c r="K8" s="83" t="s">
        <v>164</v>
      </c>
      <c r="L8" s="62" t="s">
        <v>319</v>
      </c>
      <c r="M8" s="59"/>
      <c r="N8" s="59"/>
      <c r="O8" s="203"/>
      <c r="P8" s="59"/>
      <c r="Q8" s="124" t="s">
        <v>66</v>
      </c>
      <c r="R8" s="67"/>
    </row>
    <row r="9" spans="1:18" ht="39.75" customHeight="1" x14ac:dyDescent="0.25">
      <c r="A9" s="57"/>
      <c r="B9" s="58"/>
      <c r="C9" s="58"/>
      <c r="D9" s="58"/>
      <c r="E9" s="59"/>
      <c r="F9" s="59"/>
      <c r="G9" s="59"/>
      <c r="H9" s="59"/>
      <c r="I9" s="59"/>
      <c r="J9" s="61"/>
      <c r="K9" s="62"/>
      <c r="L9" s="62"/>
      <c r="M9" s="59"/>
      <c r="N9" s="59"/>
      <c r="O9" s="203"/>
      <c r="P9" s="59"/>
      <c r="Q9" s="124" t="s">
        <v>66</v>
      </c>
      <c r="R9" s="67"/>
    </row>
  </sheetData>
  <autoFilter ref="A2:R9" xr:uid="{00000000-0009-0000-0000-000000000000}"/>
  <mergeCells count="1">
    <mergeCell ref="A1:R1"/>
  </mergeCells>
  <phoneticPr fontId="4" type="noConversion"/>
  <hyperlinks>
    <hyperlink ref="C3" r:id="rId1" xr:uid="{74251834-C9D9-4590-8626-EAE2E4E38717}"/>
    <hyperlink ref="C4" r:id="rId2" xr:uid="{F38598EA-E4C3-41E1-B3FA-D15F87F07FCB}"/>
    <hyperlink ref="C5" r:id="rId3" xr:uid="{1B4DC5F5-0200-400A-9B8C-B748957748D6}"/>
  </hyperlinks>
  <printOptions horizontalCentered="1"/>
  <pageMargins left="0.25" right="0.25" top="0.25" bottom="0.25" header="0" footer="0"/>
  <pageSetup paperSize="8" scale="57" fitToHeight="0" orientation="landscape" r:id="rId4"/>
  <headerFooter>
    <oddFooter>&amp;Lby Ahmed Mohamed 
&amp;CPage (&amp;P of &amp;N)&amp;R&amp;D</oddFooter>
  </headerFooter>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0C683-17CF-4484-98C0-350AE2E2DBBE}">
  <sheetPr>
    <pageSetUpPr fitToPage="1"/>
  </sheetPr>
  <dimension ref="A1:S23"/>
  <sheetViews>
    <sheetView showGridLines="0" zoomScale="70" zoomScaleNormal="70" zoomScaleSheetLayoutView="55" workbookViewId="0">
      <pane ySplit="4" topLeftCell="A6" activePane="bottomLeft" state="frozen"/>
      <selection activeCell="Q1" sqref="Q1"/>
      <selection pane="bottomLeft" activeCell="O16" sqref="O16"/>
    </sheetView>
  </sheetViews>
  <sheetFormatPr defaultColWidth="9.140625" defaultRowHeight="12.75" x14ac:dyDescent="0.25"/>
  <cols>
    <col min="1" max="1" width="6.140625" style="33" customWidth="1"/>
    <col min="2" max="2" width="12.5703125" style="33" bestFit="1" customWidth="1"/>
    <col min="3" max="3" width="26.7109375" style="33" customWidth="1"/>
    <col min="4" max="4" width="13.85546875" style="33" customWidth="1"/>
    <col min="5" max="5" width="48.85546875" style="33" customWidth="1"/>
    <col min="6" max="7" width="17.140625" style="33" customWidth="1"/>
    <col min="8" max="8" width="60.7109375" style="37" customWidth="1"/>
    <col min="9" max="10" width="16.5703125" style="33" customWidth="1"/>
    <col min="11" max="11" width="13.7109375" style="33" customWidth="1"/>
    <col min="12" max="12" width="14.85546875" style="33" customWidth="1"/>
    <col min="13" max="13" width="20.140625" style="33" customWidth="1"/>
    <col min="14" max="15" width="26.5703125" style="33" customWidth="1"/>
    <col min="16" max="16" width="34.85546875" style="33" customWidth="1"/>
    <col min="17" max="17" width="34.85546875" style="33" hidden="1" customWidth="1"/>
    <col min="18" max="18" width="33" style="33" customWidth="1"/>
    <col min="19" max="16384" width="9.140625" style="33"/>
  </cols>
  <sheetData>
    <row r="1" spans="1:19" s="70" customFormat="1" ht="27.75" customHeight="1" x14ac:dyDescent="0.25">
      <c r="A1" s="218" t="s">
        <v>308</v>
      </c>
      <c r="B1" s="219"/>
      <c r="C1" s="219"/>
      <c r="D1" s="219"/>
      <c r="E1" s="219"/>
      <c r="F1" s="219"/>
      <c r="G1" s="219"/>
      <c r="H1" s="219"/>
      <c r="I1" s="219"/>
      <c r="J1" s="219"/>
      <c r="K1" s="219"/>
      <c r="L1" s="219"/>
      <c r="M1" s="219"/>
      <c r="N1" s="219"/>
      <c r="O1" s="219"/>
      <c r="P1" s="219"/>
      <c r="Q1" s="219"/>
      <c r="R1" s="219"/>
    </row>
    <row r="2" spans="1:19" s="49" customFormat="1" ht="18.75" customHeight="1" x14ac:dyDescent="0.25">
      <c r="A2" s="220"/>
      <c r="B2" s="221"/>
      <c r="C2" s="221"/>
      <c r="D2" s="221"/>
      <c r="E2" s="221"/>
      <c r="F2" s="221"/>
      <c r="G2" s="221"/>
      <c r="H2" s="221"/>
      <c r="I2" s="221"/>
      <c r="J2" s="221"/>
      <c r="K2" s="221"/>
      <c r="L2" s="221"/>
      <c r="M2" s="221"/>
      <c r="N2" s="221"/>
      <c r="O2" s="221"/>
      <c r="P2" s="221"/>
      <c r="Q2" s="221"/>
      <c r="R2" s="221"/>
    </row>
    <row r="3" spans="1:19" s="49" customFormat="1" ht="36" customHeight="1" thickBot="1" x14ac:dyDescent="0.3">
      <c r="A3" s="222"/>
      <c r="B3" s="223"/>
      <c r="C3" s="223"/>
      <c r="D3" s="223"/>
      <c r="E3" s="223"/>
      <c r="F3" s="223"/>
      <c r="G3" s="223"/>
      <c r="H3" s="223"/>
      <c r="I3" s="223"/>
      <c r="J3" s="223"/>
      <c r="K3" s="223"/>
      <c r="L3" s="223"/>
      <c r="M3" s="223"/>
      <c r="N3" s="223"/>
      <c r="O3" s="223"/>
      <c r="P3" s="223"/>
      <c r="Q3" s="223"/>
      <c r="R3" s="223"/>
    </row>
    <row r="4" spans="1:19" s="49" customFormat="1" ht="53.25" customHeight="1" thickBot="1" x14ac:dyDescent="0.3">
      <c r="A4" s="27" t="s">
        <v>32</v>
      </c>
      <c r="B4" s="28" t="s">
        <v>34</v>
      </c>
      <c r="C4" s="127" t="s">
        <v>41</v>
      </c>
      <c r="D4" s="28" t="s">
        <v>383</v>
      </c>
      <c r="E4" s="28" t="s">
        <v>35</v>
      </c>
      <c r="F4" s="28" t="s">
        <v>45</v>
      </c>
      <c r="G4" s="28" t="s">
        <v>46</v>
      </c>
      <c r="H4" s="29" t="s">
        <v>36</v>
      </c>
      <c r="I4" s="28" t="s">
        <v>38</v>
      </c>
      <c r="J4" s="28" t="s">
        <v>40</v>
      </c>
      <c r="K4" s="28" t="s">
        <v>37</v>
      </c>
      <c r="L4" s="28" t="s">
        <v>47</v>
      </c>
      <c r="M4" s="28" t="s">
        <v>39</v>
      </c>
      <c r="N4" s="39" t="s">
        <v>39</v>
      </c>
      <c r="O4" s="91" t="s">
        <v>484</v>
      </c>
      <c r="P4" s="137" t="s">
        <v>315</v>
      </c>
      <c r="Q4" s="101" t="s">
        <v>509</v>
      </c>
      <c r="R4" s="90" t="s">
        <v>20</v>
      </c>
      <c r="S4" s="92"/>
    </row>
    <row r="5" spans="1:19" s="49" customFormat="1" ht="55.5" customHeight="1" x14ac:dyDescent="0.25">
      <c r="A5" s="103">
        <v>1</v>
      </c>
      <c r="B5" s="104" t="s">
        <v>48</v>
      </c>
      <c r="C5" s="113" t="s">
        <v>73</v>
      </c>
      <c r="D5" s="104">
        <v>1</v>
      </c>
      <c r="E5" s="105" t="s">
        <v>149</v>
      </c>
      <c r="F5" s="105">
        <v>2</v>
      </c>
      <c r="G5" s="106" t="s">
        <v>97</v>
      </c>
      <c r="H5" s="107" t="s">
        <v>96</v>
      </c>
      <c r="I5" s="105" t="s">
        <v>75</v>
      </c>
      <c r="J5" s="108">
        <v>45727</v>
      </c>
      <c r="K5" s="109" t="s">
        <v>98</v>
      </c>
      <c r="L5" s="109" t="s">
        <v>158</v>
      </c>
      <c r="M5" s="107" t="s">
        <v>78</v>
      </c>
      <c r="N5" s="129" t="s">
        <v>78</v>
      </c>
      <c r="O5" s="133" t="s">
        <v>477</v>
      </c>
      <c r="P5" s="141" t="s">
        <v>66</v>
      </c>
      <c r="Q5" s="191" t="s">
        <v>510</v>
      </c>
      <c r="R5" s="110"/>
      <c r="S5" s="92"/>
    </row>
    <row r="6" spans="1:19" s="49" customFormat="1" ht="45" customHeight="1" x14ac:dyDescent="0.25">
      <c r="A6" s="42">
        <v>2</v>
      </c>
      <c r="B6" s="35" t="s">
        <v>48</v>
      </c>
      <c r="C6" s="113" t="s">
        <v>74</v>
      </c>
      <c r="D6" s="35">
        <v>1</v>
      </c>
      <c r="E6" s="49" t="s">
        <v>448</v>
      </c>
      <c r="F6" s="35">
        <v>5</v>
      </c>
      <c r="G6" s="45" t="s">
        <v>116</v>
      </c>
      <c r="H6" s="31" t="s">
        <v>132</v>
      </c>
      <c r="I6" s="30" t="s">
        <v>75</v>
      </c>
      <c r="J6" s="30" t="s">
        <v>133</v>
      </c>
      <c r="K6" s="52" t="s">
        <v>98</v>
      </c>
      <c r="L6" s="52" t="s">
        <v>158</v>
      </c>
      <c r="M6" s="36" t="s">
        <v>78</v>
      </c>
      <c r="N6" s="149" t="s">
        <v>175</v>
      </c>
      <c r="O6" s="133" t="s">
        <v>477</v>
      </c>
      <c r="P6" s="128" t="s">
        <v>66</v>
      </c>
      <c r="Q6" s="191" t="s">
        <v>510</v>
      </c>
      <c r="R6" s="32"/>
      <c r="S6" s="92"/>
    </row>
    <row r="7" spans="1:19" s="68" customFormat="1" ht="45" customHeight="1" x14ac:dyDescent="0.25">
      <c r="A7" s="42">
        <v>3</v>
      </c>
      <c r="B7" s="35" t="s">
        <v>48</v>
      </c>
      <c r="C7" s="113" t="s">
        <v>147</v>
      </c>
      <c r="D7" s="35">
        <v>1</v>
      </c>
      <c r="E7" s="49" t="s">
        <v>146</v>
      </c>
      <c r="F7" s="35">
        <v>4</v>
      </c>
      <c r="G7" s="36" t="s">
        <v>100</v>
      </c>
      <c r="H7" s="31" t="s">
        <v>148</v>
      </c>
      <c r="I7" s="30" t="s">
        <v>75</v>
      </c>
      <c r="J7" s="51">
        <v>46116</v>
      </c>
      <c r="K7" s="52" t="s">
        <v>109</v>
      </c>
      <c r="L7" s="52" t="s">
        <v>158</v>
      </c>
      <c r="M7" s="36" t="s">
        <v>78</v>
      </c>
      <c r="N7" s="149" t="s">
        <v>175</v>
      </c>
      <c r="O7" s="133" t="s">
        <v>477</v>
      </c>
      <c r="P7" s="128" t="s">
        <v>66</v>
      </c>
      <c r="Q7" s="191" t="s">
        <v>510</v>
      </c>
      <c r="R7" s="32"/>
      <c r="S7" s="102"/>
    </row>
    <row r="8" spans="1:19" ht="45" customHeight="1" x14ac:dyDescent="0.25">
      <c r="A8" s="42">
        <v>4</v>
      </c>
      <c r="B8" s="35" t="s">
        <v>48</v>
      </c>
      <c r="C8" s="113" t="s">
        <v>419</v>
      </c>
      <c r="D8" s="35" t="s">
        <v>175</v>
      </c>
      <c r="E8" s="49" t="s">
        <v>430</v>
      </c>
      <c r="F8" s="35">
        <v>6</v>
      </c>
      <c r="G8" s="35" t="s">
        <v>425</v>
      </c>
      <c r="H8" s="31" t="s">
        <v>431</v>
      </c>
      <c r="I8" s="30" t="s">
        <v>75</v>
      </c>
      <c r="J8" s="51">
        <v>46189</v>
      </c>
      <c r="K8" s="35" t="s">
        <v>423</v>
      </c>
      <c r="L8" s="35" t="s">
        <v>422</v>
      </c>
      <c r="M8" s="149" t="s">
        <v>175</v>
      </c>
      <c r="N8" s="149" t="s">
        <v>175</v>
      </c>
      <c r="O8" s="146" t="s">
        <v>483</v>
      </c>
      <c r="P8" s="128" t="s">
        <v>66</v>
      </c>
      <c r="Q8" s="191" t="s">
        <v>510</v>
      </c>
      <c r="R8" s="32"/>
    </row>
    <row r="9" spans="1:19" ht="45" customHeight="1" x14ac:dyDescent="0.25">
      <c r="A9" s="42">
        <v>5</v>
      </c>
      <c r="B9" s="35" t="s">
        <v>48</v>
      </c>
      <c r="C9" s="113" t="s">
        <v>428</v>
      </c>
      <c r="D9" s="35" t="s">
        <v>175</v>
      </c>
      <c r="E9" s="49" t="s">
        <v>432</v>
      </c>
      <c r="F9" s="35">
        <v>6</v>
      </c>
      <c r="G9" s="35" t="s">
        <v>425</v>
      </c>
      <c r="H9" s="31" t="s">
        <v>433</v>
      </c>
      <c r="I9" s="30" t="s">
        <v>75</v>
      </c>
      <c r="J9" s="51">
        <v>46189</v>
      </c>
      <c r="K9" s="35" t="s">
        <v>423</v>
      </c>
      <c r="L9" s="35" t="s">
        <v>422</v>
      </c>
      <c r="M9" s="149" t="s">
        <v>175</v>
      </c>
      <c r="N9" s="149" t="s">
        <v>175</v>
      </c>
      <c r="O9" s="146" t="s">
        <v>483</v>
      </c>
      <c r="P9" s="128" t="s">
        <v>66</v>
      </c>
      <c r="Q9" s="191" t="s">
        <v>510</v>
      </c>
      <c r="R9" s="32"/>
    </row>
    <row r="10" spans="1:19" ht="45" customHeight="1" x14ac:dyDescent="0.25">
      <c r="A10" s="42">
        <v>6</v>
      </c>
      <c r="B10" s="35" t="s">
        <v>48</v>
      </c>
      <c r="C10" s="113" t="s">
        <v>429</v>
      </c>
      <c r="D10" s="35" t="s">
        <v>175</v>
      </c>
      <c r="E10" s="49" t="s">
        <v>434</v>
      </c>
      <c r="F10" s="35">
        <v>7</v>
      </c>
      <c r="G10" s="35" t="s">
        <v>189</v>
      </c>
      <c r="H10" s="50" t="s">
        <v>435</v>
      </c>
      <c r="I10" s="30" t="s">
        <v>75</v>
      </c>
      <c r="J10" s="51">
        <v>46189</v>
      </c>
      <c r="K10" s="35" t="s">
        <v>423</v>
      </c>
      <c r="L10" s="35" t="s">
        <v>422</v>
      </c>
      <c r="M10" s="149" t="s">
        <v>175</v>
      </c>
      <c r="N10" s="149" t="s">
        <v>175</v>
      </c>
      <c r="O10" s="146" t="s">
        <v>483</v>
      </c>
      <c r="P10" s="128" t="s">
        <v>66</v>
      </c>
      <c r="Q10" s="191" t="s">
        <v>510</v>
      </c>
      <c r="R10" s="32"/>
    </row>
    <row r="11" spans="1:19" ht="45" customHeight="1" x14ac:dyDescent="0.25">
      <c r="A11" s="42">
        <v>7</v>
      </c>
      <c r="B11" s="35" t="s">
        <v>48</v>
      </c>
      <c r="C11" s="113" t="s">
        <v>450</v>
      </c>
      <c r="D11" s="35" t="s">
        <v>175</v>
      </c>
      <c r="E11" s="49" t="s">
        <v>448</v>
      </c>
      <c r="F11" s="35">
        <v>7</v>
      </c>
      <c r="G11" s="35" t="s">
        <v>425</v>
      </c>
      <c r="H11" s="31" t="s">
        <v>470</v>
      </c>
      <c r="I11" s="30" t="s">
        <v>75</v>
      </c>
      <c r="J11" s="51">
        <v>46195</v>
      </c>
      <c r="K11" s="35" t="s">
        <v>423</v>
      </c>
      <c r="L11" s="35" t="s">
        <v>422</v>
      </c>
      <c r="M11" s="149" t="s">
        <v>175</v>
      </c>
      <c r="N11" s="149" t="s">
        <v>175</v>
      </c>
      <c r="O11" s="146" t="s">
        <v>483</v>
      </c>
      <c r="P11" s="128" t="s">
        <v>66</v>
      </c>
      <c r="Q11" s="191" t="s">
        <v>510</v>
      </c>
      <c r="R11" s="32"/>
    </row>
    <row r="12" spans="1:19" ht="45" customHeight="1" x14ac:dyDescent="0.25">
      <c r="A12" s="42">
        <v>8</v>
      </c>
      <c r="B12" s="35" t="s">
        <v>48</v>
      </c>
      <c r="C12" s="183" t="s">
        <v>451</v>
      </c>
      <c r="D12" s="35" t="s">
        <v>175</v>
      </c>
      <c r="E12" s="35" t="s">
        <v>432</v>
      </c>
      <c r="F12" s="35">
        <v>6</v>
      </c>
      <c r="G12" s="35" t="s">
        <v>425</v>
      </c>
      <c r="H12" s="31" t="s">
        <v>433</v>
      </c>
      <c r="I12" s="30" t="s">
        <v>75</v>
      </c>
      <c r="J12" s="51">
        <v>46195</v>
      </c>
      <c r="K12" s="35" t="s">
        <v>423</v>
      </c>
      <c r="L12" s="35" t="s">
        <v>422</v>
      </c>
      <c r="M12" s="149" t="s">
        <v>175</v>
      </c>
      <c r="N12" s="149" t="s">
        <v>175</v>
      </c>
      <c r="O12" s="146" t="s">
        <v>483</v>
      </c>
      <c r="P12" s="128" t="s">
        <v>66</v>
      </c>
      <c r="Q12" s="191" t="s">
        <v>510</v>
      </c>
      <c r="R12" s="32"/>
    </row>
    <row r="13" spans="1:19" ht="45" customHeight="1" x14ac:dyDescent="0.25">
      <c r="A13" s="42">
        <v>9</v>
      </c>
      <c r="B13" s="35" t="s">
        <v>48</v>
      </c>
      <c r="C13" s="183" t="s">
        <v>449</v>
      </c>
      <c r="D13" s="35" t="s">
        <v>175</v>
      </c>
      <c r="E13" s="35" t="s">
        <v>430</v>
      </c>
      <c r="F13" s="35">
        <v>6</v>
      </c>
      <c r="G13" s="35" t="s">
        <v>425</v>
      </c>
      <c r="H13" s="31" t="s">
        <v>433</v>
      </c>
      <c r="I13" s="30" t="s">
        <v>75</v>
      </c>
      <c r="J13" s="51">
        <v>46195</v>
      </c>
      <c r="K13" s="35" t="s">
        <v>423</v>
      </c>
      <c r="L13" s="35" t="s">
        <v>422</v>
      </c>
      <c r="M13" s="149" t="s">
        <v>175</v>
      </c>
      <c r="N13" s="149" t="s">
        <v>175</v>
      </c>
      <c r="O13" s="146" t="s">
        <v>483</v>
      </c>
      <c r="P13" s="128" t="s">
        <v>66</v>
      </c>
      <c r="Q13" s="191" t="s">
        <v>510</v>
      </c>
      <c r="R13" s="32"/>
    </row>
    <row r="14" spans="1:19" ht="45" customHeight="1" x14ac:dyDescent="0.25">
      <c r="A14" s="42">
        <v>10</v>
      </c>
      <c r="B14" s="35" t="s">
        <v>48</v>
      </c>
      <c r="C14" s="113" t="s">
        <v>452</v>
      </c>
      <c r="D14" s="35" t="s">
        <v>175</v>
      </c>
      <c r="E14" s="35" t="s">
        <v>146</v>
      </c>
      <c r="F14" s="35">
        <v>6</v>
      </c>
      <c r="G14" s="35" t="s">
        <v>425</v>
      </c>
      <c r="H14" s="31" t="s">
        <v>433</v>
      </c>
      <c r="I14" s="30" t="s">
        <v>75</v>
      </c>
      <c r="J14" s="51">
        <v>46195</v>
      </c>
      <c r="K14" s="35" t="s">
        <v>423</v>
      </c>
      <c r="L14" s="35" t="s">
        <v>422</v>
      </c>
      <c r="M14" s="149" t="s">
        <v>175</v>
      </c>
      <c r="N14" s="149" t="s">
        <v>175</v>
      </c>
      <c r="O14" s="146" t="s">
        <v>483</v>
      </c>
      <c r="P14" s="128" t="s">
        <v>66</v>
      </c>
      <c r="Q14" s="191" t="s">
        <v>510</v>
      </c>
      <c r="R14" s="32"/>
    </row>
    <row r="15" spans="1:19" ht="45" customHeight="1" x14ac:dyDescent="0.25">
      <c r="A15" s="42">
        <v>11</v>
      </c>
      <c r="B15" s="35" t="s">
        <v>48</v>
      </c>
      <c r="C15" s="113" t="s">
        <v>494</v>
      </c>
      <c r="D15" s="35" t="s">
        <v>175</v>
      </c>
      <c r="E15" s="35"/>
      <c r="F15" s="35"/>
      <c r="G15" s="35"/>
      <c r="H15" s="31"/>
      <c r="I15" s="30"/>
      <c r="J15" s="51"/>
      <c r="K15" s="35"/>
      <c r="L15" s="35"/>
      <c r="M15" s="149"/>
      <c r="N15" s="149"/>
      <c r="O15" s="35"/>
      <c r="P15" s="128" t="s">
        <v>66</v>
      </c>
      <c r="Q15" s="191" t="s">
        <v>510</v>
      </c>
      <c r="R15" s="32"/>
    </row>
    <row r="16" spans="1:19" ht="45" customHeight="1" x14ac:dyDescent="0.25">
      <c r="A16" s="42">
        <v>12</v>
      </c>
      <c r="B16" s="35" t="s">
        <v>48</v>
      </c>
      <c r="C16" s="113" t="s">
        <v>495</v>
      </c>
      <c r="D16" s="35" t="s">
        <v>175</v>
      </c>
      <c r="E16" s="35" t="s">
        <v>493</v>
      </c>
      <c r="F16" s="35">
        <v>1</v>
      </c>
      <c r="G16" s="35" t="s">
        <v>425</v>
      </c>
      <c r="H16" s="50" t="s">
        <v>511</v>
      </c>
      <c r="I16" s="30" t="s">
        <v>75</v>
      </c>
      <c r="J16" s="51">
        <v>46222</v>
      </c>
      <c r="K16" s="52" t="s">
        <v>109</v>
      </c>
      <c r="L16" s="52" t="s">
        <v>158</v>
      </c>
      <c r="M16" s="149" t="s">
        <v>175</v>
      </c>
      <c r="N16" s="149" t="s">
        <v>175</v>
      </c>
      <c r="O16" s="146" t="s">
        <v>483</v>
      </c>
      <c r="P16" s="128" t="s">
        <v>66</v>
      </c>
      <c r="Q16" s="191" t="s">
        <v>510</v>
      </c>
      <c r="R16" s="32"/>
    </row>
    <row r="17" spans="1:18" ht="45" customHeight="1" x14ac:dyDescent="0.25">
      <c r="A17" s="42">
        <v>13</v>
      </c>
      <c r="B17" s="35" t="s">
        <v>48</v>
      </c>
      <c r="C17" s="113" t="s">
        <v>496</v>
      </c>
      <c r="D17" s="35" t="s">
        <v>175</v>
      </c>
      <c r="E17" s="35"/>
      <c r="F17" s="35"/>
      <c r="G17" s="35"/>
      <c r="H17" s="31"/>
      <c r="I17" s="30"/>
      <c r="J17" s="51"/>
      <c r="K17" s="35"/>
      <c r="L17" s="35"/>
      <c r="M17" s="149"/>
      <c r="N17" s="149"/>
      <c r="O17" s="35"/>
      <c r="P17" s="128" t="s">
        <v>66</v>
      </c>
      <c r="Q17" s="191" t="s">
        <v>510</v>
      </c>
      <c r="R17" s="32"/>
    </row>
    <row r="18" spans="1:18" ht="45" customHeight="1" x14ac:dyDescent="0.25">
      <c r="A18" s="42">
        <v>14</v>
      </c>
      <c r="B18" s="35" t="s">
        <v>48</v>
      </c>
      <c r="C18" s="113" t="s">
        <v>497</v>
      </c>
      <c r="D18" s="35" t="s">
        <v>175</v>
      </c>
      <c r="E18" s="35"/>
      <c r="F18" s="35"/>
      <c r="G18" s="35"/>
      <c r="H18" s="31"/>
      <c r="I18" s="30"/>
      <c r="J18" s="51"/>
      <c r="K18" s="35"/>
      <c r="L18" s="35"/>
      <c r="M18" s="149"/>
      <c r="N18" s="149"/>
      <c r="O18" s="35"/>
      <c r="P18" s="128" t="s">
        <v>66</v>
      </c>
      <c r="Q18" s="191" t="s">
        <v>510</v>
      </c>
      <c r="R18" s="32"/>
    </row>
    <row r="19" spans="1:18" ht="45" customHeight="1" x14ac:dyDescent="0.25">
      <c r="A19" s="42"/>
      <c r="B19" s="35"/>
      <c r="C19" s="35"/>
      <c r="D19" s="35"/>
      <c r="E19" s="35"/>
      <c r="F19" s="35"/>
      <c r="G19" s="35"/>
      <c r="H19" s="31"/>
      <c r="I19" s="30"/>
      <c r="J19" s="30"/>
      <c r="K19" s="35"/>
      <c r="L19" s="35"/>
      <c r="M19" s="35"/>
      <c r="N19" s="41"/>
      <c r="O19" s="35"/>
      <c r="P19" s="71"/>
      <c r="Q19" s="192"/>
      <c r="R19" s="32"/>
    </row>
    <row r="20" spans="1:18" ht="45" customHeight="1" x14ac:dyDescent="0.25">
      <c r="A20" s="42"/>
      <c r="B20" s="35"/>
      <c r="C20" s="35"/>
      <c r="D20" s="35"/>
      <c r="E20" s="35"/>
      <c r="F20" s="35"/>
      <c r="G20" s="35"/>
      <c r="H20" s="31"/>
      <c r="I20" s="30"/>
      <c r="J20" s="30"/>
      <c r="K20" s="35"/>
      <c r="L20" s="35"/>
      <c r="M20" s="35"/>
      <c r="N20" s="41"/>
      <c r="O20" s="35"/>
      <c r="P20" s="71"/>
      <c r="Q20" s="192"/>
      <c r="R20" s="32"/>
    </row>
    <row r="21" spans="1:18" ht="45" customHeight="1" x14ac:dyDescent="0.25">
      <c r="A21" s="42"/>
      <c r="B21" s="35"/>
      <c r="C21" s="35"/>
      <c r="D21" s="35"/>
      <c r="E21" s="35"/>
      <c r="F21" s="35"/>
      <c r="G21" s="35"/>
      <c r="H21" s="31"/>
      <c r="I21" s="30"/>
      <c r="J21" s="30"/>
      <c r="K21" s="35"/>
      <c r="L21" s="35"/>
      <c r="M21" s="35"/>
      <c r="N21" s="41"/>
      <c r="O21" s="35"/>
      <c r="P21" s="71"/>
      <c r="Q21" s="192"/>
      <c r="R21" s="32"/>
    </row>
    <row r="22" spans="1:18" ht="45" customHeight="1" x14ac:dyDescent="0.25">
      <c r="A22" s="42"/>
      <c r="B22" s="35"/>
      <c r="C22" s="35"/>
      <c r="D22" s="35"/>
      <c r="E22" s="35"/>
      <c r="F22" s="35"/>
      <c r="G22" s="35"/>
      <c r="H22" s="31"/>
      <c r="I22" s="30"/>
      <c r="J22" s="30"/>
      <c r="K22" s="35"/>
      <c r="L22" s="35"/>
      <c r="M22" s="35"/>
      <c r="N22" s="41"/>
      <c r="O22" s="35"/>
      <c r="P22" s="71"/>
      <c r="Q22" s="192"/>
      <c r="R22" s="32"/>
    </row>
    <row r="23" spans="1:18" ht="45" customHeight="1" x14ac:dyDescent="0.25">
      <c r="A23" s="42"/>
      <c r="B23" s="35"/>
      <c r="C23" s="35"/>
      <c r="D23" s="35"/>
      <c r="E23" s="35"/>
      <c r="F23" s="35"/>
      <c r="G23" s="35"/>
      <c r="H23" s="31"/>
      <c r="I23" s="30"/>
      <c r="J23" s="30"/>
      <c r="K23" s="35"/>
      <c r="L23" s="35"/>
      <c r="M23" s="35"/>
      <c r="N23" s="41"/>
      <c r="O23" s="35"/>
      <c r="P23" s="71"/>
      <c r="Q23" s="192"/>
      <c r="R23" s="32"/>
    </row>
  </sheetData>
  <autoFilter ref="A4:R17" xr:uid="{00000000-0009-0000-0000-000000000000}"/>
  <mergeCells count="1">
    <mergeCell ref="A1:R3"/>
  </mergeCells>
  <phoneticPr fontId="4" type="noConversion"/>
  <printOptions horizontalCentered="1"/>
  <pageMargins left="0.25" right="0.25" top="0.25" bottom="0.25" header="0" footer="0"/>
  <pageSetup paperSize="8" scale="52" fitToHeight="0" orientation="landscape" r:id="rId1"/>
  <headerFooter>
    <oddFooter>&amp;Lby Ahmed Mohamed 
&amp;CPage (&amp;P of &amp;N)&amp;R&amp;D</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58986-DBB3-43C2-AA27-8F6502422344}">
  <sheetPr>
    <pageSetUpPr fitToPage="1"/>
  </sheetPr>
  <dimension ref="A1:Q7"/>
  <sheetViews>
    <sheetView showGridLines="0" topLeftCell="E1" zoomScale="85" zoomScaleNormal="85" zoomScaleSheetLayoutView="55" workbookViewId="0">
      <pane ySplit="4" topLeftCell="A5" activePane="bottomLeft" state="frozen"/>
      <selection activeCell="F3" sqref="F3:G4"/>
      <selection pane="bottomLeft" activeCell="E37" sqref="E37"/>
    </sheetView>
  </sheetViews>
  <sheetFormatPr defaultColWidth="9.140625" defaultRowHeight="12.75" x14ac:dyDescent="0.25"/>
  <cols>
    <col min="1" max="1" width="6.140625" style="33" customWidth="1"/>
    <col min="2" max="2" width="12.5703125" style="33" bestFit="1" customWidth="1"/>
    <col min="3" max="3" width="24" style="33" customWidth="1"/>
    <col min="4" max="4" width="13.85546875" style="33" customWidth="1"/>
    <col min="5" max="5" width="77.28515625" style="33" customWidth="1"/>
    <col min="6" max="7" width="17.140625" style="33" customWidth="1"/>
    <col min="8" max="8" width="60.7109375" style="37" customWidth="1"/>
    <col min="9" max="10" width="16.5703125" style="33" customWidth="1"/>
    <col min="11" max="11" width="13.7109375" style="33" customWidth="1"/>
    <col min="12" max="12" width="14.85546875" style="33" customWidth="1"/>
    <col min="13" max="13" width="20.140625" style="33" customWidth="1"/>
    <col min="14" max="14" width="26.5703125" style="33" customWidth="1"/>
    <col min="15" max="15" width="34.85546875" style="33" customWidth="1"/>
    <col min="16" max="16" width="33" style="33" customWidth="1"/>
    <col min="17" max="16384" width="9.140625" style="33"/>
  </cols>
  <sheetData>
    <row r="1" spans="1:17" s="70" customFormat="1" ht="27.75" customHeight="1" x14ac:dyDescent="0.25">
      <c r="A1" s="218" t="s">
        <v>308</v>
      </c>
      <c r="B1" s="219"/>
      <c r="C1" s="219"/>
      <c r="D1" s="219"/>
      <c r="E1" s="219"/>
      <c r="F1" s="219"/>
      <c r="G1" s="219"/>
      <c r="H1" s="219"/>
      <c r="I1" s="219"/>
      <c r="J1" s="219"/>
      <c r="K1" s="219"/>
      <c r="L1" s="219"/>
      <c r="M1" s="219"/>
      <c r="N1" s="219"/>
      <c r="O1" s="219"/>
      <c r="P1" s="219"/>
    </row>
    <row r="2" spans="1:17" s="49" customFormat="1" ht="18.75" customHeight="1" x14ac:dyDescent="0.25">
      <c r="A2" s="220"/>
      <c r="B2" s="221"/>
      <c r="C2" s="221"/>
      <c r="D2" s="221"/>
      <c r="E2" s="221"/>
      <c r="F2" s="221"/>
      <c r="G2" s="221"/>
      <c r="H2" s="221"/>
      <c r="I2" s="221"/>
      <c r="J2" s="221"/>
      <c r="K2" s="221"/>
      <c r="L2" s="221"/>
      <c r="M2" s="221"/>
      <c r="N2" s="221"/>
      <c r="O2" s="221"/>
      <c r="P2" s="221"/>
    </row>
    <row r="3" spans="1:17" s="49" customFormat="1" ht="22.5" customHeight="1" thickBot="1" x14ac:dyDescent="0.3">
      <c r="A3" s="222"/>
      <c r="B3" s="223"/>
      <c r="C3" s="223"/>
      <c r="D3" s="223"/>
      <c r="E3" s="223"/>
      <c r="F3" s="223"/>
      <c r="G3" s="223"/>
      <c r="H3" s="223"/>
      <c r="I3" s="223"/>
      <c r="J3" s="223"/>
      <c r="K3" s="223"/>
      <c r="L3" s="223"/>
      <c r="M3" s="223"/>
      <c r="N3" s="223"/>
      <c r="O3" s="223"/>
      <c r="P3" s="223"/>
    </row>
    <row r="4" spans="1:17" s="49" customFormat="1" ht="53.25" customHeight="1" thickBot="1" x14ac:dyDescent="0.3">
      <c r="A4" s="27" t="s">
        <v>32</v>
      </c>
      <c r="B4" s="28" t="s">
        <v>34</v>
      </c>
      <c r="C4" s="127" t="s">
        <v>41</v>
      </c>
      <c r="D4" s="28" t="s">
        <v>383</v>
      </c>
      <c r="E4" s="28" t="s">
        <v>35</v>
      </c>
      <c r="F4" s="28" t="s">
        <v>45</v>
      </c>
      <c r="G4" s="28" t="s">
        <v>46</v>
      </c>
      <c r="H4" s="29" t="s">
        <v>36</v>
      </c>
      <c r="I4" s="28" t="s">
        <v>38</v>
      </c>
      <c r="J4" s="28" t="s">
        <v>40</v>
      </c>
      <c r="K4" s="28" t="s">
        <v>37</v>
      </c>
      <c r="L4" s="28" t="s">
        <v>47</v>
      </c>
      <c r="M4" s="28" t="s">
        <v>39</v>
      </c>
      <c r="N4" s="39" t="s">
        <v>39</v>
      </c>
      <c r="O4" s="101" t="s">
        <v>315</v>
      </c>
      <c r="P4" s="90" t="s">
        <v>20</v>
      </c>
      <c r="Q4" s="92"/>
    </row>
    <row r="5" spans="1:17" s="49" customFormat="1" ht="45" customHeight="1" x14ac:dyDescent="0.25">
      <c r="A5" s="42">
        <v>1</v>
      </c>
      <c r="B5" s="35" t="s">
        <v>48</v>
      </c>
      <c r="C5" s="113" t="s">
        <v>137</v>
      </c>
      <c r="D5" s="35">
        <v>1</v>
      </c>
      <c r="E5" s="49" t="s">
        <v>136</v>
      </c>
      <c r="F5" s="35">
        <v>4</v>
      </c>
      <c r="G5" s="36" t="s">
        <v>135</v>
      </c>
      <c r="H5" s="31" t="s">
        <v>134</v>
      </c>
      <c r="I5" s="30" t="s">
        <v>138</v>
      </c>
      <c r="J5" s="30" t="s">
        <v>133</v>
      </c>
      <c r="K5" s="52" t="s">
        <v>98</v>
      </c>
      <c r="L5" s="52" t="s">
        <v>158</v>
      </c>
      <c r="M5" s="36" t="s">
        <v>78</v>
      </c>
      <c r="N5" s="41"/>
      <c r="O5" s="96" t="s">
        <v>66</v>
      </c>
      <c r="P5" s="32"/>
      <c r="Q5" s="92"/>
    </row>
    <row r="6" spans="1:17" ht="45" customHeight="1" x14ac:dyDescent="0.25">
      <c r="A6" s="42"/>
      <c r="B6" s="35"/>
      <c r="C6" s="35"/>
      <c r="D6" s="35"/>
      <c r="E6" s="35"/>
      <c r="F6" s="35"/>
      <c r="G6" s="35"/>
      <c r="H6" s="31"/>
      <c r="I6" s="30"/>
      <c r="J6" s="30"/>
      <c r="K6" s="35"/>
      <c r="L6" s="35"/>
      <c r="M6" s="35"/>
      <c r="N6" s="41"/>
      <c r="O6" s="42"/>
      <c r="P6" s="32"/>
    </row>
    <row r="7" spans="1:17" ht="45" customHeight="1" x14ac:dyDescent="0.25">
      <c r="A7" s="42"/>
      <c r="B7" s="35"/>
      <c r="C7" s="35"/>
      <c r="D7" s="35"/>
      <c r="E7" s="35"/>
      <c r="F7" s="35"/>
      <c r="G7" s="35"/>
      <c r="H7" s="31"/>
      <c r="I7" s="30"/>
      <c r="J7" s="30"/>
      <c r="K7" s="35"/>
      <c r="L7" s="35"/>
      <c r="M7" s="35"/>
      <c r="N7" s="41"/>
      <c r="O7" s="42"/>
      <c r="P7" s="32"/>
    </row>
  </sheetData>
  <autoFilter ref="A4:P7" xr:uid="{00000000-0009-0000-0000-000000000000}"/>
  <mergeCells count="1">
    <mergeCell ref="A1:P3"/>
  </mergeCells>
  <conditionalFormatting sqref="M6:O7 N5">
    <cfRule type="duplicateValues" dxfId="2" priority="9029"/>
  </conditionalFormatting>
  <printOptions horizontalCentered="1"/>
  <pageMargins left="0.25" right="0.25" top="0.25" bottom="0.25" header="0" footer="0"/>
  <pageSetup paperSize="8" scale="52" fitToHeight="0" orientation="landscape" r:id="rId1"/>
  <headerFooter>
    <oddFooter>&amp;Lby Ahmed Mohamed 
&amp;CPage (&amp;P of &amp;N)&amp;R&amp;D</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3697E-AC88-4EAF-BC93-9C54C481ECE2}">
  <sheetPr>
    <pageSetUpPr fitToPage="1"/>
  </sheetPr>
  <dimension ref="A1:R22"/>
  <sheetViews>
    <sheetView showGridLines="0" topLeftCell="C1" zoomScale="70" zoomScaleNormal="70" zoomScaleSheetLayoutView="55" workbookViewId="0">
      <pane ySplit="4" topLeftCell="A9" activePane="bottomLeft" state="frozen"/>
      <selection activeCell="Q1" sqref="Q1"/>
      <selection pane="bottomLeft" activeCell="N13" sqref="N13"/>
    </sheetView>
  </sheetViews>
  <sheetFormatPr defaultColWidth="9.140625" defaultRowHeight="12.75" x14ac:dyDescent="0.25"/>
  <cols>
    <col min="1" max="1" width="6.140625" style="33" customWidth="1"/>
    <col min="2" max="2" width="12.5703125" style="33" bestFit="1" customWidth="1"/>
    <col min="3" max="3" width="24" style="33" customWidth="1"/>
    <col min="4" max="4" width="13.85546875" style="33" customWidth="1"/>
    <col min="5" max="5" width="53.85546875" style="33" customWidth="1"/>
    <col min="6" max="6" width="12.5703125" style="33" customWidth="1"/>
    <col min="7" max="7" width="17.140625" style="33" customWidth="1"/>
    <col min="8" max="8" width="60.7109375" style="37" customWidth="1"/>
    <col min="9" max="10" width="16.5703125" style="33" customWidth="1"/>
    <col min="11" max="11" width="13.7109375" style="33" customWidth="1"/>
    <col min="12" max="12" width="14.85546875" style="33" customWidth="1"/>
    <col min="13" max="13" width="20.140625" style="33" customWidth="1"/>
    <col min="14" max="15" width="26.5703125" style="33" customWidth="1"/>
    <col min="16" max="16" width="34.85546875" style="33" customWidth="1"/>
    <col min="17" max="17" width="33" style="33" customWidth="1"/>
    <col min="18" max="16384" width="9.140625" style="33"/>
  </cols>
  <sheetData>
    <row r="1" spans="1:18" s="70" customFormat="1" ht="27.75" customHeight="1" x14ac:dyDescent="0.25">
      <c r="A1" s="218" t="s">
        <v>308</v>
      </c>
      <c r="B1" s="219"/>
      <c r="C1" s="219"/>
      <c r="D1" s="219"/>
      <c r="E1" s="219"/>
      <c r="F1" s="219"/>
      <c r="G1" s="219"/>
      <c r="H1" s="219"/>
      <c r="I1" s="219"/>
      <c r="J1" s="219"/>
      <c r="K1" s="219"/>
      <c r="L1" s="219"/>
      <c r="M1" s="219"/>
      <c r="N1" s="219"/>
      <c r="O1" s="219"/>
      <c r="P1" s="219"/>
      <c r="Q1" s="219"/>
    </row>
    <row r="2" spans="1:18" s="49" customFormat="1" ht="18.75" customHeight="1" x14ac:dyDescent="0.25">
      <c r="A2" s="220"/>
      <c r="B2" s="221"/>
      <c r="C2" s="221"/>
      <c r="D2" s="221"/>
      <c r="E2" s="221"/>
      <c r="F2" s="221"/>
      <c r="G2" s="221"/>
      <c r="H2" s="221"/>
      <c r="I2" s="221"/>
      <c r="J2" s="221"/>
      <c r="K2" s="221"/>
      <c r="L2" s="221"/>
      <c r="M2" s="221"/>
      <c r="N2" s="221"/>
      <c r="O2" s="221"/>
      <c r="P2" s="221"/>
      <c r="Q2" s="221"/>
    </row>
    <row r="3" spans="1:18" s="49" customFormat="1" ht="33" customHeight="1" thickBot="1" x14ac:dyDescent="0.3">
      <c r="A3" s="222"/>
      <c r="B3" s="223"/>
      <c r="C3" s="223"/>
      <c r="D3" s="223"/>
      <c r="E3" s="223"/>
      <c r="F3" s="223"/>
      <c r="G3" s="223"/>
      <c r="H3" s="223"/>
      <c r="I3" s="223"/>
      <c r="J3" s="223"/>
      <c r="K3" s="223"/>
      <c r="L3" s="223"/>
      <c r="M3" s="223"/>
      <c r="N3" s="223"/>
      <c r="O3" s="223"/>
      <c r="P3" s="223"/>
      <c r="Q3" s="223"/>
    </row>
    <row r="4" spans="1:18" s="49" customFormat="1" ht="53.25" customHeight="1" thickBot="1" x14ac:dyDescent="0.3">
      <c r="A4" s="27" t="s">
        <v>32</v>
      </c>
      <c r="B4" s="28" t="s">
        <v>34</v>
      </c>
      <c r="C4" s="127" t="s">
        <v>41</v>
      </c>
      <c r="D4" s="28" t="s">
        <v>383</v>
      </c>
      <c r="E4" s="28" t="s">
        <v>35</v>
      </c>
      <c r="F4" s="28" t="s">
        <v>45</v>
      </c>
      <c r="G4" s="28" t="s">
        <v>46</v>
      </c>
      <c r="H4" s="29" t="s">
        <v>36</v>
      </c>
      <c r="I4" s="28" t="s">
        <v>38</v>
      </c>
      <c r="J4" s="28" t="s">
        <v>40</v>
      </c>
      <c r="K4" s="28" t="s">
        <v>37</v>
      </c>
      <c r="L4" s="28" t="s">
        <v>47</v>
      </c>
      <c r="M4" s="28" t="s">
        <v>39</v>
      </c>
      <c r="N4" s="39" t="s">
        <v>39</v>
      </c>
      <c r="O4" s="91" t="s">
        <v>480</v>
      </c>
      <c r="P4" s="137" t="s">
        <v>315</v>
      </c>
      <c r="Q4" s="90" t="s">
        <v>20</v>
      </c>
      <c r="R4" s="92"/>
    </row>
    <row r="5" spans="1:18" s="49" customFormat="1" ht="54.75" customHeight="1" x14ac:dyDescent="0.25">
      <c r="A5" s="42">
        <v>1</v>
      </c>
      <c r="B5" s="35" t="s">
        <v>48</v>
      </c>
      <c r="C5" s="113" t="s">
        <v>81</v>
      </c>
      <c r="D5" s="35">
        <v>1</v>
      </c>
      <c r="E5" s="36" t="s">
        <v>151</v>
      </c>
      <c r="F5" s="36">
        <v>6</v>
      </c>
      <c r="G5" s="45" t="s">
        <v>100</v>
      </c>
      <c r="H5" s="48" t="s">
        <v>99</v>
      </c>
      <c r="I5" s="36" t="s">
        <v>76</v>
      </c>
      <c r="J5" s="36" t="s">
        <v>101</v>
      </c>
      <c r="K5" s="52" t="s">
        <v>109</v>
      </c>
      <c r="L5" s="52" t="s">
        <v>158</v>
      </c>
      <c r="M5" s="36" t="s">
        <v>78</v>
      </c>
      <c r="N5" s="40" t="s">
        <v>79</v>
      </c>
      <c r="O5" s="133" t="s">
        <v>477</v>
      </c>
      <c r="P5" s="128" t="s">
        <v>66</v>
      </c>
      <c r="Q5" s="94"/>
      <c r="R5" s="92"/>
    </row>
    <row r="6" spans="1:18" s="49" customFormat="1" ht="87" customHeight="1" x14ac:dyDescent="0.25">
      <c r="A6" s="42">
        <v>2</v>
      </c>
      <c r="B6" s="35" t="s">
        <v>48</v>
      </c>
      <c r="C6" s="113" t="s">
        <v>82</v>
      </c>
      <c r="D6" s="35">
        <v>1</v>
      </c>
      <c r="E6" s="36" t="s">
        <v>152</v>
      </c>
      <c r="F6" s="36">
        <v>6</v>
      </c>
      <c r="G6" s="45" t="s">
        <v>100</v>
      </c>
      <c r="H6" s="36" t="s">
        <v>104</v>
      </c>
      <c r="I6" s="36" t="s">
        <v>76</v>
      </c>
      <c r="J6" s="36" t="s">
        <v>103</v>
      </c>
      <c r="K6" s="52" t="s">
        <v>109</v>
      </c>
      <c r="L6" s="52" t="s">
        <v>158</v>
      </c>
      <c r="M6" s="36" t="s">
        <v>78</v>
      </c>
      <c r="N6" s="40" t="s">
        <v>79</v>
      </c>
      <c r="O6" s="133" t="s">
        <v>477</v>
      </c>
      <c r="P6" s="128" t="s">
        <v>66</v>
      </c>
      <c r="Q6" s="95"/>
      <c r="R6" s="92"/>
    </row>
    <row r="7" spans="1:18" s="49" customFormat="1" ht="60.75" customHeight="1" x14ac:dyDescent="0.25">
      <c r="A7" s="42">
        <v>3</v>
      </c>
      <c r="B7" s="35" t="s">
        <v>48</v>
      </c>
      <c r="C7" s="113" t="s">
        <v>80</v>
      </c>
      <c r="D7" s="35">
        <v>1</v>
      </c>
      <c r="E7" s="36" t="s">
        <v>153</v>
      </c>
      <c r="F7" s="36">
        <v>6</v>
      </c>
      <c r="G7" s="45" t="s">
        <v>105</v>
      </c>
      <c r="H7" s="36" t="s">
        <v>106</v>
      </c>
      <c r="I7" s="36" t="s">
        <v>76</v>
      </c>
      <c r="J7" s="36" t="s">
        <v>107</v>
      </c>
      <c r="K7" s="52" t="s">
        <v>109</v>
      </c>
      <c r="L7" s="52" t="s">
        <v>158</v>
      </c>
      <c r="M7" s="36" t="s">
        <v>78</v>
      </c>
      <c r="N7" s="40" t="s">
        <v>79</v>
      </c>
      <c r="O7" s="133" t="s">
        <v>477</v>
      </c>
      <c r="P7" s="128" t="s">
        <v>66</v>
      </c>
      <c r="Q7" s="95"/>
      <c r="R7" s="92"/>
    </row>
    <row r="8" spans="1:18" s="49" customFormat="1" ht="69" customHeight="1" x14ac:dyDescent="0.25">
      <c r="A8" s="42">
        <v>4</v>
      </c>
      <c r="B8" s="35" t="s">
        <v>48</v>
      </c>
      <c r="C8" s="113" t="s">
        <v>83</v>
      </c>
      <c r="D8" s="35">
        <v>2</v>
      </c>
      <c r="E8" s="36" t="s">
        <v>153</v>
      </c>
      <c r="F8" s="36">
        <v>6</v>
      </c>
      <c r="G8" s="45" t="s">
        <v>105</v>
      </c>
      <c r="H8" s="36" t="s">
        <v>112</v>
      </c>
      <c r="I8" s="36" t="s">
        <v>76</v>
      </c>
      <c r="J8" s="47">
        <v>111769</v>
      </c>
      <c r="K8" s="52" t="s">
        <v>109</v>
      </c>
      <c r="L8" s="52" t="s">
        <v>158</v>
      </c>
      <c r="M8" s="36" t="s">
        <v>78</v>
      </c>
      <c r="N8" s="40" t="s">
        <v>175</v>
      </c>
      <c r="O8" s="133" t="s">
        <v>477</v>
      </c>
      <c r="P8" s="128" t="s">
        <v>66</v>
      </c>
      <c r="Q8" s="95"/>
      <c r="R8" s="92"/>
    </row>
    <row r="9" spans="1:18" s="49" customFormat="1" ht="45" customHeight="1" x14ac:dyDescent="0.25">
      <c r="A9" s="42">
        <v>5</v>
      </c>
      <c r="B9" s="35" t="s">
        <v>48</v>
      </c>
      <c r="C9" s="113" t="s">
        <v>84</v>
      </c>
      <c r="D9" s="35">
        <v>2</v>
      </c>
      <c r="E9" s="36" t="s">
        <v>152</v>
      </c>
      <c r="F9" s="36">
        <v>2</v>
      </c>
      <c r="G9" s="45" t="s">
        <v>116</v>
      </c>
      <c r="H9" s="36" t="s">
        <v>113</v>
      </c>
      <c r="I9" s="36" t="s">
        <v>76</v>
      </c>
      <c r="J9" s="47">
        <v>46026</v>
      </c>
      <c r="K9" s="52" t="s">
        <v>109</v>
      </c>
      <c r="L9" s="52" t="s">
        <v>158</v>
      </c>
      <c r="M9" s="36" t="s">
        <v>78</v>
      </c>
      <c r="N9" s="40" t="s">
        <v>175</v>
      </c>
      <c r="O9" s="133" t="s">
        <v>477</v>
      </c>
      <c r="P9" s="128" t="s">
        <v>66</v>
      </c>
      <c r="Q9" s="95"/>
      <c r="R9" s="92"/>
    </row>
    <row r="10" spans="1:18" s="49" customFormat="1" ht="45" customHeight="1" x14ac:dyDescent="0.25">
      <c r="A10" s="42">
        <v>6</v>
      </c>
      <c r="B10" s="35" t="s">
        <v>48</v>
      </c>
      <c r="C10" s="113" t="s">
        <v>85</v>
      </c>
      <c r="D10" s="35">
        <v>3</v>
      </c>
      <c r="E10" s="36" t="s">
        <v>152</v>
      </c>
      <c r="F10" s="36">
        <v>7</v>
      </c>
      <c r="G10" s="45" t="s">
        <v>116</v>
      </c>
      <c r="H10" s="36" t="s">
        <v>114</v>
      </c>
      <c r="I10" s="36" t="s">
        <v>76</v>
      </c>
      <c r="J10" s="47">
        <v>46026</v>
      </c>
      <c r="K10" s="52" t="s">
        <v>109</v>
      </c>
      <c r="L10" s="52" t="s">
        <v>158</v>
      </c>
      <c r="M10" s="36" t="s">
        <v>78</v>
      </c>
      <c r="N10" s="40" t="s">
        <v>175</v>
      </c>
      <c r="O10" s="133" t="s">
        <v>477</v>
      </c>
      <c r="P10" s="128" t="s">
        <v>66</v>
      </c>
      <c r="Q10" s="95"/>
      <c r="R10" s="92"/>
    </row>
    <row r="11" spans="1:18" s="49" customFormat="1" ht="45" customHeight="1" x14ac:dyDescent="0.25">
      <c r="A11" s="42">
        <v>7</v>
      </c>
      <c r="B11" s="35" t="s">
        <v>48</v>
      </c>
      <c r="C11" s="113" t="s">
        <v>86</v>
      </c>
      <c r="D11" s="35">
        <v>1</v>
      </c>
      <c r="E11" s="49" t="s">
        <v>156</v>
      </c>
      <c r="F11" s="35">
        <v>4</v>
      </c>
      <c r="G11" s="45" t="s">
        <v>116</v>
      </c>
      <c r="H11" s="50" t="s">
        <v>115</v>
      </c>
      <c r="I11" s="30" t="s">
        <v>76</v>
      </c>
      <c r="J11" s="47">
        <v>111769</v>
      </c>
      <c r="K11" s="52" t="s">
        <v>109</v>
      </c>
      <c r="L11" s="52" t="s">
        <v>158</v>
      </c>
      <c r="M11" s="36" t="s">
        <v>78</v>
      </c>
      <c r="N11" s="40" t="s">
        <v>175</v>
      </c>
      <c r="O11" s="133" t="s">
        <v>477</v>
      </c>
      <c r="P11" s="128" t="s">
        <v>66</v>
      </c>
      <c r="Q11" s="95"/>
      <c r="R11" s="92"/>
    </row>
    <row r="12" spans="1:18" s="49" customFormat="1" ht="45" customHeight="1" x14ac:dyDescent="0.25">
      <c r="A12" s="42">
        <v>8</v>
      </c>
      <c r="B12" s="35" t="s">
        <v>48</v>
      </c>
      <c r="C12" s="113" t="s">
        <v>87</v>
      </c>
      <c r="D12" s="35">
        <v>4</v>
      </c>
      <c r="E12" s="36" t="s">
        <v>152</v>
      </c>
      <c r="F12" s="35">
        <v>7</v>
      </c>
      <c r="G12" s="45" t="s">
        <v>116</v>
      </c>
      <c r="H12" s="31" t="s">
        <v>117</v>
      </c>
      <c r="I12" s="30" t="s">
        <v>76</v>
      </c>
      <c r="J12" s="47">
        <v>46026</v>
      </c>
      <c r="K12" s="52" t="s">
        <v>109</v>
      </c>
      <c r="L12" s="52" t="s">
        <v>158</v>
      </c>
      <c r="M12" s="36" t="s">
        <v>78</v>
      </c>
      <c r="N12" s="40" t="s">
        <v>175</v>
      </c>
      <c r="O12" s="133" t="s">
        <v>477</v>
      </c>
      <c r="P12" s="128" t="s">
        <v>66</v>
      </c>
      <c r="Q12" s="95"/>
      <c r="R12" s="92"/>
    </row>
    <row r="13" spans="1:18" s="49" customFormat="1" ht="52.5" customHeight="1" x14ac:dyDescent="0.25">
      <c r="A13" s="42">
        <v>9</v>
      </c>
      <c r="B13" s="35" t="s">
        <v>48</v>
      </c>
      <c r="C13" s="113" t="s">
        <v>88</v>
      </c>
      <c r="D13" s="35">
        <v>5</v>
      </c>
      <c r="E13" s="36" t="s">
        <v>152</v>
      </c>
      <c r="F13" s="35">
        <v>3</v>
      </c>
      <c r="G13" s="45" t="s">
        <v>116</v>
      </c>
      <c r="H13" s="50" t="s">
        <v>121</v>
      </c>
      <c r="I13" s="30" t="s">
        <v>76</v>
      </c>
      <c r="J13" s="47">
        <v>46026</v>
      </c>
      <c r="K13" s="52" t="s">
        <v>109</v>
      </c>
      <c r="L13" s="52" t="s">
        <v>158</v>
      </c>
      <c r="M13" s="36" t="s">
        <v>78</v>
      </c>
      <c r="N13" s="40" t="s">
        <v>175</v>
      </c>
      <c r="O13" s="133" t="s">
        <v>477</v>
      </c>
      <c r="P13" s="128" t="s">
        <v>66</v>
      </c>
      <c r="Q13" s="95"/>
      <c r="R13" s="92"/>
    </row>
    <row r="14" spans="1:18" s="49" customFormat="1" ht="60" customHeight="1" x14ac:dyDescent="0.25">
      <c r="A14" s="42">
        <v>10</v>
      </c>
      <c r="B14" s="35" t="s">
        <v>48</v>
      </c>
      <c r="C14" s="113" t="s">
        <v>89</v>
      </c>
      <c r="D14" s="35">
        <v>6</v>
      </c>
      <c r="E14" s="49" t="s">
        <v>152</v>
      </c>
      <c r="F14" s="35">
        <v>6</v>
      </c>
      <c r="G14" s="45" t="s">
        <v>116</v>
      </c>
      <c r="H14" s="50" t="s">
        <v>124</v>
      </c>
      <c r="I14" s="30" t="s">
        <v>76</v>
      </c>
      <c r="J14" s="47">
        <v>46026</v>
      </c>
      <c r="K14" s="52" t="s">
        <v>109</v>
      </c>
      <c r="L14" s="52" t="s">
        <v>158</v>
      </c>
      <c r="M14" s="36" t="s">
        <v>78</v>
      </c>
      <c r="N14" s="40" t="s">
        <v>175</v>
      </c>
      <c r="O14" s="133" t="s">
        <v>477</v>
      </c>
      <c r="P14" s="128" t="s">
        <v>66</v>
      </c>
      <c r="Q14" s="32"/>
      <c r="R14" s="92"/>
    </row>
    <row r="15" spans="1:18" s="49" customFormat="1" ht="45" customHeight="1" x14ac:dyDescent="0.25">
      <c r="A15" s="42">
        <v>11</v>
      </c>
      <c r="B15" s="35" t="s">
        <v>48</v>
      </c>
      <c r="C15" s="113" t="s">
        <v>90</v>
      </c>
      <c r="D15" s="35">
        <v>1</v>
      </c>
      <c r="E15" s="49" t="s">
        <v>126</v>
      </c>
      <c r="F15" s="35">
        <v>6</v>
      </c>
      <c r="G15" s="45" t="s">
        <v>116</v>
      </c>
      <c r="H15" s="50" t="s">
        <v>125</v>
      </c>
      <c r="I15" s="30" t="s">
        <v>76</v>
      </c>
      <c r="J15" s="47">
        <v>111769</v>
      </c>
      <c r="K15" s="52" t="s">
        <v>109</v>
      </c>
      <c r="L15" s="52" t="s">
        <v>158</v>
      </c>
      <c r="M15" s="36" t="s">
        <v>78</v>
      </c>
      <c r="N15" s="40" t="s">
        <v>175</v>
      </c>
      <c r="O15" s="133" t="s">
        <v>477</v>
      </c>
      <c r="P15" s="128" t="s">
        <v>66</v>
      </c>
      <c r="Q15" s="32"/>
      <c r="R15" s="92"/>
    </row>
    <row r="16" spans="1:18" s="49" customFormat="1" ht="45" customHeight="1" x14ac:dyDescent="0.25">
      <c r="A16" s="42">
        <v>12</v>
      </c>
      <c r="B16" s="35" t="s">
        <v>48</v>
      </c>
      <c r="C16" s="113" t="s">
        <v>91</v>
      </c>
      <c r="D16" s="35">
        <v>2</v>
      </c>
      <c r="E16" s="49" t="s">
        <v>156</v>
      </c>
      <c r="F16" s="35">
        <v>6</v>
      </c>
      <c r="G16" s="45" t="s">
        <v>105</v>
      </c>
      <c r="H16" s="31" t="s">
        <v>127</v>
      </c>
      <c r="I16" s="30" t="s">
        <v>76</v>
      </c>
      <c r="J16" s="47">
        <v>111769</v>
      </c>
      <c r="K16" s="52" t="s">
        <v>109</v>
      </c>
      <c r="L16" s="52" t="s">
        <v>158</v>
      </c>
      <c r="M16" s="36" t="s">
        <v>78</v>
      </c>
      <c r="N16" s="40" t="s">
        <v>175</v>
      </c>
      <c r="O16" s="133" t="s">
        <v>477</v>
      </c>
      <c r="P16" s="128" t="s">
        <v>66</v>
      </c>
      <c r="Q16" s="32"/>
      <c r="R16" s="92"/>
    </row>
    <row r="17" spans="1:18" s="49" customFormat="1" ht="45" customHeight="1" x14ac:dyDescent="0.25">
      <c r="A17" s="42">
        <v>13</v>
      </c>
      <c r="B17" s="35" t="s">
        <v>48</v>
      </c>
      <c r="C17" s="113" t="s">
        <v>92</v>
      </c>
      <c r="D17" s="35">
        <v>2</v>
      </c>
      <c r="E17" s="49" t="s">
        <v>126</v>
      </c>
      <c r="F17" s="35">
        <v>6</v>
      </c>
      <c r="G17" s="45" t="s">
        <v>116</v>
      </c>
      <c r="H17" s="36" t="s">
        <v>131</v>
      </c>
      <c r="I17" s="30" t="s">
        <v>76</v>
      </c>
      <c r="J17" s="30" t="s">
        <v>130</v>
      </c>
      <c r="K17" s="52" t="s">
        <v>109</v>
      </c>
      <c r="L17" s="52" t="s">
        <v>158</v>
      </c>
      <c r="M17" s="36" t="s">
        <v>78</v>
      </c>
      <c r="N17" s="40" t="s">
        <v>175</v>
      </c>
      <c r="O17" s="133" t="s">
        <v>477</v>
      </c>
      <c r="P17" s="128" t="s">
        <v>66</v>
      </c>
      <c r="Q17" s="32"/>
      <c r="R17" s="92"/>
    </row>
    <row r="18" spans="1:18" s="49" customFormat="1" ht="45" customHeight="1" x14ac:dyDescent="0.25">
      <c r="A18" s="42">
        <v>14</v>
      </c>
      <c r="B18" s="35" t="s">
        <v>48</v>
      </c>
      <c r="C18" s="113" t="s">
        <v>142</v>
      </c>
      <c r="D18" s="35">
        <v>3</v>
      </c>
      <c r="E18" s="49" t="s">
        <v>156</v>
      </c>
      <c r="F18" s="35">
        <v>6</v>
      </c>
      <c r="G18" s="45" t="s">
        <v>105</v>
      </c>
      <c r="H18" s="31" t="s">
        <v>143</v>
      </c>
      <c r="I18" s="30" t="s">
        <v>76</v>
      </c>
      <c r="J18" s="30" t="s">
        <v>144</v>
      </c>
      <c r="K18" s="52" t="s">
        <v>109</v>
      </c>
      <c r="L18" s="52" t="s">
        <v>158</v>
      </c>
      <c r="M18" s="36" t="s">
        <v>78</v>
      </c>
      <c r="N18" s="40" t="s">
        <v>175</v>
      </c>
      <c r="O18" s="133" t="s">
        <v>477</v>
      </c>
      <c r="P18" s="128" t="s">
        <v>66</v>
      </c>
      <c r="Q18" s="32"/>
      <c r="R18" s="92"/>
    </row>
    <row r="19" spans="1:18" s="49" customFormat="1" ht="45" customHeight="1" x14ac:dyDescent="0.25">
      <c r="A19" s="42">
        <v>15</v>
      </c>
      <c r="B19" s="35" t="s">
        <v>48</v>
      </c>
      <c r="C19" s="113" t="s">
        <v>418</v>
      </c>
      <c r="D19" s="35" t="s">
        <v>175</v>
      </c>
      <c r="E19" s="49" t="s">
        <v>424</v>
      </c>
      <c r="F19" s="35">
        <v>2</v>
      </c>
      <c r="G19" s="45" t="s">
        <v>425</v>
      </c>
      <c r="H19" s="31" t="s">
        <v>426</v>
      </c>
      <c r="I19" s="30" t="s">
        <v>76</v>
      </c>
      <c r="J19" s="51">
        <v>46182</v>
      </c>
      <c r="K19" s="52" t="s">
        <v>427</v>
      </c>
      <c r="L19" s="52" t="s">
        <v>422</v>
      </c>
      <c r="M19" s="36" t="s">
        <v>175</v>
      </c>
      <c r="N19" s="40" t="s">
        <v>175</v>
      </c>
      <c r="O19" s="146" t="s">
        <v>483</v>
      </c>
      <c r="P19" s="128" t="s">
        <v>66</v>
      </c>
      <c r="Q19" s="32"/>
      <c r="R19" s="92"/>
    </row>
    <row r="20" spans="1:18" ht="45" customHeight="1" x14ac:dyDescent="0.25">
      <c r="A20" s="42">
        <v>16</v>
      </c>
      <c r="B20" s="35" t="s">
        <v>48</v>
      </c>
      <c r="C20" s="113" t="s">
        <v>499</v>
      </c>
      <c r="D20" s="35" t="s">
        <v>175</v>
      </c>
      <c r="E20" s="35" t="s">
        <v>498</v>
      </c>
      <c r="F20" s="35">
        <v>2</v>
      </c>
      <c r="G20" s="45" t="s">
        <v>425</v>
      </c>
      <c r="H20" s="31"/>
      <c r="I20" s="30" t="s">
        <v>76</v>
      </c>
      <c r="J20" s="30"/>
      <c r="K20" s="35"/>
      <c r="L20" s="35"/>
      <c r="M20" s="35"/>
      <c r="N20" s="41"/>
      <c r="O20" s="35"/>
      <c r="P20" s="128" t="s">
        <v>66</v>
      </c>
      <c r="Q20" s="32"/>
    </row>
    <row r="21" spans="1:18" ht="45" customHeight="1" x14ac:dyDescent="0.25">
      <c r="A21" s="42"/>
      <c r="B21" s="35"/>
      <c r="C21" s="35"/>
      <c r="D21" s="35"/>
      <c r="E21" s="35"/>
      <c r="F21" s="35"/>
      <c r="G21" s="35"/>
      <c r="H21" s="31"/>
      <c r="I21" s="30"/>
      <c r="J21" s="30"/>
      <c r="K21" s="35"/>
      <c r="L21" s="35"/>
      <c r="M21" s="35"/>
      <c r="N21" s="41"/>
      <c r="O21" s="35"/>
      <c r="P21" s="71"/>
      <c r="Q21" s="32"/>
    </row>
    <row r="22" spans="1:18" ht="45" customHeight="1" x14ac:dyDescent="0.25">
      <c r="A22" s="42"/>
      <c r="B22" s="35"/>
      <c r="C22" s="35"/>
      <c r="D22" s="35"/>
      <c r="E22" s="36"/>
      <c r="F22" s="35"/>
      <c r="G22" s="35"/>
      <c r="H22" s="31"/>
      <c r="I22" s="30"/>
      <c r="J22" s="30"/>
      <c r="K22" s="35"/>
      <c r="L22" s="35"/>
      <c r="M22" s="35"/>
      <c r="N22" s="41"/>
      <c r="O22" s="35"/>
      <c r="P22" s="71"/>
      <c r="Q22" s="32"/>
    </row>
  </sheetData>
  <autoFilter ref="A4:Q22" xr:uid="{00000000-0009-0000-0000-000000000000}"/>
  <mergeCells count="1">
    <mergeCell ref="A1:Q3"/>
  </mergeCells>
  <conditionalFormatting sqref="M21:P22 M20:O20">
    <cfRule type="duplicateValues" dxfId="1" priority="9030"/>
  </conditionalFormatting>
  <printOptions horizontalCentered="1"/>
  <pageMargins left="0.25" right="0.25" top="0.25" bottom="0.25" header="0" footer="0"/>
  <pageSetup paperSize="8" scale="52" fitToHeight="0" orientation="landscape" r:id="rId1"/>
  <headerFooter>
    <oddFooter>&amp;Lby Ahmed Mohamed 
&amp;CPage (&amp;P of &amp;N)&amp;R&amp;D</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D4FB1-97F7-46C7-8628-14E3BD7EB6C3}">
  <sheetPr>
    <pageSetUpPr fitToPage="1"/>
  </sheetPr>
  <dimension ref="A1:BQ15"/>
  <sheetViews>
    <sheetView showGridLines="0" zoomScale="70" zoomScaleNormal="70" zoomScaleSheetLayoutView="55" workbookViewId="0">
      <pane ySplit="4" topLeftCell="A5" activePane="bottomLeft" state="frozen"/>
      <selection activeCell="Q1" sqref="Q1"/>
      <selection pane="bottomLeft" activeCell="O9" sqref="O9"/>
    </sheetView>
  </sheetViews>
  <sheetFormatPr defaultColWidth="9.140625" defaultRowHeight="12.75" x14ac:dyDescent="0.25"/>
  <cols>
    <col min="1" max="1" width="6.140625" style="33" customWidth="1"/>
    <col min="2" max="2" width="12.5703125" style="33" bestFit="1" customWidth="1"/>
    <col min="3" max="3" width="25.42578125" style="33" customWidth="1"/>
    <col min="4" max="4" width="13.85546875" style="33" customWidth="1"/>
    <col min="5" max="5" width="48" style="33" customWidth="1"/>
    <col min="6" max="6" width="13.28515625" style="33" customWidth="1"/>
    <col min="7" max="7" width="15.28515625" style="33" customWidth="1"/>
    <col min="8" max="8" width="59.7109375" style="37" customWidth="1"/>
    <col min="9" max="9" width="14.28515625" style="33" customWidth="1"/>
    <col min="10" max="10" width="12" style="33" customWidth="1"/>
    <col min="11" max="11" width="13.7109375" style="33" customWidth="1"/>
    <col min="12" max="12" width="14.85546875" style="33" customWidth="1"/>
    <col min="13" max="13" width="20.140625" style="33" customWidth="1"/>
    <col min="14" max="15" width="26.5703125" style="33" customWidth="1"/>
    <col min="16" max="16" width="25.5703125" style="33" customWidth="1"/>
    <col min="17" max="17" width="33" style="33" customWidth="1"/>
    <col min="18" max="16384" width="9.140625" style="33"/>
  </cols>
  <sheetData>
    <row r="1" spans="1:69" s="70" customFormat="1" ht="27.75" customHeight="1" x14ac:dyDescent="0.25">
      <c r="A1" s="218" t="s">
        <v>308</v>
      </c>
      <c r="B1" s="219"/>
      <c r="C1" s="219"/>
      <c r="D1" s="219"/>
      <c r="E1" s="219"/>
      <c r="F1" s="219"/>
      <c r="G1" s="219"/>
      <c r="H1" s="219"/>
      <c r="I1" s="219"/>
      <c r="J1" s="219"/>
      <c r="K1" s="219"/>
      <c r="L1" s="219"/>
      <c r="M1" s="219"/>
      <c r="N1" s="219"/>
      <c r="O1" s="219"/>
      <c r="P1" s="219"/>
      <c r="Q1" s="224"/>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177"/>
    </row>
    <row r="2" spans="1:69" s="49" customFormat="1" ht="18.75" customHeight="1" x14ac:dyDescent="0.25">
      <c r="A2" s="220"/>
      <c r="B2" s="221"/>
      <c r="C2" s="221"/>
      <c r="D2" s="221"/>
      <c r="E2" s="221"/>
      <c r="F2" s="221"/>
      <c r="G2" s="221"/>
      <c r="H2" s="221"/>
      <c r="I2" s="221"/>
      <c r="J2" s="221"/>
      <c r="K2" s="221"/>
      <c r="L2" s="221"/>
      <c r="M2" s="221"/>
      <c r="N2" s="221"/>
      <c r="O2" s="221"/>
      <c r="P2" s="221"/>
      <c r="Q2" s="225"/>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92"/>
    </row>
    <row r="3" spans="1:69" s="49" customFormat="1" ht="24.75" customHeight="1" thickBot="1" x14ac:dyDescent="0.3">
      <c r="A3" s="222"/>
      <c r="B3" s="223"/>
      <c r="C3" s="223"/>
      <c r="D3" s="223"/>
      <c r="E3" s="223"/>
      <c r="F3" s="223"/>
      <c r="G3" s="223"/>
      <c r="H3" s="223"/>
      <c r="I3" s="223"/>
      <c r="J3" s="223"/>
      <c r="K3" s="223"/>
      <c r="L3" s="223"/>
      <c r="M3" s="223"/>
      <c r="N3" s="223"/>
      <c r="O3" s="223"/>
      <c r="P3" s="223"/>
      <c r="Q3" s="226"/>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92"/>
    </row>
    <row r="4" spans="1:69" s="49" customFormat="1" ht="60" customHeight="1" thickBot="1" x14ac:dyDescent="0.3">
      <c r="A4" s="27" t="s">
        <v>32</v>
      </c>
      <c r="B4" s="28" t="s">
        <v>34</v>
      </c>
      <c r="C4" s="127" t="s">
        <v>41</v>
      </c>
      <c r="D4" s="28" t="s">
        <v>383</v>
      </c>
      <c r="E4" s="28" t="s">
        <v>35</v>
      </c>
      <c r="F4" s="28" t="s">
        <v>45</v>
      </c>
      <c r="G4" s="28" t="s">
        <v>46</v>
      </c>
      <c r="H4" s="29" t="s">
        <v>36</v>
      </c>
      <c r="I4" s="28" t="s">
        <v>38</v>
      </c>
      <c r="J4" s="28" t="s">
        <v>40</v>
      </c>
      <c r="K4" s="28" t="s">
        <v>37</v>
      </c>
      <c r="L4" s="28" t="s">
        <v>47</v>
      </c>
      <c r="M4" s="28" t="s">
        <v>39</v>
      </c>
      <c r="N4" s="39" t="s">
        <v>39</v>
      </c>
      <c r="O4" s="91" t="s">
        <v>480</v>
      </c>
      <c r="P4" s="137" t="s">
        <v>315</v>
      </c>
      <c r="Q4" s="145" t="s">
        <v>20</v>
      </c>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92"/>
    </row>
    <row r="5" spans="1:69" s="49" customFormat="1" ht="45" customHeight="1" x14ac:dyDescent="0.25">
      <c r="A5" s="42">
        <v>1</v>
      </c>
      <c r="B5" s="35" t="s">
        <v>48</v>
      </c>
      <c r="C5" s="113" t="s">
        <v>94</v>
      </c>
      <c r="D5" s="35">
        <v>1</v>
      </c>
      <c r="E5" s="36" t="s">
        <v>155</v>
      </c>
      <c r="F5" s="36">
        <v>3</v>
      </c>
      <c r="G5" s="45" t="s">
        <v>116</v>
      </c>
      <c r="H5" s="36" t="s">
        <v>118</v>
      </c>
      <c r="I5" s="36" t="s">
        <v>77</v>
      </c>
      <c r="J5" s="47">
        <v>111769</v>
      </c>
      <c r="K5" s="52" t="s">
        <v>109</v>
      </c>
      <c r="L5" s="52" t="s">
        <v>158</v>
      </c>
      <c r="M5" s="36" t="s">
        <v>78</v>
      </c>
      <c r="N5" s="40"/>
      <c r="O5" s="133" t="s">
        <v>477</v>
      </c>
      <c r="P5" s="128" t="s">
        <v>66</v>
      </c>
      <c r="Q5" s="178"/>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92"/>
    </row>
    <row r="6" spans="1:69" s="49" customFormat="1" ht="45" customHeight="1" x14ac:dyDescent="0.25">
      <c r="A6" s="42">
        <v>2</v>
      </c>
      <c r="B6" s="35" t="s">
        <v>48</v>
      </c>
      <c r="C6" s="113" t="s">
        <v>95</v>
      </c>
      <c r="D6" s="35">
        <v>1</v>
      </c>
      <c r="E6" s="36" t="s">
        <v>157</v>
      </c>
      <c r="F6" s="35">
        <v>3</v>
      </c>
      <c r="G6" s="45" t="s">
        <v>105</v>
      </c>
      <c r="H6" s="50" t="s">
        <v>119</v>
      </c>
      <c r="I6" s="30" t="s">
        <v>77</v>
      </c>
      <c r="J6" s="47">
        <v>111769</v>
      </c>
      <c r="K6" s="52" t="s">
        <v>109</v>
      </c>
      <c r="L6" s="52" t="s">
        <v>158</v>
      </c>
      <c r="M6" s="36" t="s">
        <v>78</v>
      </c>
      <c r="N6" s="41"/>
      <c r="O6" s="133" t="s">
        <v>477</v>
      </c>
      <c r="P6" s="128" t="s">
        <v>66</v>
      </c>
      <c r="Q6" s="69"/>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92"/>
    </row>
    <row r="7" spans="1:69" s="49" customFormat="1" ht="45" customHeight="1" x14ac:dyDescent="0.25">
      <c r="A7" s="42">
        <v>3</v>
      </c>
      <c r="B7" s="35" t="s">
        <v>48</v>
      </c>
      <c r="C7" s="113" t="s">
        <v>122</v>
      </c>
      <c r="D7" s="35">
        <v>2</v>
      </c>
      <c r="E7" s="36" t="s">
        <v>155</v>
      </c>
      <c r="F7" s="35">
        <v>3</v>
      </c>
      <c r="G7" s="45" t="s">
        <v>116</v>
      </c>
      <c r="H7" s="50" t="s">
        <v>120</v>
      </c>
      <c r="I7" s="30" t="s">
        <v>77</v>
      </c>
      <c r="J7" s="30" t="s">
        <v>123</v>
      </c>
      <c r="K7" s="52" t="s">
        <v>109</v>
      </c>
      <c r="L7" s="52" t="s">
        <v>158</v>
      </c>
      <c r="M7" s="36" t="s">
        <v>78</v>
      </c>
      <c r="N7" s="41"/>
      <c r="O7" s="133" t="s">
        <v>477</v>
      </c>
      <c r="P7" s="128" t="s">
        <v>66</v>
      </c>
      <c r="Q7" s="69"/>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92"/>
    </row>
    <row r="8" spans="1:69" s="49" customFormat="1" ht="45.75" customHeight="1" x14ac:dyDescent="0.25">
      <c r="A8" s="42">
        <v>4</v>
      </c>
      <c r="B8" s="35" t="s">
        <v>48</v>
      </c>
      <c r="C8" s="113" t="s">
        <v>128</v>
      </c>
      <c r="D8" s="35">
        <v>3</v>
      </c>
      <c r="E8" s="36" t="s">
        <v>155</v>
      </c>
      <c r="F8" s="35">
        <v>4</v>
      </c>
      <c r="G8" s="45" t="s">
        <v>116</v>
      </c>
      <c r="H8" s="31" t="s">
        <v>129</v>
      </c>
      <c r="I8" s="30" t="s">
        <v>77</v>
      </c>
      <c r="J8" s="47">
        <v>111770</v>
      </c>
      <c r="K8" s="52" t="s">
        <v>109</v>
      </c>
      <c r="L8" s="52" t="s">
        <v>158</v>
      </c>
      <c r="M8" s="36" t="s">
        <v>78</v>
      </c>
      <c r="N8" s="41"/>
      <c r="O8" s="133" t="s">
        <v>477</v>
      </c>
      <c r="P8" s="128" t="s">
        <v>66</v>
      </c>
      <c r="Q8" s="125"/>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92"/>
    </row>
    <row r="9" spans="1:69" ht="45.75" customHeight="1" x14ac:dyDescent="0.25">
      <c r="A9" s="42">
        <v>5</v>
      </c>
      <c r="B9" s="35" t="s">
        <v>48</v>
      </c>
      <c r="C9" s="113" t="s">
        <v>502</v>
      </c>
      <c r="D9" s="35" t="s">
        <v>175</v>
      </c>
      <c r="E9" s="36" t="s">
        <v>501</v>
      </c>
      <c r="F9" s="35">
        <v>7</v>
      </c>
      <c r="G9" s="45" t="s">
        <v>189</v>
      </c>
      <c r="H9" s="31"/>
      <c r="I9" s="30" t="s">
        <v>77</v>
      </c>
      <c r="J9" s="47"/>
      <c r="K9" s="52"/>
      <c r="L9" s="52"/>
      <c r="M9" s="36"/>
      <c r="N9" s="41"/>
      <c r="O9" s="146" t="s">
        <v>483</v>
      </c>
      <c r="P9" s="128" t="s">
        <v>66</v>
      </c>
      <c r="Q9" s="125"/>
    </row>
    <row r="10" spans="1:69" ht="45.75" customHeight="1" x14ac:dyDescent="0.25"/>
    <row r="11" spans="1:69" ht="45.75" customHeight="1" x14ac:dyDescent="0.25"/>
    <row r="12" spans="1:69" ht="45.75" customHeight="1" x14ac:dyDescent="0.25"/>
    <row r="13" spans="1:69" ht="45.75" customHeight="1" x14ac:dyDescent="0.25"/>
    <row r="14" spans="1:69" ht="45.75" customHeight="1" x14ac:dyDescent="0.25"/>
    <row r="15" spans="1:69" ht="45.75" customHeight="1" x14ac:dyDescent="0.25"/>
  </sheetData>
  <autoFilter ref="A4:Q8" xr:uid="{00000000-0009-0000-0000-000000000000}">
    <sortState xmlns:xlrd2="http://schemas.microsoft.com/office/spreadsheetml/2017/richdata2" ref="A5:Q8">
      <sortCondition ref="I4:I8"/>
    </sortState>
  </autoFilter>
  <mergeCells count="1">
    <mergeCell ref="A1:Q3"/>
  </mergeCells>
  <phoneticPr fontId="4" type="noConversion"/>
  <conditionalFormatting sqref="N5:N9">
    <cfRule type="duplicateValues" dxfId="0" priority="9026"/>
  </conditionalFormatting>
  <printOptions horizontalCentered="1"/>
  <pageMargins left="0.25" right="0.25" top="0.25" bottom="0.25" header="0" footer="0"/>
  <pageSetup paperSize="8" scale="52" fitToHeight="0" orientation="landscape" r:id="rId1"/>
  <headerFooter>
    <oddFooter>&amp;Lby Ahmed Mohamed 
&amp;CPage (&amp;P of &amp;N)&amp;R&amp;D</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4E389-DF88-4A19-A486-80FFB590CF1A}">
  <sheetPr>
    <pageSetUpPr fitToPage="1"/>
  </sheetPr>
  <dimension ref="A1:Q30"/>
  <sheetViews>
    <sheetView showGridLines="0" zoomScale="55" zoomScaleNormal="55" zoomScaleSheetLayoutView="85" workbookViewId="0">
      <pane ySplit="2" topLeftCell="A3" activePane="bottomLeft" state="frozen"/>
      <selection activeCell="Q1" sqref="Q1"/>
      <selection pane="bottomLeft" activeCell="G31" sqref="G31"/>
    </sheetView>
  </sheetViews>
  <sheetFormatPr defaultColWidth="9.140625" defaultRowHeight="12.75" x14ac:dyDescent="0.25"/>
  <cols>
    <col min="1" max="1" width="12.85546875" style="33" bestFit="1" customWidth="1"/>
    <col min="2" max="2" width="18.7109375" style="33" bestFit="1" customWidth="1"/>
    <col min="3" max="3" width="29.28515625" style="33" customWidth="1"/>
    <col min="4" max="4" width="15.85546875" style="33" customWidth="1"/>
    <col min="5" max="5" width="58.5703125" style="33" customWidth="1"/>
    <col min="6" max="6" width="15.7109375" style="33" customWidth="1"/>
    <col min="7" max="7" width="19.42578125" style="33" customWidth="1"/>
    <col min="8" max="8" width="60.7109375" style="37" customWidth="1"/>
    <col min="9" max="9" width="16.5703125" style="33" customWidth="1"/>
    <col min="10" max="10" width="15.5703125" style="33" customWidth="1"/>
    <col min="11" max="11" width="17.7109375" style="33" customWidth="1"/>
    <col min="12" max="12" width="26.7109375" style="33" bestFit="1" customWidth="1"/>
    <col min="13" max="13" width="21.42578125" style="33" customWidth="1"/>
    <col min="14" max="15" width="24.28515625" style="33" customWidth="1"/>
    <col min="16" max="16" width="34.85546875" style="33" customWidth="1"/>
    <col min="17" max="17" width="41.42578125" style="33" customWidth="1"/>
    <col min="18" max="16384" width="9.140625" style="33"/>
  </cols>
  <sheetData>
    <row r="1" spans="1:17" ht="122.25" customHeight="1" thickBot="1" x14ac:dyDescent="0.3">
      <c r="A1" s="209" t="s">
        <v>309</v>
      </c>
      <c r="B1" s="209"/>
      <c r="C1" s="209"/>
      <c r="D1" s="209"/>
      <c r="E1" s="209"/>
      <c r="F1" s="209"/>
      <c r="G1" s="209"/>
      <c r="H1" s="209"/>
      <c r="I1" s="209"/>
      <c r="J1" s="209"/>
      <c r="K1" s="209"/>
      <c r="L1" s="209"/>
      <c r="M1" s="209"/>
      <c r="N1" s="209"/>
      <c r="O1" s="209"/>
      <c r="P1" s="209"/>
      <c r="Q1" s="209"/>
    </row>
    <row r="2" spans="1:17" ht="76.5" customHeight="1" thickBot="1" x14ac:dyDescent="0.3">
      <c r="A2" s="53" t="s">
        <v>32</v>
      </c>
      <c r="B2" s="54" t="s">
        <v>34</v>
      </c>
      <c r="C2" s="54" t="s">
        <v>41</v>
      </c>
      <c r="D2" s="54" t="s">
        <v>383</v>
      </c>
      <c r="E2" s="54" t="s">
        <v>35</v>
      </c>
      <c r="F2" s="54" t="s">
        <v>45</v>
      </c>
      <c r="G2" s="54" t="s">
        <v>46</v>
      </c>
      <c r="H2" s="55" t="s">
        <v>36</v>
      </c>
      <c r="I2" s="54" t="s">
        <v>38</v>
      </c>
      <c r="J2" s="54" t="s">
        <v>40</v>
      </c>
      <c r="K2" s="54" t="s">
        <v>37</v>
      </c>
      <c r="L2" s="54" t="s">
        <v>47</v>
      </c>
      <c r="M2" s="54" t="s">
        <v>39</v>
      </c>
      <c r="N2" s="97" t="s">
        <v>39</v>
      </c>
      <c r="O2" s="101" t="s">
        <v>480</v>
      </c>
      <c r="P2" s="144" t="s">
        <v>315</v>
      </c>
      <c r="Q2" s="139" t="s">
        <v>20</v>
      </c>
    </row>
    <row r="3" spans="1:17" ht="50.25" customHeight="1" x14ac:dyDescent="0.25">
      <c r="A3" s="77">
        <v>1</v>
      </c>
      <c r="B3" s="77" t="s">
        <v>48</v>
      </c>
      <c r="C3" s="35" t="s">
        <v>159</v>
      </c>
      <c r="D3" s="35">
        <v>1</v>
      </c>
      <c r="E3" s="60" t="s">
        <v>160</v>
      </c>
      <c r="F3" s="75">
        <v>1</v>
      </c>
      <c r="G3" s="72" t="s">
        <v>161</v>
      </c>
      <c r="H3" s="60" t="s">
        <v>190</v>
      </c>
      <c r="I3" s="75" t="s">
        <v>163</v>
      </c>
      <c r="J3" s="74">
        <v>46039</v>
      </c>
      <c r="K3" s="73" t="s">
        <v>164</v>
      </c>
      <c r="L3" s="76" t="s">
        <v>165</v>
      </c>
      <c r="M3" s="72" t="s">
        <v>175</v>
      </c>
      <c r="N3" s="72" t="s">
        <v>43</v>
      </c>
      <c r="O3" s="154" t="s">
        <v>478</v>
      </c>
      <c r="P3" s="155" t="s">
        <v>66</v>
      </c>
      <c r="Q3" s="135" t="s">
        <v>175</v>
      </c>
    </row>
    <row r="4" spans="1:17" ht="50.25" customHeight="1" x14ac:dyDescent="0.25">
      <c r="A4" s="77">
        <v>2</v>
      </c>
      <c r="B4" s="77" t="s">
        <v>48</v>
      </c>
      <c r="C4" s="35" t="s">
        <v>166</v>
      </c>
      <c r="D4" s="35">
        <v>1</v>
      </c>
      <c r="E4" s="60" t="s">
        <v>167</v>
      </c>
      <c r="F4" s="75">
        <v>2</v>
      </c>
      <c r="G4" s="72" t="s">
        <v>161</v>
      </c>
      <c r="H4" s="60" t="s">
        <v>168</v>
      </c>
      <c r="I4" s="75" t="s">
        <v>163</v>
      </c>
      <c r="J4" s="74">
        <v>46110</v>
      </c>
      <c r="K4" s="73" t="s">
        <v>164</v>
      </c>
      <c r="L4" s="72" t="s">
        <v>169</v>
      </c>
      <c r="M4" s="72" t="s">
        <v>175</v>
      </c>
      <c r="N4" s="72" t="s">
        <v>43</v>
      </c>
      <c r="O4" s="150" t="s">
        <v>478</v>
      </c>
      <c r="P4" s="151" t="s">
        <v>66</v>
      </c>
      <c r="Q4" s="135" t="s">
        <v>175</v>
      </c>
    </row>
    <row r="5" spans="1:17" ht="60" customHeight="1" x14ac:dyDescent="0.25">
      <c r="A5" s="57">
        <v>3</v>
      </c>
      <c r="B5" s="57" t="s">
        <v>48</v>
      </c>
      <c r="C5" s="35" t="s">
        <v>170</v>
      </c>
      <c r="D5" s="35">
        <v>1</v>
      </c>
      <c r="E5" s="60" t="s">
        <v>171</v>
      </c>
      <c r="F5" s="60">
        <v>2</v>
      </c>
      <c r="G5" s="59" t="s">
        <v>161</v>
      </c>
      <c r="H5" s="60" t="s">
        <v>274</v>
      </c>
      <c r="I5" s="60" t="s">
        <v>163</v>
      </c>
      <c r="J5" s="61">
        <v>46139</v>
      </c>
      <c r="K5" s="62" t="s">
        <v>164</v>
      </c>
      <c r="L5" s="62" t="s">
        <v>169</v>
      </c>
      <c r="M5" s="59" t="s">
        <v>172</v>
      </c>
      <c r="N5" s="59" t="s">
        <v>43</v>
      </c>
      <c r="O5" s="150" t="s">
        <v>478</v>
      </c>
      <c r="P5" s="152" t="s">
        <v>66</v>
      </c>
      <c r="Q5" s="133" t="s">
        <v>175</v>
      </c>
    </row>
    <row r="6" spans="1:17" ht="59.25" customHeight="1" x14ac:dyDescent="0.25">
      <c r="A6" s="57">
        <v>4</v>
      </c>
      <c r="B6" s="57" t="s">
        <v>48</v>
      </c>
      <c r="C6" s="35" t="s">
        <v>173</v>
      </c>
      <c r="D6" s="35">
        <v>1</v>
      </c>
      <c r="E6" s="60" t="s">
        <v>273</v>
      </c>
      <c r="F6" s="60">
        <v>1</v>
      </c>
      <c r="G6" s="59" t="s">
        <v>161</v>
      </c>
      <c r="H6" s="64" t="s">
        <v>174</v>
      </c>
      <c r="I6" s="60" t="s">
        <v>163</v>
      </c>
      <c r="J6" s="61">
        <v>46141</v>
      </c>
      <c r="K6" s="62" t="s">
        <v>164</v>
      </c>
      <c r="L6" s="62" t="s">
        <v>169</v>
      </c>
      <c r="M6" s="57" t="s">
        <v>175</v>
      </c>
      <c r="N6" s="59" t="s">
        <v>43</v>
      </c>
      <c r="O6" s="150" t="s">
        <v>478</v>
      </c>
      <c r="P6" s="151" t="s">
        <v>66</v>
      </c>
      <c r="Q6" s="133" t="s">
        <v>175</v>
      </c>
    </row>
    <row r="7" spans="1:17" ht="59.25" customHeight="1" x14ac:dyDescent="0.25">
      <c r="A7" s="57">
        <v>5</v>
      </c>
      <c r="B7" s="57" t="s">
        <v>48</v>
      </c>
      <c r="C7" s="35" t="s">
        <v>176</v>
      </c>
      <c r="D7" s="35">
        <v>1</v>
      </c>
      <c r="E7" s="60" t="s">
        <v>272</v>
      </c>
      <c r="F7" s="60">
        <v>1</v>
      </c>
      <c r="G7" s="59" t="s">
        <v>161</v>
      </c>
      <c r="H7" s="64" t="s">
        <v>174</v>
      </c>
      <c r="I7" s="60" t="s">
        <v>163</v>
      </c>
      <c r="J7" s="61">
        <v>46144</v>
      </c>
      <c r="K7" s="62" t="s">
        <v>164</v>
      </c>
      <c r="L7" s="62" t="s">
        <v>169</v>
      </c>
      <c r="M7" s="57" t="s">
        <v>175</v>
      </c>
      <c r="N7" s="59" t="s">
        <v>43</v>
      </c>
      <c r="O7" s="150" t="s">
        <v>478</v>
      </c>
      <c r="P7" s="151" t="s">
        <v>66</v>
      </c>
      <c r="Q7" s="133" t="s">
        <v>175</v>
      </c>
    </row>
    <row r="8" spans="1:17" ht="59.25" customHeight="1" x14ac:dyDescent="0.25">
      <c r="A8" s="57">
        <v>6</v>
      </c>
      <c r="B8" s="57" t="s">
        <v>48</v>
      </c>
      <c r="C8" s="35" t="s">
        <v>177</v>
      </c>
      <c r="D8" s="35">
        <v>1</v>
      </c>
      <c r="E8" s="60" t="s">
        <v>271</v>
      </c>
      <c r="F8" s="60">
        <v>1</v>
      </c>
      <c r="G8" s="59" t="s">
        <v>161</v>
      </c>
      <c r="H8" s="64" t="s">
        <v>179</v>
      </c>
      <c r="I8" s="60" t="s">
        <v>163</v>
      </c>
      <c r="J8" s="61">
        <v>46139</v>
      </c>
      <c r="K8" s="62" t="s">
        <v>164</v>
      </c>
      <c r="L8" s="62" t="s">
        <v>169</v>
      </c>
      <c r="M8" s="57" t="s">
        <v>175</v>
      </c>
      <c r="N8" s="59" t="s">
        <v>43</v>
      </c>
      <c r="O8" s="150" t="s">
        <v>478</v>
      </c>
      <c r="P8" s="151" t="s">
        <v>66</v>
      </c>
      <c r="Q8" s="133" t="s">
        <v>175</v>
      </c>
    </row>
    <row r="9" spans="1:17" ht="59.25" customHeight="1" x14ac:dyDescent="0.25">
      <c r="A9" s="57">
        <v>7</v>
      </c>
      <c r="B9" s="57" t="s">
        <v>48</v>
      </c>
      <c r="C9" s="113" t="s">
        <v>180</v>
      </c>
      <c r="D9" s="35">
        <v>1</v>
      </c>
      <c r="E9" s="60" t="s">
        <v>184</v>
      </c>
      <c r="F9" s="60">
        <v>1</v>
      </c>
      <c r="G9" s="59" t="s">
        <v>185</v>
      </c>
      <c r="H9" s="64" t="s">
        <v>186</v>
      </c>
      <c r="I9" s="60" t="s">
        <v>163</v>
      </c>
      <c r="J9" s="61">
        <v>46147</v>
      </c>
      <c r="K9" s="62" t="s">
        <v>164</v>
      </c>
      <c r="L9" s="62" t="s">
        <v>169</v>
      </c>
      <c r="M9" s="57" t="s">
        <v>175</v>
      </c>
      <c r="N9" s="59" t="s">
        <v>43</v>
      </c>
      <c r="O9" s="153" t="s">
        <v>481</v>
      </c>
      <c r="P9" s="151" t="s">
        <v>66</v>
      </c>
      <c r="Q9" s="136" t="s">
        <v>479</v>
      </c>
    </row>
    <row r="10" spans="1:17" ht="59.25" customHeight="1" x14ac:dyDescent="0.25">
      <c r="A10" s="57">
        <v>8</v>
      </c>
      <c r="B10" s="57" t="s">
        <v>48</v>
      </c>
      <c r="C10" s="35" t="s">
        <v>181</v>
      </c>
      <c r="D10" s="35">
        <v>1</v>
      </c>
      <c r="E10" s="60" t="s">
        <v>178</v>
      </c>
      <c r="F10" s="60">
        <v>1</v>
      </c>
      <c r="G10" s="59" t="s">
        <v>161</v>
      </c>
      <c r="H10" s="64" t="s">
        <v>186</v>
      </c>
      <c r="I10" s="60" t="s">
        <v>163</v>
      </c>
      <c r="J10" s="61">
        <v>46153</v>
      </c>
      <c r="K10" s="62" t="s">
        <v>164</v>
      </c>
      <c r="L10" s="62" t="s">
        <v>169</v>
      </c>
      <c r="M10" s="57" t="s">
        <v>175</v>
      </c>
      <c r="N10" s="59" t="s">
        <v>43</v>
      </c>
      <c r="O10" s="150" t="s">
        <v>478</v>
      </c>
      <c r="P10" s="151" t="s">
        <v>66</v>
      </c>
      <c r="Q10" s="133" t="s">
        <v>175</v>
      </c>
    </row>
    <row r="11" spans="1:17" ht="59.25" customHeight="1" x14ac:dyDescent="0.25">
      <c r="A11" s="57">
        <v>9</v>
      </c>
      <c r="B11" s="57" t="s">
        <v>48</v>
      </c>
      <c r="C11" s="35" t="s">
        <v>182</v>
      </c>
      <c r="D11" s="35">
        <v>2</v>
      </c>
      <c r="E11" s="60" t="s">
        <v>160</v>
      </c>
      <c r="F11" s="60">
        <v>1</v>
      </c>
      <c r="G11" s="59" t="s">
        <v>161</v>
      </c>
      <c r="H11" s="64" t="s">
        <v>186</v>
      </c>
      <c r="I11" s="60" t="s">
        <v>163</v>
      </c>
      <c r="J11" s="61">
        <v>46153</v>
      </c>
      <c r="K11" s="62" t="s">
        <v>164</v>
      </c>
      <c r="L11" s="62" t="s">
        <v>169</v>
      </c>
      <c r="M11" s="57" t="s">
        <v>175</v>
      </c>
      <c r="N11" s="59" t="s">
        <v>43</v>
      </c>
      <c r="O11" s="153" t="s">
        <v>481</v>
      </c>
      <c r="P11" s="151" t="s">
        <v>66</v>
      </c>
      <c r="Q11" s="136" t="s">
        <v>479</v>
      </c>
    </row>
    <row r="12" spans="1:17" ht="59.25" customHeight="1" x14ac:dyDescent="0.25">
      <c r="A12" s="57">
        <v>10</v>
      </c>
      <c r="B12" s="57" t="s">
        <v>48</v>
      </c>
      <c r="C12" s="35" t="s">
        <v>183</v>
      </c>
      <c r="D12" s="35">
        <v>3</v>
      </c>
      <c r="E12" s="60" t="s">
        <v>160</v>
      </c>
      <c r="F12" s="60">
        <v>1</v>
      </c>
      <c r="G12" s="59" t="s">
        <v>161</v>
      </c>
      <c r="H12" s="64" t="s">
        <v>186</v>
      </c>
      <c r="I12" s="60" t="s">
        <v>163</v>
      </c>
      <c r="J12" s="61">
        <v>46154</v>
      </c>
      <c r="K12" s="62" t="s">
        <v>164</v>
      </c>
      <c r="L12" s="62" t="s">
        <v>169</v>
      </c>
      <c r="M12" s="57" t="s">
        <v>175</v>
      </c>
      <c r="N12" s="59" t="s">
        <v>43</v>
      </c>
      <c r="O12" s="153" t="s">
        <v>481</v>
      </c>
      <c r="P12" s="151" t="s">
        <v>66</v>
      </c>
      <c r="Q12" s="63" t="s">
        <v>269</v>
      </c>
    </row>
    <row r="13" spans="1:17" ht="45" customHeight="1" x14ac:dyDescent="0.25">
      <c r="A13" s="57">
        <v>11</v>
      </c>
      <c r="B13" s="57" t="s">
        <v>48</v>
      </c>
      <c r="C13" s="35" t="s">
        <v>187</v>
      </c>
      <c r="D13" s="35">
        <v>4</v>
      </c>
      <c r="E13" s="60" t="s">
        <v>160</v>
      </c>
      <c r="F13" s="60">
        <v>1</v>
      </c>
      <c r="G13" s="59" t="s">
        <v>161</v>
      </c>
      <c r="H13" s="64" t="s">
        <v>186</v>
      </c>
      <c r="I13" s="60" t="s">
        <v>163</v>
      </c>
      <c r="J13" s="61">
        <v>46153</v>
      </c>
      <c r="K13" s="62" t="s">
        <v>164</v>
      </c>
      <c r="L13" s="62" t="s">
        <v>169</v>
      </c>
      <c r="M13" s="57" t="s">
        <v>175</v>
      </c>
      <c r="N13" s="59" t="s">
        <v>43</v>
      </c>
      <c r="O13" s="153" t="s">
        <v>481</v>
      </c>
      <c r="P13" s="151" t="s">
        <v>66</v>
      </c>
      <c r="Q13" s="63" t="s">
        <v>269</v>
      </c>
    </row>
    <row r="14" spans="1:17" ht="45" customHeight="1" x14ac:dyDescent="0.25">
      <c r="A14" s="57">
        <v>12</v>
      </c>
      <c r="B14" s="57" t="s">
        <v>48</v>
      </c>
      <c r="C14" s="35" t="s">
        <v>268</v>
      </c>
      <c r="D14" s="35">
        <v>1</v>
      </c>
      <c r="E14" s="60" t="s">
        <v>266</v>
      </c>
      <c r="F14" s="60">
        <v>1</v>
      </c>
      <c r="G14" s="59" t="s">
        <v>161</v>
      </c>
      <c r="H14" s="64" t="s">
        <v>186</v>
      </c>
      <c r="I14" s="60" t="s">
        <v>163</v>
      </c>
      <c r="J14" s="61">
        <v>46153</v>
      </c>
      <c r="K14" s="62" t="s">
        <v>164</v>
      </c>
      <c r="L14" s="62" t="s">
        <v>169</v>
      </c>
      <c r="M14" s="57" t="s">
        <v>175</v>
      </c>
      <c r="N14" s="59" t="s">
        <v>43</v>
      </c>
      <c r="O14" s="153" t="s">
        <v>481</v>
      </c>
      <c r="P14" s="151" t="s">
        <v>66</v>
      </c>
      <c r="Q14" s="63" t="s">
        <v>269</v>
      </c>
    </row>
    <row r="15" spans="1:17" ht="45" customHeight="1" x14ac:dyDescent="0.25">
      <c r="A15" s="57">
        <v>13</v>
      </c>
      <c r="B15" s="58" t="s">
        <v>48</v>
      </c>
      <c r="C15" s="35" t="s">
        <v>267</v>
      </c>
      <c r="D15" s="35">
        <v>2</v>
      </c>
      <c r="E15" s="60" t="s">
        <v>266</v>
      </c>
      <c r="F15" s="60">
        <v>1</v>
      </c>
      <c r="G15" s="59" t="s">
        <v>161</v>
      </c>
      <c r="H15" s="64" t="s">
        <v>186</v>
      </c>
      <c r="I15" s="60" t="s">
        <v>163</v>
      </c>
      <c r="J15" s="61">
        <v>46153</v>
      </c>
      <c r="K15" s="62" t="s">
        <v>164</v>
      </c>
      <c r="L15" s="62" t="s">
        <v>169</v>
      </c>
      <c r="M15" s="57" t="s">
        <v>175</v>
      </c>
      <c r="N15" s="59" t="s">
        <v>43</v>
      </c>
      <c r="O15" s="153" t="s">
        <v>481</v>
      </c>
      <c r="P15" s="151" t="s">
        <v>66</v>
      </c>
      <c r="Q15" s="63" t="s">
        <v>269</v>
      </c>
    </row>
    <row r="16" spans="1:17" ht="45" customHeight="1" x14ac:dyDescent="0.25">
      <c r="A16" s="35">
        <v>14</v>
      </c>
      <c r="B16" s="58" t="s">
        <v>48</v>
      </c>
      <c r="C16" s="113" t="s">
        <v>329</v>
      </c>
      <c r="D16" s="113">
        <v>3</v>
      </c>
      <c r="E16" s="60" t="s">
        <v>266</v>
      </c>
      <c r="F16" s="35">
        <v>2</v>
      </c>
      <c r="G16" s="59" t="s">
        <v>161</v>
      </c>
      <c r="H16" s="64" t="s">
        <v>317</v>
      </c>
      <c r="I16" s="60" t="s">
        <v>163</v>
      </c>
      <c r="J16" s="51">
        <v>46162</v>
      </c>
      <c r="K16" s="35" t="s">
        <v>318</v>
      </c>
      <c r="L16" s="35" t="s">
        <v>319</v>
      </c>
      <c r="M16" s="57" t="s">
        <v>175</v>
      </c>
      <c r="N16" s="59" t="s">
        <v>43</v>
      </c>
      <c r="O16" s="153" t="s">
        <v>481</v>
      </c>
      <c r="P16" s="151" t="s">
        <v>66</v>
      </c>
      <c r="Q16" s="63" t="s">
        <v>269</v>
      </c>
    </row>
    <row r="17" spans="1:17" ht="45" customHeight="1" x14ac:dyDescent="0.25">
      <c r="A17" s="35">
        <v>15</v>
      </c>
      <c r="B17" s="58" t="s">
        <v>48</v>
      </c>
      <c r="C17" s="113" t="s">
        <v>341</v>
      </c>
      <c r="D17" s="113">
        <v>1</v>
      </c>
      <c r="E17" s="60" t="s">
        <v>342</v>
      </c>
      <c r="F17" s="35">
        <v>2</v>
      </c>
      <c r="G17" s="59" t="s">
        <v>161</v>
      </c>
      <c r="H17" s="64" t="s">
        <v>317</v>
      </c>
      <c r="I17" s="60" t="s">
        <v>163</v>
      </c>
      <c r="J17" s="51">
        <v>46162</v>
      </c>
      <c r="K17" s="35" t="s">
        <v>318</v>
      </c>
      <c r="L17" s="35" t="s">
        <v>319</v>
      </c>
      <c r="M17" s="57" t="s">
        <v>175</v>
      </c>
      <c r="N17" s="59" t="s">
        <v>43</v>
      </c>
      <c r="O17" s="150" t="s">
        <v>478</v>
      </c>
      <c r="P17" s="151" t="s">
        <v>66</v>
      </c>
      <c r="Q17" s="32" t="s">
        <v>175</v>
      </c>
    </row>
    <row r="18" spans="1:17" ht="45" customHeight="1" x14ac:dyDescent="0.25">
      <c r="A18" s="35">
        <v>16</v>
      </c>
      <c r="B18" s="58" t="s">
        <v>48</v>
      </c>
      <c r="C18" s="113" t="s">
        <v>344</v>
      </c>
      <c r="D18" s="113">
        <v>5</v>
      </c>
      <c r="E18" s="60" t="s">
        <v>160</v>
      </c>
      <c r="F18" s="35">
        <v>1</v>
      </c>
      <c r="G18" s="59" t="s">
        <v>161</v>
      </c>
      <c r="H18" s="64" t="s">
        <v>317</v>
      </c>
      <c r="I18" s="60" t="s">
        <v>163</v>
      </c>
      <c r="J18" s="51">
        <v>46163</v>
      </c>
      <c r="K18" s="35" t="s">
        <v>318</v>
      </c>
      <c r="L18" s="35" t="s">
        <v>319</v>
      </c>
      <c r="M18" s="57" t="s">
        <v>175</v>
      </c>
      <c r="N18" s="35" t="s">
        <v>175</v>
      </c>
      <c r="O18" s="146" t="s">
        <v>483</v>
      </c>
      <c r="P18" s="151" t="s">
        <v>66</v>
      </c>
      <c r="Q18" s="142">
        <v>46166</v>
      </c>
    </row>
    <row r="19" spans="1:17" ht="45" customHeight="1" x14ac:dyDescent="0.25">
      <c r="A19" s="35">
        <v>17</v>
      </c>
      <c r="B19" s="58" t="s">
        <v>48</v>
      </c>
      <c r="C19" s="113" t="s">
        <v>347</v>
      </c>
      <c r="D19" s="113">
        <v>1</v>
      </c>
      <c r="E19" s="60" t="s">
        <v>348</v>
      </c>
      <c r="F19" s="35">
        <v>1</v>
      </c>
      <c r="G19" s="59" t="s">
        <v>161</v>
      </c>
      <c r="H19" s="64" t="s">
        <v>317</v>
      </c>
      <c r="I19" s="60" t="s">
        <v>163</v>
      </c>
      <c r="J19" s="51">
        <v>46165</v>
      </c>
      <c r="K19" s="35" t="s">
        <v>318</v>
      </c>
      <c r="L19" s="35" t="s">
        <v>319</v>
      </c>
      <c r="M19" s="57" t="s">
        <v>175</v>
      </c>
      <c r="N19" s="35" t="s">
        <v>43</v>
      </c>
      <c r="O19" s="150" t="s">
        <v>478</v>
      </c>
      <c r="P19" s="151" t="s">
        <v>66</v>
      </c>
      <c r="Q19" s="32" t="s">
        <v>175</v>
      </c>
    </row>
    <row r="20" spans="1:17" ht="45" customHeight="1" x14ac:dyDescent="0.25">
      <c r="A20" s="35">
        <v>18</v>
      </c>
      <c r="B20" s="58" t="s">
        <v>48</v>
      </c>
      <c r="C20" s="113" t="s">
        <v>365</v>
      </c>
      <c r="D20" s="113">
        <v>1</v>
      </c>
      <c r="E20" s="60" t="s">
        <v>366</v>
      </c>
      <c r="F20" s="35">
        <v>1</v>
      </c>
      <c r="G20" s="59" t="s">
        <v>161</v>
      </c>
      <c r="H20" s="64" t="s">
        <v>317</v>
      </c>
      <c r="I20" s="60" t="s">
        <v>163</v>
      </c>
      <c r="J20" s="51">
        <v>46173</v>
      </c>
      <c r="K20" s="35" t="s">
        <v>318</v>
      </c>
      <c r="L20" s="35" t="s">
        <v>360</v>
      </c>
      <c r="M20" s="57" t="s">
        <v>175</v>
      </c>
      <c r="N20" s="35" t="s">
        <v>43</v>
      </c>
      <c r="O20" s="150" t="s">
        <v>478</v>
      </c>
      <c r="P20" s="151" t="s">
        <v>66</v>
      </c>
      <c r="Q20" s="134" t="s">
        <v>175</v>
      </c>
    </row>
    <row r="21" spans="1:17" ht="45" customHeight="1" x14ac:dyDescent="0.25">
      <c r="A21" s="35">
        <v>19</v>
      </c>
      <c r="B21" s="58" t="s">
        <v>48</v>
      </c>
      <c r="C21" s="113" t="s">
        <v>382</v>
      </c>
      <c r="D21" s="113">
        <v>2</v>
      </c>
      <c r="E21" s="60" t="s">
        <v>366</v>
      </c>
      <c r="F21" s="35">
        <v>1</v>
      </c>
      <c r="G21" s="59" t="s">
        <v>161</v>
      </c>
      <c r="H21" s="64" t="s">
        <v>317</v>
      </c>
      <c r="I21" s="60" t="s">
        <v>163</v>
      </c>
      <c r="J21" s="51">
        <v>46173</v>
      </c>
      <c r="K21" s="35" t="s">
        <v>318</v>
      </c>
      <c r="L21" s="35" t="s">
        <v>360</v>
      </c>
      <c r="M21" s="57" t="s">
        <v>175</v>
      </c>
      <c r="N21" s="35" t="s">
        <v>43</v>
      </c>
      <c r="O21" s="150" t="s">
        <v>478</v>
      </c>
      <c r="P21" s="151" t="s">
        <v>66</v>
      </c>
      <c r="Q21" s="32" t="s">
        <v>175</v>
      </c>
    </row>
    <row r="22" spans="1:17" ht="45" customHeight="1" x14ac:dyDescent="0.25">
      <c r="A22" s="35">
        <v>20</v>
      </c>
      <c r="B22" s="58" t="s">
        <v>48</v>
      </c>
      <c r="C22" s="113" t="s">
        <v>454</v>
      </c>
      <c r="D22" s="35" t="s">
        <v>175</v>
      </c>
      <c r="E22" s="60" t="s">
        <v>453</v>
      </c>
      <c r="F22" s="35">
        <v>1</v>
      </c>
      <c r="G22" s="59" t="s">
        <v>161</v>
      </c>
      <c r="H22" s="64" t="s">
        <v>317</v>
      </c>
      <c r="I22" s="60" t="s">
        <v>163</v>
      </c>
      <c r="J22" s="51">
        <v>46195</v>
      </c>
      <c r="K22" s="62" t="s">
        <v>164</v>
      </c>
      <c r="L22" s="35" t="s">
        <v>318</v>
      </c>
      <c r="M22" s="57" t="s">
        <v>175</v>
      </c>
      <c r="N22" s="35" t="s">
        <v>43</v>
      </c>
      <c r="O22" s="153" t="s">
        <v>481</v>
      </c>
      <c r="P22" s="151" t="s">
        <v>66</v>
      </c>
      <c r="Q22" s="130" t="s">
        <v>471</v>
      </c>
    </row>
    <row r="23" spans="1:17" ht="45" customHeight="1" x14ac:dyDescent="0.25">
      <c r="A23" s="35">
        <v>21</v>
      </c>
      <c r="B23" s="58" t="s">
        <v>48</v>
      </c>
      <c r="C23" s="113" t="s">
        <v>457</v>
      </c>
      <c r="D23" s="35" t="s">
        <v>175</v>
      </c>
      <c r="E23" s="60" t="s">
        <v>453</v>
      </c>
      <c r="F23" s="35">
        <v>1</v>
      </c>
      <c r="G23" s="59" t="s">
        <v>161</v>
      </c>
      <c r="H23" s="64" t="s">
        <v>317</v>
      </c>
      <c r="I23" s="60" t="s">
        <v>163</v>
      </c>
      <c r="J23" s="51">
        <v>46195</v>
      </c>
      <c r="K23" s="62" t="s">
        <v>164</v>
      </c>
      <c r="L23" s="35" t="s">
        <v>318</v>
      </c>
      <c r="M23" s="57" t="s">
        <v>175</v>
      </c>
      <c r="N23" s="35" t="s">
        <v>43</v>
      </c>
      <c r="O23" s="153" t="s">
        <v>481</v>
      </c>
      <c r="P23" s="151" t="s">
        <v>66</v>
      </c>
      <c r="Q23" s="130" t="s">
        <v>471</v>
      </c>
    </row>
    <row r="24" spans="1:17" ht="45" customHeight="1" x14ac:dyDescent="0.25">
      <c r="A24" s="35">
        <v>22</v>
      </c>
      <c r="B24" s="58" t="s">
        <v>48</v>
      </c>
      <c r="C24" s="113" t="s">
        <v>458</v>
      </c>
      <c r="D24" s="35" t="s">
        <v>175</v>
      </c>
      <c r="E24" s="60" t="s">
        <v>453</v>
      </c>
      <c r="F24" s="35">
        <v>1</v>
      </c>
      <c r="G24" s="59" t="s">
        <v>161</v>
      </c>
      <c r="H24" s="64" t="s">
        <v>317</v>
      </c>
      <c r="I24" s="60" t="s">
        <v>163</v>
      </c>
      <c r="J24" s="51">
        <v>46195</v>
      </c>
      <c r="K24" s="62" t="s">
        <v>164</v>
      </c>
      <c r="L24" s="35" t="s">
        <v>318</v>
      </c>
      <c r="M24" s="57" t="s">
        <v>175</v>
      </c>
      <c r="N24" s="35" t="s">
        <v>43</v>
      </c>
      <c r="O24" s="153" t="s">
        <v>481</v>
      </c>
      <c r="P24" s="151" t="s">
        <v>66</v>
      </c>
      <c r="Q24" s="130" t="s">
        <v>471</v>
      </c>
    </row>
    <row r="25" spans="1:17" ht="56.25" customHeight="1" x14ac:dyDescent="0.25">
      <c r="A25" s="35">
        <v>23</v>
      </c>
      <c r="B25" s="58" t="s">
        <v>48</v>
      </c>
      <c r="C25" s="113" t="s">
        <v>459</v>
      </c>
      <c r="D25" s="35" t="s">
        <v>175</v>
      </c>
      <c r="E25" s="60" t="s">
        <v>453</v>
      </c>
      <c r="F25" s="35">
        <v>1</v>
      </c>
      <c r="G25" s="59" t="s">
        <v>161</v>
      </c>
      <c r="H25" s="64" t="s">
        <v>317</v>
      </c>
      <c r="I25" s="60" t="s">
        <v>163</v>
      </c>
      <c r="J25" s="51">
        <v>46195</v>
      </c>
      <c r="K25" s="62" t="s">
        <v>164</v>
      </c>
      <c r="L25" s="35" t="s">
        <v>318</v>
      </c>
      <c r="M25" s="57" t="s">
        <v>175</v>
      </c>
      <c r="N25" s="35" t="s">
        <v>43</v>
      </c>
      <c r="O25" s="153" t="s">
        <v>481</v>
      </c>
      <c r="P25" s="151" t="s">
        <v>66</v>
      </c>
      <c r="Q25" s="130" t="s">
        <v>474</v>
      </c>
    </row>
    <row r="26" spans="1:17" ht="56.25" customHeight="1" x14ac:dyDescent="0.25">
      <c r="A26" s="35">
        <v>24</v>
      </c>
      <c r="B26" s="58" t="s">
        <v>48</v>
      </c>
      <c r="C26" s="113" t="s">
        <v>460</v>
      </c>
      <c r="D26" s="35" t="s">
        <v>175</v>
      </c>
      <c r="E26" s="60" t="s">
        <v>453</v>
      </c>
      <c r="F26" s="35">
        <v>1</v>
      </c>
      <c r="G26" s="59" t="s">
        <v>161</v>
      </c>
      <c r="H26" s="64" t="s">
        <v>317</v>
      </c>
      <c r="I26" s="60" t="s">
        <v>163</v>
      </c>
      <c r="J26" s="51">
        <v>46195</v>
      </c>
      <c r="K26" s="62" t="s">
        <v>164</v>
      </c>
      <c r="L26" s="35" t="s">
        <v>318</v>
      </c>
      <c r="M26" s="57" t="s">
        <v>175</v>
      </c>
      <c r="N26" s="35" t="s">
        <v>43</v>
      </c>
      <c r="O26" s="153" t="s">
        <v>481</v>
      </c>
      <c r="P26" s="151" t="s">
        <v>66</v>
      </c>
      <c r="Q26" s="130" t="s">
        <v>474</v>
      </c>
    </row>
    <row r="27" spans="1:17" ht="56.25" customHeight="1" x14ac:dyDescent="0.25">
      <c r="A27" s="35">
        <v>25</v>
      </c>
      <c r="B27" s="58" t="s">
        <v>48</v>
      </c>
      <c r="C27" s="113" t="s">
        <v>456</v>
      </c>
      <c r="D27" s="35" t="s">
        <v>175</v>
      </c>
      <c r="E27" s="60" t="s">
        <v>455</v>
      </c>
      <c r="F27" s="35">
        <v>2</v>
      </c>
      <c r="G27" s="59" t="s">
        <v>161</v>
      </c>
      <c r="H27" s="64" t="s">
        <v>317</v>
      </c>
      <c r="I27" s="60" t="s">
        <v>163</v>
      </c>
      <c r="J27" s="51">
        <v>46195</v>
      </c>
      <c r="K27" s="62" t="s">
        <v>164</v>
      </c>
      <c r="L27" s="35" t="s">
        <v>318</v>
      </c>
      <c r="M27" s="57" t="s">
        <v>175</v>
      </c>
      <c r="N27" s="35" t="s">
        <v>43</v>
      </c>
      <c r="O27" s="153" t="s">
        <v>481</v>
      </c>
      <c r="P27" s="151" t="s">
        <v>66</v>
      </c>
      <c r="Q27" s="130" t="s">
        <v>474</v>
      </c>
    </row>
    <row r="28" spans="1:17" ht="56.25" customHeight="1" x14ac:dyDescent="0.25">
      <c r="A28" s="35">
        <v>26</v>
      </c>
      <c r="B28" s="58" t="s">
        <v>48</v>
      </c>
      <c r="C28" s="113" t="s">
        <v>464</v>
      </c>
      <c r="D28" s="35" t="s">
        <v>175</v>
      </c>
      <c r="E28" s="60" t="s">
        <v>455</v>
      </c>
      <c r="F28" s="35">
        <v>2</v>
      </c>
      <c r="G28" s="59" t="s">
        <v>161</v>
      </c>
      <c r="H28" s="64" t="s">
        <v>317</v>
      </c>
      <c r="I28" s="60" t="s">
        <v>163</v>
      </c>
      <c r="J28" s="51">
        <v>46195</v>
      </c>
      <c r="K28" s="62" t="s">
        <v>164</v>
      </c>
      <c r="L28" s="35" t="s">
        <v>318</v>
      </c>
      <c r="M28" s="57" t="s">
        <v>175</v>
      </c>
      <c r="N28" s="35" t="s">
        <v>43</v>
      </c>
      <c r="O28" s="153" t="s">
        <v>481</v>
      </c>
      <c r="P28" s="151" t="s">
        <v>66</v>
      </c>
      <c r="Q28" s="130" t="s">
        <v>474</v>
      </c>
    </row>
    <row r="29" spans="1:17" ht="56.25" customHeight="1" x14ac:dyDescent="0.25">
      <c r="A29" s="35">
        <v>27</v>
      </c>
      <c r="B29" s="58" t="s">
        <v>48</v>
      </c>
      <c r="C29" s="113" t="s">
        <v>465</v>
      </c>
      <c r="D29" s="35" t="s">
        <v>175</v>
      </c>
      <c r="E29" s="60" t="s">
        <v>455</v>
      </c>
      <c r="F29" s="35">
        <v>2</v>
      </c>
      <c r="G29" s="59" t="s">
        <v>161</v>
      </c>
      <c r="H29" s="64" t="s">
        <v>317</v>
      </c>
      <c r="I29" s="60" t="s">
        <v>163</v>
      </c>
      <c r="J29" s="51">
        <v>46195</v>
      </c>
      <c r="K29" s="62" t="s">
        <v>164</v>
      </c>
      <c r="L29" s="35" t="s">
        <v>318</v>
      </c>
      <c r="M29" s="57" t="s">
        <v>175</v>
      </c>
      <c r="N29" s="35" t="s">
        <v>43</v>
      </c>
      <c r="O29" s="153" t="s">
        <v>481</v>
      </c>
      <c r="P29" s="151" t="s">
        <v>66</v>
      </c>
      <c r="Q29" s="130" t="s">
        <v>474</v>
      </c>
    </row>
    <row r="30" spans="1:17" ht="56.25" customHeight="1" x14ac:dyDescent="0.25">
      <c r="A30" s="35">
        <v>28</v>
      </c>
      <c r="B30" s="58" t="s">
        <v>48</v>
      </c>
      <c r="C30" s="113" t="s">
        <v>466</v>
      </c>
      <c r="D30" s="35" t="s">
        <v>175</v>
      </c>
      <c r="E30" s="60" t="s">
        <v>184</v>
      </c>
      <c r="F30" s="35">
        <v>2</v>
      </c>
      <c r="G30" s="59" t="s">
        <v>485</v>
      </c>
      <c r="H30" s="64" t="s">
        <v>317</v>
      </c>
      <c r="I30" s="60" t="s">
        <v>163</v>
      </c>
      <c r="J30" s="51">
        <v>46195</v>
      </c>
      <c r="K30" s="62" t="s">
        <v>164</v>
      </c>
      <c r="L30" s="35" t="s">
        <v>318</v>
      </c>
      <c r="M30" s="57" t="s">
        <v>175</v>
      </c>
      <c r="N30" s="35" t="s">
        <v>43</v>
      </c>
      <c r="O30" s="153" t="s">
        <v>481</v>
      </c>
      <c r="P30" s="151" t="s">
        <v>66</v>
      </c>
      <c r="Q30" s="130" t="s">
        <v>474</v>
      </c>
    </row>
  </sheetData>
  <autoFilter ref="A2:Q27" xr:uid="{00000000-0009-0000-0000-000000000000}"/>
  <mergeCells count="1">
    <mergeCell ref="A1:Q1"/>
  </mergeCells>
  <phoneticPr fontId="4" type="noConversion"/>
  <hyperlinks>
    <hyperlink ref="C3" r:id="rId1" xr:uid="{B7D6DDA7-0FE5-4DD2-95FB-68767181A41F}"/>
    <hyperlink ref="C4" r:id="rId2" xr:uid="{0A6FF406-D4F8-4869-9D13-0BD47EC7B512}"/>
    <hyperlink ref="C5" r:id="rId3" xr:uid="{4AF448D6-0BDF-4550-AF3F-D60AEABCDFE1}"/>
    <hyperlink ref="C6" r:id="rId4" xr:uid="{F0FF0678-0827-4236-BD5E-07A9F9EDA31E}"/>
    <hyperlink ref="C7" r:id="rId5" xr:uid="{2A11D480-60F8-4840-BB39-A2F22571C1FA}"/>
    <hyperlink ref="C8" r:id="rId6" xr:uid="{46C90C09-6B15-4F1A-8C82-DB75CFCD9E80}"/>
    <hyperlink ref="C10" r:id="rId7" xr:uid="{9EEC1E57-6253-4D22-82FB-FAF82B210B63}"/>
    <hyperlink ref="C11" r:id="rId8" xr:uid="{8F77BAEA-23B3-4626-8607-98FC50463699}"/>
    <hyperlink ref="C12" r:id="rId9" xr:uid="{5AAB15D3-9409-4F6F-AC2D-7F07DE50B660}"/>
    <hyperlink ref="C13" r:id="rId10" xr:uid="{12189355-4969-470E-8BAD-B0842F6E97E9}"/>
    <hyperlink ref="C14" r:id="rId11" xr:uid="{03EF32D4-350B-4575-A581-D96E8362CFD1}"/>
    <hyperlink ref="C15" r:id="rId12" xr:uid="{D61551F6-D379-4AF0-A76C-9F2C90BA0E43}"/>
  </hyperlinks>
  <printOptions horizontalCentered="1"/>
  <pageMargins left="0.25" right="0.25" top="0.25" bottom="0.25" header="0" footer="0"/>
  <pageSetup paperSize="8" scale="57" fitToHeight="0" orientation="landscape" r:id="rId13"/>
  <headerFooter>
    <oddFooter>&amp;Lby Ahmed Mohamed 
&amp;CPage (&amp;P of &amp;N)&amp;R&amp;D</oddFooter>
  </headerFooter>
  <drawing r:id="rId1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K21"/>
  <sheetViews>
    <sheetView showGridLines="0" zoomScale="70" zoomScaleNormal="70" zoomScaleSheetLayoutView="115" workbookViewId="0">
      <pane ySplit="4" topLeftCell="A12" activePane="bottomLeft" state="frozen"/>
      <selection activeCell="Q1" sqref="Q1"/>
      <selection pane="bottomLeft" activeCell="Q4" sqref="Q1:Q1048576"/>
    </sheetView>
  </sheetViews>
  <sheetFormatPr defaultColWidth="9.140625" defaultRowHeight="12.75" x14ac:dyDescent="0.25"/>
  <cols>
    <col min="1" max="1" width="7.7109375" style="33" customWidth="1"/>
    <col min="2" max="2" width="12.5703125" style="33" bestFit="1" customWidth="1"/>
    <col min="3" max="3" width="27.28515625" style="33" customWidth="1"/>
    <col min="4" max="4" width="13.28515625" style="33" customWidth="1"/>
    <col min="5" max="5" width="43.140625" style="33" customWidth="1"/>
    <col min="6" max="6" width="15.85546875" style="33" customWidth="1"/>
    <col min="7" max="7" width="17.5703125" style="33" customWidth="1"/>
    <col min="8" max="8" width="60.7109375" style="37" customWidth="1"/>
    <col min="9" max="9" width="14.5703125" style="33" customWidth="1"/>
    <col min="10" max="10" width="16.5703125" style="33" customWidth="1"/>
    <col min="11" max="11" width="13.7109375" style="33" customWidth="1"/>
    <col min="12" max="12" width="14.85546875" style="33" customWidth="1"/>
    <col min="13" max="13" width="18" style="33" customWidth="1"/>
    <col min="14" max="14" width="19.28515625" style="33" customWidth="1"/>
    <col min="15" max="15" width="21.7109375" style="33" customWidth="1"/>
    <col min="16" max="16" width="22.7109375" style="33" customWidth="1"/>
    <col min="17" max="17" width="22.7109375" style="33" hidden="1" customWidth="1"/>
    <col min="18" max="18" width="33" style="33" customWidth="1"/>
    <col min="19" max="16384" width="9.140625" style="33"/>
  </cols>
  <sheetData>
    <row r="1" spans="1:89" ht="39" customHeight="1" x14ac:dyDescent="0.25">
      <c r="A1" s="227" t="s">
        <v>313</v>
      </c>
      <c r="B1" s="228"/>
      <c r="C1" s="228"/>
      <c r="D1" s="228"/>
      <c r="E1" s="228"/>
      <c r="F1" s="228"/>
      <c r="G1" s="228"/>
      <c r="H1" s="228"/>
      <c r="I1" s="228"/>
      <c r="J1" s="228"/>
      <c r="K1" s="228"/>
      <c r="L1" s="228"/>
      <c r="M1" s="228"/>
      <c r="N1" s="228"/>
      <c r="O1" s="228"/>
      <c r="P1" s="228"/>
      <c r="Q1" s="228"/>
      <c r="R1" s="228"/>
    </row>
    <row r="2" spans="1:89" ht="27.6" customHeight="1" x14ac:dyDescent="0.25">
      <c r="A2" s="228"/>
      <c r="B2" s="228"/>
      <c r="C2" s="228"/>
      <c r="D2" s="228"/>
      <c r="E2" s="228"/>
      <c r="F2" s="228"/>
      <c r="G2" s="228"/>
      <c r="H2" s="228"/>
      <c r="I2" s="228"/>
      <c r="J2" s="228"/>
      <c r="K2" s="228"/>
      <c r="L2" s="228"/>
      <c r="M2" s="228"/>
      <c r="N2" s="228"/>
      <c r="O2" s="228"/>
      <c r="P2" s="228"/>
      <c r="Q2" s="228"/>
      <c r="R2" s="228"/>
    </row>
    <row r="3" spans="1:89" ht="26.25" customHeight="1" thickBot="1" x14ac:dyDescent="0.3">
      <c r="A3" s="228"/>
      <c r="B3" s="228"/>
      <c r="C3" s="228"/>
      <c r="D3" s="228"/>
      <c r="E3" s="228"/>
      <c r="F3" s="228"/>
      <c r="G3" s="228"/>
      <c r="H3" s="228"/>
      <c r="I3" s="228"/>
      <c r="J3" s="228"/>
      <c r="K3" s="228"/>
      <c r="L3" s="228"/>
      <c r="M3" s="228"/>
      <c r="N3" s="228"/>
      <c r="O3" s="228"/>
      <c r="P3" s="228"/>
      <c r="Q3" s="228"/>
      <c r="R3" s="228"/>
    </row>
    <row r="4" spans="1:89" ht="53.25" customHeight="1" thickBot="1" x14ac:dyDescent="0.3">
      <c r="A4" s="27" t="s">
        <v>32</v>
      </c>
      <c r="B4" s="28" t="s">
        <v>34</v>
      </c>
      <c r="C4" s="28" t="s">
        <v>41</v>
      </c>
      <c r="D4" s="28" t="s">
        <v>383</v>
      </c>
      <c r="E4" s="28" t="s">
        <v>35</v>
      </c>
      <c r="F4" s="28" t="s">
        <v>45</v>
      </c>
      <c r="G4" s="28" t="s">
        <v>46</v>
      </c>
      <c r="H4" s="29" t="s">
        <v>36</v>
      </c>
      <c r="I4" s="28" t="s">
        <v>38</v>
      </c>
      <c r="J4" s="28" t="s">
        <v>40</v>
      </c>
      <c r="K4" s="28" t="s">
        <v>37</v>
      </c>
      <c r="L4" s="28" t="s">
        <v>47</v>
      </c>
      <c r="M4" s="28" t="s">
        <v>39</v>
      </c>
      <c r="N4" s="39" t="s">
        <v>39</v>
      </c>
      <c r="O4" s="91" t="s">
        <v>484</v>
      </c>
      <c r="P4" s="194" t="s">
        <v>315</v>
      </c>
      <c r="Q4" s="195" t="s">
        <v>509</v>
      </c>
      <c r="R4" s="93" t="s">
        <v>20</v>
      </c>
    </row>
    <row r="5" spans="1:89" s="49" customFormat="1" ht="55.5" customHeight="1" x14ac:dyDescent="0.25">
      <c r="A5" s="164">
        <v>1</v>
      </c>
      <c r="B5" s="165" t="s">
        <v>48</v>
      </c>
      <c r="C5" s="166" t="s">
        <v>386</v>
      </c>
      <c r="D5" s="167">
        <v>1</v>
      </c>
      <c r="E5" s="168" t="s">
        <v>59</v>
      </c>
      <c r="F5" s="169" t="s">
        <v>60</v>
      </c>
      <c r="G5" s="170" t="s">
        <v>72</v>
      </c>
      <c r="H5" s="143" t="s">
        <v>61</v>
      </c>
      <c r="I5" s="169" t="s">
        <v>385</v>
      </c>
      <c r="J5" s="171">
        <v>46144</v>
      </c>
      <c r="K5" s="168" t="s">
        <v>62</v>
      </c>
      <c r="L5" s="168" t="s">
        <v>63</v>
      </c>
      <c r="M5" s="143" t="s">
        <v>64</v>
      </c>
      <c r="N5" s="172" t="s">
        <v>65</v>
      </c>
      <c r="O5" s="174" t="s">
        <v>478</v>
      </c>
      <c r="P5" s="176" t="s">
        <v>66</v>
      </c>
      <c r="Q5" s="193" t="s">
        <v>510</v>
      </c>
      <c r="R5" s="173" t="s">
        <v>175</v>
      </c>
      <c r="S5" s="181"/>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92"/>
    </row>
    <row r="6" spans="1:89" s="49" customFormat="1" ht="49.5" customHeight="1" x14ac:dyDescent="0.25">
      <c r="A6" s="42">
        <v>2</v>
      </c>
      <c r="B6" s="35" t="s">
        <v>48</v>
      </c>
      <c r="C6" s="113" t="s">
        <v>387</v>
      </c>
      <c r="D6" s="52">
        <v>1</v>
      </c>
      <c r="E6" s="38" t="s">
        <v>67</v>
      </c>
      <c r="F6" s="38" t="s">
        <v>68</v>
      </c>
      <c r="G6" s="45" t="s">
        <v>71</v>
      </c>
      <c r="H6" s="36" t="s">
        <v>70</v>
      </c>
      <c r="I6" s="38" t="s">
        <v>385</v>
      </c>
      <c r="J6" s="47">
        <v>46147</v>
      </c>
      <c r="K6" s="52" t="s">
        <v>69</v>
      </c>
      <c r="L6" s="52" t="s">
        <v>69</v>
      </c>
      <c r="M6" s="36" t="s">
        <v>64</v>
      </c>
      <c r="N6" s="40" t="s">
        <v>65</v>
      </c>
      <c r="O6" s="175" t="s">
        <v>478</v>
      </c>
      <c r="P6" s="124" t="s">
        <v>66</v>
      </c>
      <c r="Q6" s="193" t="s">
        <v>510</v>
      </c>
      <c r="R6" s="133" t="s">
        <v>175</v>
      </c>
      <c r="S6" s="181"/>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92"/>
    </row>
    <row r="7" spans="1:89" ht="50.25" customHeight="1" x14ac:dyDescent="0.25">
      <c r="A7" s="42">
        <v>3</v>
      </c>
      <c r="B7" s="35" t="s">
        <v>48</v>
      </c>
      <c r="C7" s="113" t="s">
        <v>402</v>
      </c>
      <c r="D7" s="35" t="s">
        <v>175</v>
      </c>
      <c r="E7" s="36" t="s">
        <v>388</v>
      </c>
      <c r="F7" s="36">
        <v>2</v>
      </c>
      <c r="G7" s="36" t="s">
        <v>425</v>
      </c>
      <c r="H7" s="36" t="s">
        <v>416</v>
      </c>
      <c r="I7" s="38" t="s">
        <v>385</v>
      </c>
      <c r="J7" s="47">
        <v>46184</v>
      </c>
      <c r="K7" s="52" t="s">
        <v>69</v>
      </c>
      <c r="L7" s="52" t="s">
        <v>69</v>
      </c>
      <c r="M7" s="36" t="s">
        <v>64</v>
      </c>
      <c r="N7" s="40" t="s">
        <v>65</v>
      </c>
      <c r="O7" s="175" t="s">
        <v>478</v>
      </c>
      <c r="P7" s="124" t="s">
        <v>66</v>
      </c>
      <c r="Q7" s="193" t="s">
        <v>510</v>
      </c>
      <c r="R7" s="95" t="s">
        <v>440</v>
      </c>
    </row>
    <row r="8" spans="1:89" ht="50.25" customHeight="1" x14ac:dyDescent="0.25">
      <c r="A8" s="42">
        <v>4</v>
      </c>
      <c r="B8" s="35" t="s">
        <v>48</v>
      </c>
      <c r="C8" s="113" t="s">
        <v>403</v>
      </c>
      <c r="D8" s="35" t="s">
        <v>175</v>
      </c>
      <c r="E8" s="36" t="s">
        <v>389</v>
      </c>
      <c r="F8" s="36">
        <v>2</v>
      </c>
      <c r="G8" s="36" t="s">
        <v>425</v>
      </c>
      <c r="H8" s="36" t="s">
        <v>416</v>
      </c>
      <c r="I8" s="38" t="s">
        <v>385</v>
      </c>
      <c r="J8" s="47">
        <v>46184</v>
      </c>
      <c r="K8" s="52" t="s">
        <v>69</v>
      </c>
      <c r="L8" s="52" t="s">
        <v>69</v>
      </c>
      <c r="M8" s="36" t="s">
        <v>64</v>
      </c>
      <c r="N8" s="40" t="s">
        <v>65</v>
      </c>
      <c r="O8" s="175" t="s">
        <v>478</v>
      </c>
      <c r="P8" s="124" t="s">
        <v>66</v>
      </c>
      <c r="Q8" s="193" t="s">
        <v>510</v>
      </c>
      <c r="R8" s="95" t="s">
        <v>441</v>
      </c>
    </row>
    <row r="9" spans="1:89" ht="45" customHeight="1" x14ac:dyDescent="0.25">
      <c r="A9" s="42">
        <v>5</v>
      </c>
      <c r="B9" s="35" t="s">
        <v>48</v>
      </c>
      <c r="C9" s="113" t="s">
        <v>404</v>
      </c>
      <c r="D9" s="35" t="s">
        <v>175</v>
      </c>
      <c r="E9" s="36" t="s">
        <v>390</v>
      </c>
      <c r="F9" s="36">
        <v>2</v>
      </c>
      <c r="G9" s="36" t="s">
        <v>425</v>
      </c>
      <c r="H9" s="36" t="s">
        <v>416</v>
      </c>
      <c r="I9" s="38" t="s">
        <v>385</v>
      </c>
      <c r="J9" s="47">
        <v>46184</v>
      </c>
      <c r="K9" s="52" t="s">
        <v>69</v>
      </c>
      <c r="L9" s="52" t="s">
        <v>69</v>
      </c>
      <c r="M9" s="36" t="s">
        <v>64</v>
      </c>
      <c r="N9" s="40" t="s">
        <v>65</v>
      </c>
      <c r="O9" s="175" t="s">
        <v>478</v>
      </c>
      <c r="P9" s="124" t="s">
        <v>66</v>
      </c>
      <c r="Q9" s="193" t="s">
        <v>510</v>
      </c>
      <c r="R9" s="133" t="s">
        <v>175</v>
      </c>
    </row>
    <row r="10" spans="1:89" ht="45" customHeight="1" x14ac:dyDescent="0.25">
      <c r="A10" s="42">
        <v>6</v>
      </c>
      <c r="B10" s="35" t="s">
        <v>48</v>
      </c>
      <c r="C10" s="113" t="s">
        <v>405</v>
      </c>
      <c r="D10" s="35" t="s">
        <v>175</v>
      </c>
      <c r="E10" s="36" t="s">
        <v>391</v>
      </c>
      <c r="F10" s="36">
        <v>2</v>
      </c>
      <c r="G10" s="36" t="s">
        <v>425</v>
      </c>
      <c r="H10" s="36" t="s">
        <v>416</v>
      </c>
      <c r="I10" s="38" t="s">
        <v>385</v>
      </c>
      <c r="J10" s="47">
        <v>46184</v>
      </c>
      <c r="K10" s="52" t="s">
        <v>69</v>
      </c>
      <c r="L10" s="52" t="s">
        <v>69</v>
      </c>
      <c r="M10" s="36" t="s">
        <v>64</v>
      </c>
      <c r="N10" s="40" t="s">
        <v>65</v>
      </c>
      <c r="O10" s="175" t="s">
        <v>478</v>
      </c>
      <c r="P10" s="124" t="s">
        <v>66</v>
      </c>
      <c r="Q10" s="193" t="s">
        <v>510</v>
      </c>
      <c r="R10" s="133" t="s">
        <v>175</v>
      </c>
    </row>
    <row r="11" spans="1:89" ht="49.5" customHeight="1" x14ac:dyDescent="0.25">
      <c r="A11" s="42">
        <v>7</v>
      </c>
      <c r="B11" s="35" t="s">
        <v>48</v>
      </c>
      <c r="C11" s="113" t="s">
        <v>406</v>
      </c>
      <c r="D11" s="35" t="s">
        <v>175</v>
      </c>
      <c r="E11" s="36" t="s">
        <v>392</v>
      </c>
      <c r="F11" s="36">
        <v>2</v>
      </c>
      <c r="G11" s="36" t="s">
        <v>425</v>
      </c>
      <c r="H11" s="36" t="s">
        <v>416</v>
      </c>
      <c r="I11" s="38" t="s">
        <v>385</v>
      </c>
      <c r="J11" s="47">
        <v>46184</v>
      </c>
      <c r="K11" s="52" t="s">
        <v>69</v>
      </c>
      <c r="L11" s="52" t="s">
        <v>69</v>
      </c>
      <c r="M11" s="36" t="s">
        <v>64</v>
      </c>
      <c r="N11" s="40" t="s">
        <v>65</v>
      </c>
      <c r="O11" s="175" t="s">
        <v>478</v>
      </c>
      <c r="P11" s="124" t="s">
        <v>66</v>
      </c>
      <c r="Q11" s="193" t="s">
        <v>510</v>
      </c>
      <c r="R11" s="95" t="s">
        <v>446</v>
      </c>
    </row>
    <row r="12" spans="1:89" ht="49.5" customHeight="1" x14ac:dyDescent="0.25">
      <c r="A12" s="42">
        <v>8</v>
      </c>
      <c r="B12" s="35" t="s">
        <v>48</v>
      </c>
      <c r="C12" s="113" t="s">
        <v>407</v>
      </c>
      <c r="D12" s="35" t="s">
        <v>175</v>
      </c>
      <c r="E12" s="36" t="s">
        <v>393</v>
      </c>
      <c r="F12" s="36">
        <v>2</v>
      </c>
      <c r="G12" s="36" t="s">
        <v>425</v>
      </c>
      <c r="H12" s="36" t="s">
        <v>416</v>
      </c>
      <c r="I12" s="38" t="s">
        <v>385</v>
      </c>
      <c r="J12" s="47">
        <v>46184</v>
      </c>
      <c r="K12" s="52" t="s">
        <v>69</v>
      </c>
      <c r="L12" s="52" t="s">
        <v>69</v>
      </c>
      <c r="M12" s="36" t="s">
        <v>64</v>
      </c>
      <c r="N12" s="40" t="s">
        <v>65</v>
      </c>
      <c r="O12" s="175" t="s">
        <v>478</v>
      </c>
      <c r="P12" s="124" t="s">
        <v>66</v>
      </c>
      <c r="Q12" s="193" t="s">
        <v>510</v>
      </c>
      <c r="R12" s="95" t="s">
        <v>447</v>
      </c>
    </row>
    <row r="13" spans="1:89" ht="50.25" customHeight="1" x14ac:dyDescent="0.25">
      <c r="A13" s="42">
        <v>9</v>
      </c>
      <c r="B13" s="35" t="s">
        <v>48</v>
      </c>
      <c r="C13" s="113" t="s">
        <v>408</v>
      </c>
      <c r="D13" s="35" t="s">
        <v>175</v>
      </c>
      <c r="E13" s="36" t="s">
        <v>394</v>
      </c>
      <c r="F13" s="36">
        <v>2</v>
      </c>
      <c r="G13" s="36" t="s">
        <v>425</v>
      </c>
      <c r="H13" s="36" t="s">
        <v>416</v>
      </c>
      <c r="I13" s="38" t="s">
        <v>385</v>
      </c>
      <c r="J13" s="47">
        <v>46184</v>
      </c>
      <c r="K13" s="52" t="s">
        <v>69</v>
      </c>
      <c r="L13" s="52" t="s">
        <v>69</v>
      </c>
      <c r="M13" s="36" t="s">
        <v>64</v>
      </c>
      <c r="N13" s="40" t="s">
        <v>65</v>
      </c>
      <c r="O13" s="175" t="s">
        <v>478</v>
      </c>
      <c r="P13" s="124" t="s">
        <v>66</v>
      </c>
      <c r="Q13" s="193" t="s">
        <v>510</v>
      </c>
      <c r="R13" s="95" t="s">
        <v>444</v>
      </c>
    </row>
    <row r="14" spans="1:89" ht="50.25" customHeight="1" x14ac:dyDescent="0.25">
      <c r="A14" s="42">
        <v>10</v>
      </c>
      <c r="B14" s="35" t="s">
        <v>48</v>
      </c>
      <c r="C14" s="113" t="s">
        <v>409</v>
      </c>
      <c r="D14" s="35" t="s">
        <v>175</v>
      </c>
      <c r="E14" s="36" t="s">
        <v>395</v>
      </c>
      <c r="F14" s="36">
        <v>2</v>
      </c>
      <c r="G14" s="36" t="s">
        <v>425</v>
      </c>
      <c r="H14" s="36" t="s">
        <v>416</v>
      </c>
      <c r="I14" s="38" t="s">
        <v>385</v>
      </c>
      <c r="J14" s="47">
        <v>46184</v>
      </c>
      <c r="K14" s="52" t="s">
        <v>69</v>
      </c>
      <c r="L14" s="52" t="s">
        <v>69</v>
      </c>
      <c r="M14" s="36" t="s">
        <v>64</v>
      </c>
      <c r="N14" s="40" t="s">
        <v>65</v>
      </c>
      <c r="O14" s="175" t="s">
        <v>478</v>
      </c>
      <c r="P14" s="124" t="s">
        <v>66</v>
      </c>
      <c r="Q14" s="193" t="s">
        <v>510</v>
      </c>
      <c r="R14" s="95" t="s">
        <v>445</v>
      </c>
    </row>
    <row r="15" spans="1:89" ht="56.25" customHeight="1" x14ac:dyDescent="0.25">
      <c r="A15" s="42">
        <v>11</v>
      </c>
      <c r="B15" s="35" t="s">
        <v>48</v>
      </c>
      <c r="C15" s="113" t="s">
        <v>410</v>
      </c>
      <c r="D15" s="35" t="s">
        <v>175</v>
      </c>
      <c r="E15" s="35" t="s">
        <v>396</v>
      </c>
      <c r="F15" s="36">
        <v>2</v>
      </c>
      <c r="G15" s="36" t="s">
        <v>425</v>
      </c>
      <c r="H15" s="36" t="s">
        <v>416</v>
      </c>
      <c r="I15" s="38" t="s">
        <v>385</v>
      </c>
      <c r="J15" s="47">
        <v>46184</v>
      </c>
      <c r="K15" s="52" t="s">
        <v>69</v>
      </c>
      <c r="L15" s="52" t="s">
        <v>69</v>
      </c>
      <c r="M15" s="36" t="s">
        <v>64</v>
      </c>
      <c r="N15" s="40" t="s">
        <v>65</v>
      </c>
      <c r="O15" s="175" t="s">
        <v>478</v>
      </c>
      <c r="P15" s="124" t="s">
        <v>66</v>
      </c>
      <c r="Q15" s="193" t="s">
        <v>510</v>
      </c>
      <c r="R15" s="95" t="s">
        <v>438</v>
      </c>
    </row>
    <row r="16" spans="1:89" ht="56.25" customHeight="1" x14ac:dyDescent="0.25">
      <c r="A16" s="42">
        <v>12</v>
      </c>
      <c r="B16" s="35" t="s">
        <v>48</v>
      </c>
      <c r="C16" s="113" t="s">
        <v>411</v>
      </c>
      <c r="D16" s="35" t="s">
        <v>175</v>
      </c>
      <c r="E16" s="35" t="s">
        <v>397</v>
      </c>
      <c r="F16" s="36">
        <v>2</v>
      </c>
      <c r="G16" s="36" t="s">
        <v>425</v>
      </c>
      <c r="H16" s="36" t="s">
        <v>416</v>
      </c>
      <c r="I16" s="38" t="s">
        <v>385</v>
      </c>
      <c r="J16" s="47">
        <v>46184</v>
      </c>
      <c r="K16" s="52" t="s">
        <v>69</v>
      </c>
      <c r="L16" s="52" t="s">
        <v>69</v>
      </c>
      <c r="M16" s="36" t="s">
        <v>64</v>
      </c>
      <c r="N16" s="40" t="s">
        <v>65</v>
      </c>
      <c r="O16" s="175" t="s">
        <v>478</v>
      </c>
      <c r="P16" s="124" t="s">
        <v>66</v>
      </c>
      <c r="Q16" s="193" t="s">
        <v>510</v>
      </c>
      <c r="R16" s="95" t="s">
        <v>439</v>
      </c>
    </row>
    <row r="17" spans="1:18" ht="54.75" customHeight="1" x14ac:dyDescent="0.25">
      <c r="A17" s="42">
        <v>13</v>
      </c>
      <c r="B17" s="35" t="s">
        <v>48</v>
      </c>
      <c r="C17" s="113" t="s">
        <v>412</v>
      </c>
      <c r="D17" s="35" t="s">
        <v>175</v>
      </c>
      <c r="E17" s="35" t="s">
        <v>398</v>
      </c>
      <c r="F17" s="36">
        <v>2</v>
      </c>
      <c r="G17" s="36" t="s">
        <v>425</v>
      </c>
      <c r="H17" s="36" t="s">
        <v>416</v>
      </c>
      <c r="I17" s="38" t="s">
        <v>385</v>
      </c>
      <c r="J17" s="47">
        <v>46184</v>
      </c>
      <c r="K17" s="52" t="s">
        <v>69</v>
      </c>
      <c r="L17" s="52" t="s">
        <v>69</v>
      </c>
      <c r="M17" s="36" t="s">
        <v>64</v>
      </c>
      <c r="N17" s="40" t="s">
        <v>65</v>
      </c>
      <c r="O17" s="175" t="s">
        <v>478</v>
      </c>
      <c r="P17" s="124" t="s">
        <v>66</v>
      </c>
      <c r="Q17" s="193" t="s">
        <v>510</v>
      </c>
      <c r="R17" s="95" t="s">
        <v>442</v>
      </c>
    </row>
    <row r="18" spans="1:18" ht="54.75" customHeight="1" x14ac:dyDescent="0.25">
      <c r="A18" s="42">
        <v>14</v>
      </c>
      <c r="B18" s="35" t="s">
        <v>48</v>
      </c>
      <c r="C18" s="113" t="s">
        <v>413</v>
      </c>
      <c r="D18" s="35" t="s">
        <v>175</v>
      </c>
      <c r="E18" s="35" t="s">
        <v>399</v>
      </c>
      <c r="F18" s="36">
        <v>2</v>
      </c>
      <c r="G18" s="36" t="s">
        <v>425</v>
      </c>
      <c r="H18" s="36" t="s">
        <v>416</v>
      </c>
      <c r="I18" s="38" t="s">
        <v>385</v>
      </c>
      <c r="J18" s="47">
        <v>46184</v>
      </c>
      <c r="K18" s="52" t="s">
        <v>69</v>
      </c>
      <c r="L18" s="52" t="s">
        <v>69</v>
      </c>
      <c r="M18" s="36" t="s">
        <v>64</v>
      </c>
      <c r="N18" s="40" t="s">
        <v>65</v>
      </c>
      <c r="O18" s="175" t="s">
        <v>478</v>
      </c>
      <c r="P18" s="124" t="s">
        <v>66</v>
      </c>
      <c r="Q18" s="193" t="s">
        <v>510</v>
      </c>
      <c r="R18" s="95" t="s">
        <v>443</v>
      </c>
    </row>
    <row r="19" spans="1:18" ht="51.75" customHeight="1" x14ac:dyDescent="0.25">
      <c r="A19" s="42">
        <v>15</v>
      </c>
      <c r="B19" s="35" t="s">
        <v>48</v>
      </c>
      <c r="C19" s="113" t="s">
        <v>414</v>
      </c>
      <c r="D19" s="35" t="s">
        <v>175</v>
      </c>
      <c r="E19" s="35" t="s">
        <v>400</v>
      </c>
      <c r="F19" s="36">
        <v>2</v>
      </c>
      <c r="G19" s="36" t="s">
        <v>425</v>
      </c>
      <c r="H19" s="36" t="s">
        <v>416</v>
      </c>
      <c r="I19" s="38" t="s">
        <v>385</v>
      </c>
      <c r="J19" s="47">
        <v>46184</v>
      </c>
      <c r="K19" s="52" t="s">
        <v>436</v>
      </c>
      <c r="L19" s="52" t="s">
        <v>69</v>
      </c>
      <c r="M19" s="36" t="s">
        <v>64</v>
      </c>
      <c r="N19" s="40" t="s">
        <v>65</v>
      </c>
      <c r="O19" s="175" t="s">
        <v>478</v>
      </c>
      <c r="P19" s="124" t="s">
        <v>66</v>
      </c>
      <c r="Q19" s="193" t="s">
        <v>510</v>
      </c>
      <c r="R19" s="95" t="s">
        <v>437</v>
      </c>
    </row>
    <row r="20" spans="1:18" ht="48.75" customHeight="1" x14ac:dyDescent="0.25">
      <c r="A20" s="42">
        <v>16</v>
      </c>
      <c r="B20" s="35" t="s">
        <v>48</v>
      </c>
      <c r="C20" s="113" t="s">
        <v>415</v>
      </c>
      <c r="D20" s="35" t="s">
        <v>175</v>
      </c>
      <c r="E20" s="35" t="s">
        <v>401</v>
      </c>
      <c r="F20" s="36">
        <v>2</v>
      </c>
      <c r="G20" s="36" t="s">
        <v>425</v>
      </c>
      <c r="H20" s="36" t="s">
        <v>416</v>
      </c>
      <c r="I20" s="38" t="s">
        <v>385</v>
      </c>
      <c r="J20" s="47">
        <v>46184</v>
      </c>
      <c r="K20" s="52" t="s">
        <v>69</v>
      </c>
      <c r="L20" s="52" t="s">
        <v>69</v>
      </c>
      <c r="M20" s="36" t="s">
        <v>64</v>
      </c>
      <c r="N20" s="40" t="s">
        <v>65</v>
      </c>
      <c r="O20" s="175" t="s">
        <v>478</v>
      </c>
      <c r="P20" s="124" t="s">
        <v>66</v>
      </c>
      <c r="Q20" s="193" t="s">
        <v>510</v>
      </c>
      <c r="R20" s="95" t="s">
        <v>437</v>
      </c>
    </row>
    <row r="21" spans="1:18" ht="45" customHeight="1" thickBot="1" x14ac:dyDescent="0.3">
      <c r="A21" s="43">
        <v>17</v>
      </c>
      <c r="B21" s="44" t="s">
        <v>48</v>
      </c>
      <c r="C21" s="156" t="s">
        <v>417</v>
      </c>
      <c r="D21" s="44" t="s">
        <v>175</v>
      </c>
      <c r="E21" s="44" t="s">
        <v>420</v>
      </c>
      <c r="F21" s="44">
        <v>3</v>
      </c>
      <c r="G21" s="157" t="s">
        <v>425</v>
      </c>
      <c r="H21" s="158" t="s">
        <v>421</v>
      </c>
      <c r="I21" s="159" t="s">
        <v>385</v>
      </c>
      <c r="J21" s="160">
        <v>46189</v>
      </c>
      <c r="K21" s="44" t="s">
        <v>423</v>
      </c>
      <c r="L21" s="44" t="s">
        <v>422</v>
      </c>
      <c r="M21" s="179" t="s">
        <v>175</v>
      </c>
      <c r="N21" s="180" t="s">
        <v>175</v>
      </c>
      <c r="O21" s="161" t="s">
        <v>483</v>
      </c>
      <c r="P21" s="162" t="s">
        <v>66</v>
      </c>
      <c r="Q21" s="193" t="s">
        <v>510</v>
      </c>
      <c r="R21" s="163" t="s">
        <v>175</v>
      </c>
    </row>
  </sheetData>
  <autoFilter ref="A4:R21" xr:uid="{00000000-0009-0000-0000-000000000000}"/>
  <mergeCells count="1">
    <mergeCell ref="A1:R3"/>
  </mergeCells>
  <phoneticPr fontId="4" type="noConversion"/>
  <printOptions horizontalCentered="1"/>
  <pageMargins left="0.25" right="0.25" top="0.25" bottom="0.25" header="0" footer="0"/>
  <pageSetup paperSize="8" scale="54" fitToHeight="0" orientation="landscape" r:id="rId1"/>
  <headerFooter>
    <oddFooter>&amp;Lby Ahmed Mohamed 
&amp;CPage (&amp;P of &amp;N)&amp;R&amp;D</oddFooter>
  </headerFooter>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I8:M13"/>
  <sheetViews>
    <sheetView workbookViewId="0">
      <selection activeCell="N11" sqref="N11"/>
    </sheetView>
  </sheetViews>
  <sheetFormatPr defaultRowHeight="15" x14ac:dyDescent="0.25"/>
  <sheetData>
    <row r="8" spans="9:13" ht="15.75" thickBot="1" x14ac:dyDescent="0.3"/>
    <row r="9" spans="9:13" ht="57" thickBot="1" x14ac:dyDescent="0.3">
      <c r="I9" s="34" t="s">
        <v>33</v>
      </c>
    </row>
    <row r="11" spans="9:13" x14ac:dyDescent="0.25">
      <c r="I11" t="s">
        <v>27</v>
      </c>
      <c r="K11" t="s">
        <v>26</v>
      </c>
      <c r="M11" t="s">
        <v>28</v>
      </c>
    </row>
    <row r="12" spans="9:13" x14ac:dyDescent="0.25">
      <c r="I12" t="s">
        <v>30</v>
      </c>
      <c r="K12" t="s">
        <v>25</v>
      </c>
      <c r="M12" t="s">
        <v>29</v>
      </c>
    </row>
    <row r="13" spans="9:13" x14ac:dyDescent="0.25">
      <c r="I13" t="s">
        <v>1</v>
      </c>
      <c r="M13" t="s">
        <v>30</v>
      </c>
    </row>
  </sheetData>
  <pageMargins left="0.7" right="0.7" top="0.75" bottom="0.75" header="0.3" footer="0.3"/>
  <drawing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dimension ref="J8:P11"/>
  <sheetViews>
    <sheetView showGridLines="0" workbookViewId="0">
      <selection activeCell="P20" sqref="P20"/>
    </sheetView>
  </sheetViews>
  <sheetFormatPr defaultRowHeight="15" x14ac:dyDescent="0.25"/>
  <cols>
    <col min="10" max="10" width="15.7109375" customWidth="1"/>
    <col min="11" max="11" width="7.5703125" customWidth="1"/>
    <col min="12" max="12" width="13.85546875" customWidth="1"/>
    <col min="13" max="13" width="6.5703125" customWidth="1"/>
    <col min="14" max="14" width="2.5703125" customWidth="1"/>
    <col min="15" max="15" width="10.42578125" customWidth="1"/>
  </cols>
  <sheetData>
    <row r="8" spans="10:16" x14ac:dyDescent="0.25">
      <c r="J8" s="6"/>
      <c r="K8" s="22" t="s">
        <v>24</v>
      </c>
      <c r="L8" s="23"/>
      <c r="M8" s="7"/>
      <c r="O8" s="26" t="s">
        <v>31</v>
      </c>
      <c r="P8" s="7"/>
    </row>
    <row r="9" spans="10:16" x14ac:dyDescent="0.25">
      <c r="J9" s="6" t="s">
        <v>27</v>
      </c>
      <c r="K9" s="7" t="e">
        <f>COUNTIF(STR!#REF!,"B")</f>
        <v>#REF!</v>
      </c>
      <c r="L9" s="18" t="s">
        <v>26</v>
      </c>
      <c r="M9" s="19" t="e">
        <f>COUNTIF(STR!#REF!,"U")</f>
        <v>#REF!</v>
      </c>
      <c r="O9" s="16" t="s">
        <v>28</v>
      </c>
      <c r="P9" s="17" t="e">
        <f>COUNTIF(STR!#REF!,"Y")</f>
        <v>#REF!</v>
      </c>
    </row>
    <row r="10" spans="10:16" x14ac:dyDescent="0.25">
      <c r="J10" s="14" t="s">
        <v>30</v>
      </c>
      <c r="K10" s="15" t="e">
        <f>COUNTIF(STR!#REF!,"C")</f>
        <v>#REF!</v>
      </c>
      <c r="L10" s="8" t="s">
        <v>25</v>
      </c>
      <c r="M10" s="9" t="e">
        <f>COUNTIF(STR!#REF!,"W")</f>
        <v>#REF!</v>
      </c>
      <c r="O10" s="10" t="s">
        <v>29</v>
      </c>
      <c r="P10" s="11" t="e">
        <f>COUNTIF(STR!#REF!,"P")</f>
        <v>#REF!</v>
      </c>
    </row>
    <row r="11" spans="10:16" x14ac:dyDescent="0.25">
      <c r="J11" s="20" t="s">
        <v>1</v>
      </c>
      <c r="K11" s="21" t="e">
        <f>COUNTIF(STR!#REF!,"R")</f>
        <v>#REF!</v>
      </c>
      <c r="L11" s="24"/>
      <c r="M11" s="25"/>
      <c r="O11" s="12" t="s">
        <v>30</v>
      </c>
      <c r="P11" s="13" t="e">
        <f>COUNTIF(STR!#REF!,"C")</f>
        <v>#REF!</v>
      </c>
    </row>
  </sheetData>
  <sortState xmlns:xlrd2="http://schemas.microsoft.com/office/spreadsheetml/2017/richdata2" ref="J9:K13">
    <sortCondition ref="J9:J13"/>
  </sortState>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Z1:AB1"/>
  <sheetViews>
    <sheetView workbookViewId="0">
      <selection activeCell="Z1" sqref="Z1"/>
    </sheetView>
  </sheetViews>
  <sheetFormatPr defaultRowHeight="15" x14ac:dyDescent="0.25"/>
  <sheetData>
    <row r="1" spans="26:28" x14ac:dyDescent="0.25">
      <c r="Z1" s="5" t="s">
        <v>22</v>
      </c>
      <c r="AA1" s="4" t="s">
        <v>21</v>
      </c>
      <c r="AB1" s="4" t="s">
        <v>23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500000"/>
  </sheetPr>
  <dimension ref="B1:C5"/>
  <sheetViews>
    <sheetView workbookViewId="0">
      <selection activeCell="J2" sqref="J2"/>
    </sheetView>
  </sheetViews>
  <sheetFormatPr defaultRowHeight="15" x14ac:dyDescent="0.25"/>
  <cols>
    <col min="2" max="2" width="11.28515625" bestFit="1" customWidth="1"/>
    <col min="3" max="3" width="18" bestFit="1" customWidth="1"/>
  </cols>
  <sheetData>
    <row r="1" spans="2:3" x14ac:dyDescent="0.25">
      <c r="B1" s="1" t="s">
        <v>17</v>
      </c>
      <c r="C1" t="s" vm="1">
        <v>9</v>
      </c>
    </row>
    <row r="3" spans="2:3" x14ac:dyDescent="0.25">
      <c r="C3" t="s">
        <v>15</v>
      </c>
    </row>
    <row r="4" spans="2:3" x14ac:dyDescent="0.25">
      <c r="B4" s="2" t="s">
        <v>1</v>
      </c>
      <c r="C4">
        <v>144</v>
      </c>
    </row>
    <row r="5" spans="2:3" x14ac:dyDescent="0.25">
      <c r="B5" s="2" t="s">
        <v>8</v>
      </c>
      <c r="C5">
        <v>144</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tabColor rgb="FF500000"/>
  </sheetPr>
  <dimension ref="B2:C12"/>
  <sheetViews>
    <sheetView workbookViewId="0">
      <selection activeCell="B2" sqref="B2"/>
    </sheetView>
  </sheetViews>
  <sheetFormatPr defaultRowHeight="15" x14ac:dyDescent="0.25"/>
  <cols>
    <col min="2" max="2" width="13.140625" bestFit="1" customWidth="1"/>
    <col min="3" max="3" width="18" bestFit="1" customWidth="1"/>
    <col min="4" max="4" width="8" bestFit="1" customWidth="1"/>
    <col min="5" max="5" width="11.28515625" bestFit="1" customWidth="1"/>
    <col min="6" max="6" width="12.5703125" bestFit="1" customWidth="1"/>
    <col min="7" max="7" width="19.85546875" bestFit="1" customWidth="1"/>
    <col min="8" max="8" width="17.7109375" bestFit="1" customWidth="1"/>
  </cols>
  <sheetData>
    <row r="2" spans="2:3" x14ac:dyDescent="0.25">
      <c r="B2" s="1" t="s">
        <v>17</v>
      </c>
      <c r="C2" t="s" vm="1">
        <v>9</v>
      </c>
    </row>
    <row r="4" spans="2:3" x14ac:dyDescent="0.25">
      <c r="B4" s="1" t="s">
        <v>7</v>
      </c>
      <c r="C4" t="s">
        <v>15</v>
      </c>
    </row>
    <row r="5" spans="2:3" x14ac:dyDescent="0.25">
      <c r="B5" s="2" t="s">
        <v>0</v>
      </c>
      <c r="C5">
        <v>70</v>
      </c>
    </row>
    <row r="6" spans="2:3" x14ac:dyDescent="0.25">
      <c r="B6" s="2" t="s">
        <v>3</v>
      </c>
      <c r="C6">
        <v>3</v>
      </c>
    </row>
    <row r="7" spans="2:3" x14ac:dyDescent="0.25">
      <c r="B7" s="2" t="s">
        <v>6</v>
      </c>
      <c r="C7">
        <v>19</v>
      </c>
    </row>
    <row r="8" spans="2:3" x14ac:dyDescent="0.25">
      <c r="B8" s="2" t="s">
        <v>5</v>
      </c>
      <c r="C8">
        <v>9</v>
      </c>
    </row>
    <row r="9" spans="2:3" x14ac:dyDescent="0.25">
      <c r="B9" s="2" t="s">
        <v>10</v>
      </c>
      <c r="C9">
        <v>8</v>
      </c>
    </row>
    <row r="10" spans="2:3" x14ac:dyDescent="0.25">
      <c r="B10" s="2" t="s">
        <v>2</v>
      </c>
      <c r="C10">
        <v>3</v>
      </c>
    </row>
    <row r="11" spans="2:3" x14ac:dyDescent="0.25">
      <c r="B11" s="2" t="s">
        <v>4</v>
      </c>
      <c r="C11">
        <v>32</v>
      </c>
    </row>
    <row r="12" spans="2:3" x14ac:dyDescent="0.25">
      <c r="B12" s="2" t="s">
        <v>8</v>
      </c>
      <c r="C12">
        <v>144</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500000"/>
  </sheetPr>
  <dimension ref="B2:D13"/>
  <sheetViews>
    <sheetView topLeftCell="A2" workbookViewId="0">
      <selection activeCell="B2" sqref="B2"/>
    </sheetView>
  </sheetViews>
  <sheetFormatPr defaultRowHeight="15" x14ac:dyDescent="0.25"/>
  <cols>
    <col min="2" max="2" width="14.85546875" bestFit="1" customWidth="1"/>
    <col min="3" max="3" width="16.28515625" bestFit="1" customWidth="1"/>
    <col min="4" max="5" width="11.28515625" bestFit="1" customWidth="1"/>
  </cols>
  <sheetData>
    <row r="2" spans="2:4" x14ac:dyDescent="0.25">
      <c r="B2" s="1" t="s">
        <v>17</v>
      </c>
      <c r="C2" t="s" vm="1">
        <v>9</v>
      </c>
    </row>
    <row r="4" spans="2:4" x14ac:dyDescent="0.25">
      <c r="B4" s="1" t="s">
        <v>11</v>
      </c>
      <c r="C4" s="1" t="s">
        <v>14</v>
      </c>
    </row>
    <row r="5" spans="2:4" x14ac:dyDescent="0.25">
      <c r="B5" s="1" t="s">
        <v>7</v>
      </c>
      <c r="C5" t="s">
        <v>1</v>
      </c>
      <c r="D5" t="s">
        <v>8</v>
      </c>
    </row>
    <row r="6" spans="2:4" x14ac:dyDescent="0.25">
      <c r="B6" s="2" t="s">
        <v>0</v>
      </c>
      <c r="C6">
        <v>70</v>
      </c>
      <c r="D6">
        <v>70</v>
      </c>
    </row>
    <row r="7" spans="2:4" x14ac:dyDescent="0.25">
      <c r="B7" s="2" t="s">
        <v>3</v>
      </c>
      <c r="C7">
        <v>3</v>
      </c>
      <c r="D7">
        <v>3</v>
      </c>
    </row>
    <row r="8" spans="2:4" x14ac:dyDescent="0.25">
      <c r="B8" s="2" t="s">
        <v>6</v>
      </c>
      <c r="C8">
        <v>19</v>
      </c>
      <c r="D8">
        <v>19</v>
      </c>
    </row>
    <row r="9" spans="2:4" x14ac:dyDescent="0.25">
      <c r="B9" s="2" t="s">
        <v>5</v>
      </c>
      <c r="C9">
        <v>9</v>
      </c>
      <c r="D9">
        <v>9</v>
      </c>
    </row>
    <row r="10" spans="2:4" x14ac:dyDescent="0.25">
      <c r="B10" s="2" t="s">
        <v>10</v>
      </c>
      <c r="C10">
        <v>8</v>
      </c>
      <c r="D10">
        <v>8</v>
      </c>
    </row>
    <row r="11" spans="2:4" x14ac:dyDescent="0.25">
      <c r="B11" s="2" t="s">
        <v>2</v>
      </c>
      <c r="C11">
        <v>3</v>
      </c>
      <c r="D11">
        <v>3</v>
      </c>
    </row>
    <row r="12" spans="2:4" x14ac:dyDescent="0.25">
      <c r="B12" s="2" t="s">
        <v>4</v>
      </c>
      <c r="C12">
        <v>32</v>
      </c>
      <c r="D12">
        <v>32</v>
      </c>
    </row>
    <row r="13" spans="2:4" x14ac:dyDescent="0.25">
      <c r="B13" s="2" t="s">
        <v>8</v>
      </c>
      <c r="C13">
        <v>144</v>
      </c>
      <c r="D13">
        <v>144</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rgb="FF500000"/>
  </sheetPr>
  <dimension ref="B1:C25"/>
  <sheetViews>
    <sheetView workbookViewId="0">
      <selection activeCell="B2" sqref="B2"/>
    </sheetView>
  </sheetViews>
  <sheetFormatPr defaultRowHeight="15" x14ac:dyDescent="0.25"/>
  <cols>
    <col min="2" max="2" width="13.85546875" bestFit="1" customWidth="1"/>
    <col min="3" max="3" width="28.140625" bestFit="1" customWidth="1"/>
    <col min="4" max="4" width="22.140625" bestFit="1" customWidth="1"/>
    <col min="5" max="67" width="8.42578125" bestFit="1" customWidth="1"/>
    <col min="68" max="68" width="11.28515625" bestFit="1" customWidth="1"/>
    <col min="69" max="102" width="3" bestFit="1" customWidth="1"/>
    <col min="103" max="130" width="4" bestFit="1" customWidth="1"/>
    <col min="131" max="131" width="11.28515625" bestFit="1" customWidth="1"/>
  </cols>
  <sheetData>
    <row r="1" spans="2:3" x14ac:dyDescent="0.25">
      <c r="B1" s="1" t="s">
        <v>17</v>
      </c>
      <c r="C1" t="s" vm="1">
        <v>9</v>
      </c>
    </row>
    <row r="3" spans="2:3" x14ac:dyDescent="0.25">
      <c r="B3" s="1" t="s">
        <v>7</v>
      </c>
      <c r="C3" t="s">
        <v>16</v>
      </c>
    </row>
    <row r="4" spans="2:3" x14ac:dyDescent="0.25">
      <c r="B4" s="2" t="s">
        <v>0</v>
      </c>
    </row>
    <row r="5" spans="2:3" x14ac:dyDescent="0.25">
      <c r="B5" s="3" t="s">
        <v>12</v>
      </c>
      <c r="C5">
        <v>42</v>
      </c>
    </row>
    <row r="6" spans="2:3" x14ac:dyDescent="0.25">
      <c r="B6" s="3" t="s">
        <v>13</v>
      </c>
      <c r="C6">
        <v>24</v>
      </c>
    </row>
    <row r="7" spans="2:3" x14ac:dyDescent="0.25">
      <c r="B7" s="3" t="s">
        <v>18</v>
      </c>
      <c r="C7">
        <v>4</v>
      </c>
    </row>
    <row r="8" spans="2:3" x14ac:dyDescent="0.25">
      <c r="B8" s="2" t="s">
        <v>3</v>
      </c>
    </row>
    <row r="9" spans="2:3" x14ac:dyDescent="0.25">
      <c r="B9" s="3" t="s">
        <v>12</v>
      </c>
      <c r="C9">
        <v>3</v>
      </c>
    </row>
    <row r="10" spans="2:3" x14ac:dyDescent="0.25">
      <c r="B10" s="2" t="s">
        <v>6</v>
      </c>
    </row>
    <row r="11" spans="2:3" x14ac:dyDescent="0.25">
      <c r="B11" s="3" t="s">
        <v>12</v>
      </c>
      <c r="C11">
        <v>18</v>
      </c>
    </row>
    <row r="12" spans="2:3" x14ac:dyDescent="0.25">
      <c r="B12" s="3" t="s">
        <v>13</v>
      </c>
      <c r="C12">
        <v>1</v>
      </c>
    </row>
    <row r="13" spans="2:3" x14ac:dyDescent="0.25">
      <c r="B13" s="2" t="s">
        <v>5</v>
      </c>
    </row>
    <row r="14" spans="2:3" x14ac:dyDescent="0.25">
      <c r="B14" s="3" t="s">
        <v>12</v>
      </c>
      <c r="C14">
        <v>5</v>
      </c>
    </row>
    <row r="15" spans="2:3" x14ac:dyDescent="0.25">
      <c r="B15" s="3" t="s">
        <v>13</v>
      </c>
      <c r="C15">
        <v>3</v>
      </c>
    </row>
    <row r="16" spans="2:3" x14ac:dyDescent="0.25">
      <c r="B16" s="3" t="s">
        <v>18</v>
      </c>
      <c r="C16">
        <v>1</v>
      </c>
    </row>
    <row r="17" spans="2:3" x14ac:dyDescent="0.25">
      <c r="B17" s="2" t="s">
        <v>10</v>
      </c>
    </row>
    <row r="18" spans="2:3" x14ac:dyDescent="0.25">
      <c r="B18" s="3" t="s">
        <v>12</v>
      </c>
      <c r="C18">
        <v>5</v>
      </c>
    </row>
    <row r="19" spans="2:3" x14ac:dyDescent="0.25">
      <c r="B19" s="3" t="s">
        <v>13</v>
      </c>
      <c r="C19">
        <v>3</v>
      </c>
    </row>
    <row r="20" spans="2:3" x14ac:dyDescent="0.25">
      <c r="B20" s="2" t="s">
        <v>2</v>
      </c>
    </row>
    <row r="21" spans="2:3" x14ac:dyDescent="0.25">
      <c r="B21" s="3" t="s">
        <v>12</v>
      </c>
      <c r="C21">
        <v>3</v>
      </c>
    </row>
    <row r="22" spans="2:3" x14ac:dyDescent="0.25">
      <c r="B22" s="2" t="s">
        <v>4</v>
      </c>
    </row>
    <row r="23" spans="2:3" x14ac:dyDescent="0.25">
      <c r="B23" s="3" t="s">
        <v>12</v>
      </c>
      <c r="C23">
        <v>23</v>
      </c>
    </row>
    <row r="24" spans="2:3" x14ac:dyDescent="0.25">
      <c r="B24" s="3" t="s">
        <v>13</v>
      </c>
      <c r="C24">
        <v>9</v>
      </c>
    </row>
    <row r="25" spans="2:3" x14ac:dyDescent="0.25">
      <c r="B25" s="2" t="s">
        <v>8</v>
      </c>
      <c r="C25">
        <v>144</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D48EB224-7B0B-47BD-A36D-3A8E7400C135}">
  <ds:schemaRefs>
    <ds:schemaRef ds:uri="http://www.w3.org/2001/XMLSchema"/>
    <ds:schemaRef ds:uri="http://microsoft.data.visualization.engine.tours/1.0"/>
  </ds:schemaRefs>
</ds:datastoreItem>
</file>

<file path=customXml/itemProps2.xml><?xml version="1.0" encoding="utf-8"?>
<ds:datastoreItem xmlns:ds="http://schemas.openxmlformats.org/officeDocument/2006/customXml" ds:itemID="{3E703FD5-0F32-45FD-896F-F8286DC893ED}">
  <ds:schemaRefs>
    <ds:schemaRef ds:uri="http://www.w3.org/2001/XMLSchema"/>
    <ds:schemaRef ds:uri="http://microsoft.data.visualization.Client.Excel/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24</vt:i4>
      </vt:variant>
    </vt:vector>
  </HeadingPairs>
  <TitlesOfParts>
    <vt:vector size="40" baseType="lpstr">
      <vt:lpstr>ELE</vt:lpstr>
      <vt:lpstr>ELV</vt:lpstr>
      <vt:lpstr>FAS</vt:lpstr>
      <vt:lpstr>FPR</vt:lpstr>
      <vt:lpstr>ICT</vt:lpstr>
      <vt:lpstr>MEC</vt:lpstr>
      <vt:lpstr>MEP</vt:lpstr>
      <vt:lpstr>PHE</vt:lpstr>
      <vt:lpstr>PLD</vt:lpstr>
      <vt:lpstr>SEC </vt:lpstr>
      <vt:lpstr>STR</vt:lpstr>
      <vt:lpstr>Sheet3</vt:lpstr>
      <vt:lpstr>Action</vt:lpstr>
      <vt:lpstr>Ref No.</vt:lpstr>
      <vt:lpstr>Dis</vt:lpstr>
      <vt:lpstr>Timeline</vt:lpstr>
      <vt:lpstr>ECH</vt:lpstr>
      <vt:lpstr>ELE!Print_Area</vt:lpstr>
      <vt:lpstr>ELV!Print_Area</vt:lpstr>
      <vt:lpstr>FAS!Print_Area</vt:lpstr>
      <vt:lpstr>FPR!Print_Area</vt:lpstr>
      <vt:lpstr>ICT!Print_Area</vt:lpstr>
      <vt:lpstr>MEC!Print_Area</vt:lpstr>
      <vt:lpstr>MEP!Print_Area</vt:lpstr>
      <vt:lpstr>PHE!Print_Area</vt:lpstr>
      <vt:lpstr>PLD!Print_Area</vt:lpstr>
      <vt:lpstr>'SEC '!Print_Area</vt:lpstr>
      <vt:lpstr>STR!Print_Area</vt:lpstr>
      <vt:lpstr>ELE!Print_Titles</vt:lpstr>
      <vt:lpstr>ELV!Print_Titles</vt:lpstr>
      <vt:lpstr>FAS!Print_Titles</vt:lpstr>
      <vt:lpstr>FPR!Print_Titles</vt:lpstr>
      <vt:lpstr>ICT!Print_Titles</vt:lpstr>
      <vt:lpstr>MEC!Print_Titles</vt:lpstr>
      <vt:lpstr>MEP!Print_Titles</vt:lpstr>
      <vt:lpstr>PHE!Print_Titles</vt:lpstr>
      <vt:lpstr>PLD!Print_Titles</vt:lpstr>
      <vt:lpstr>'SEC '!Print_Titles</vt:lpstr>
      <vt:lpstr>STR!Print_Titles</vt:lpstr>
      <vt:lpstr>SAMY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Mohamed</dc:creator>
  <cp:lastModifiedBy>PCD</cp:lastModifiedBy>
  <cp:lastPrinted>2026-07-05T10:27:37Z</cp:lastPrinted>
  <dcterms:created xsi:type="dcterms:W3CDTF">2015-06-05T18:17:20Z</dcterms:created>
  <dcterms:modified xsi:type="dcterms:W3CDTF">2026-08-18T09:08:47Z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c52bb78-b785-4d5a-8181-ae732e0da257_Enabled">
    <vt:lpwstr>true</vt:lpwstr>
  </property>
  <property fmtid="{D5CDD505-2E9C-101B-9397-08002B2CF9AE}" pid="3" name="MSIP_Label_4c52bb78-b785-4d5a-8181-ae732e0da257_SetDate">
    <vt:lpwstr>2026-03-31T13:48:34Z</vt:lpwstr>
  </property>
  <property fmtid="{D5CDD505-2E9C-101B-9397-08002B2CF9AE}" pid="4" name="MSIP_Label_4c52bb78-b785-4d5a-8181-ae732e0da257_Method">
    <vt:lpwstr>Privileged</vt:lpwstr>
  </property>
  <property fmtid="{D5CDD505-2E9C-101B-9397-08002B2CF9AE}" pid="5" name="MSIP_Label_4c52bb78-b785-4d5a-8181-ae732e0da257_Name">
    <vt:lpwstr>4c52bb78-b785-4d5a-8181-ae732e0da257</vt:lpwstr>
  </property>
  <property fmtid="{D5CDD505-2E9C-101B-9397-08002B2CF9AE}" pid="6" name="MSIP_Label_4c52bb78-b785-4d5a-8181-ae732e0da257_SiteId">
    <vt:lpwstr>37247798-f42c-42fd-8a37-d49c7128d36b</vt:lpwstr>
  </property>
  <property fmtid="{D5CDD505-2E9C-101B-9397-08002B2CF9AE}" pid="7" name="MSIP_Label_4c52bb78-b785-4d5a-8181-ae732e0da257_ActionId">
    <vt:lpwstr>77725bef-e75c-435f-8afb-d0764b4eb7ce</vt:lpwstr>
  </property>
  <property fmtid="{D5CDD505-2E9C-101B-9397-08002B2CF9AE}" pid="8" name="MSIP_Label_4c52bb78-b785-4d5a-8181-ae732e0da257_ContentBits">
    <vt:lpwstr>0</vt:lpwstr>
  </property>
  <property fmtid="{D5CDD505-2E9C-101B-9397-08002B2CF9AE}" pid="9" name="MSIP_Label_4c52bb78-b785-4d5a-8181-ae732e0da257_Tag">
    <vt:lpwstr>10, 0, 1, 1</vt:lpwstr>
  </property>
</Properties>
</file>